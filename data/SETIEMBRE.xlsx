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ANGIE SILVERA" sheetId="2" r:id="rId6"/>
    <sheet state="visible" name="NAHOMI DIAZ" sheetId="3" r:id="rId7"/>
    <sheet state="visible" name="WENDY IPANEQUE" sheetId="4" r:id="rId8"/>
    <sheet state="visible" name="OMAR MINAYA" sheetId="5" r:id="rId9"/>
    <sheet state="visible" name="JHON ZAMORA" sheetId="6" r:id="rId10"/>
    <sheet state="visible" name="NATHALIE ARANDA" sheetId="7" r:id="rId11"/>
    <sheet state="visible" name="LUIS CHUSE" sheetId="8" r:id="rId12"/>
    <sheet state="visible" name="ANA ALIAGA" sheetId="9" r:id="rId13"/>
    <sheet state="visible" name="MERCEDES GIRALDO" sheetId="10" r:id="rId14"/>
    <sheet state="visible" name="JIMMY COLLAZOS" sheetId="11" r:id="rId15"/>
    <sheet state="visible" name="KENNY MORALES" sheetId="12" r:id="rId16"/>
    <sheet state="visible" name="WINNIE ESCALANTE" sheetId="13" r:id="rId17"/>
    <sheet state="visible" name="MARIELLA PAÑAHUA" sheetId="14" r:id="rId18"/>
    <sheet state="visible" name="JOSE LUIS QUINTEROS" sheetId="15" r:id="rId19"/>
    <sheet state="visible" name="ELIZABETH ESQUIVEL" sheetId="16" r:id="rId20"/>
    <sheet state="visible" name="THALIA SALOME" sheetId="17" r:id="rId21"/>
    <sheet state="visible" name="MILUSKA LINARES" sheetId="18" r:id="rId22"/>
    <sheet state="visible" name="VIOLETA LLERENA" sheetId="19" r:id="rId23"/>
    <sheet state="visible" name="ARACELY VENTURA" sheetId="20" r:id="rId24"/>
    <sheet state="visible" name="MELISSA BRAVO" sheetId="21" r:id="rId25"/>
    <sheet state="visible" name="RENZO CACEDA" sheetId="22" r:id="rId26"/>
    <sheet state="visible" name="ALEXANDRA GUZMAN" sheetId="23" r:id="rId27"/>
    <sheet state="visible" name="1" sheetId="24" r:id="rId28"/>
  </sheets>
  <definedNames>
    <definedName hidden="1" localSheetId="8" name="_xlnm._FilterDatabase">'ANA ALIAGA'!$B$9:$Q$52</definedName>
  </definedNames>
  <calcPr/>
</workbook>
</file>

<file path=xl/sharedStrings.xml><?xml version="1.0" encoding="utf-8"?>
<sst xmlns="http://schemas.openxmlformats.org/spreadsheetml/2006/main" count="1687" uniqueCount="506">
  <si>
    <t>,</t>
  </si>
  <si>
    <t>Tablas de Gestión:</t>
  </si>
  <si>
    <t>SUPERVISOR</t>
  </si>
  <si>
    <t>ZONA</t>
  </si>
  <si>
    <t>TOTAL DESEMBOLSO</t>
  </si>
  <si>
    <t>Q DESEMBOLSO</t>
  </si>
  <si>
    <t>EVALUACION BCP</t>
  </si>
  <si>
    <t>PENDIENTE DE BACK</t>
  </si>
  <si>
    <t>PENDIENTE DE REMESA</t>
  </si>
  <si>
    <t>PENDIENTE DE DOCUMENTAR</t>
  </si>
  <si>
    <t>META OBJETIVO</t>
  </si>
  <si>
    <t>AVANCE</t>
  </si>
  <si>
    <t>Q EVALUACION BCP</t>
  </si>
  <si>
    <t>Q PENDIENTE DE BACK</t>
  </si>
  <si>
    <t>JIMMY COLLAZOS</t>
  </si>
  <si>
    <t>CHICLAYO</t>
  </si>
  <si>
    <t>LIMA 1</t>
  </si>
  <si>
    <t>PIURA</t>
  </si>
  <si>
    <t>Meta</t>
  </si>
  <si>
    <t>Desembolsado</t>
  </si>
  <si>
    <t>Avance</t>
  </si>
  <si>
    <t>Pendiente De Documentar</t>
  </si>
  <si>
    <t>Pendiente De Remesa</t>
  </si>
  <si>
    <t>Pendiente De Backoffice</t>
  </si>
  <si>
    <t>Evaluación BCP</t>
  </si>
  <si>
    <t>Obs Backoffice</t>
  </si>
  <si>
    <t>Obs BCP</t>
  </si>
  <si>
    <t>Rechazado</t>
  </si>
  <si>
    <t>S/.</t>
  </si>
  <si>
    <t>ALEXANDRA GUZMAN</t>
  </si>
  <si>
    <t>RENZO CACEDA</t>
  </si>
  <si>
    <t>Q / %</t>
  </si>
  <si>
    <t>-</t>
  </si>
  <si>
    <t>WENDY IPANAQUÉ</t>
  </si>
  <si>
    <t>ANGIE SILVERA</t>
  </si>
  <si>
    <t>PLAZA DE VENTA</t>
  </si>
  <si>
    <t>FECHA DE ENVIO DE REMESA</t>
  </si>
  <si>
    <t>ESTADO DE REMESA</t>
  </si>
  <si>
    <t>FECHA DE INGRESO</t>
  </si>
  <si>
    <t>FECHA DE DESEMBOLSO</t>
  </si>
  <si>
    <t>DOCUMENTO</t>
  </si>
  <si>
    <t>KENNY MORALES</t>
  </si>
  <si>
    <t>NOMBRES Y APELLIDOS</t>
  </si>
  <si>
    <t>CONVENIO</t>
  </si>
  <si>
    <t>ESTADO</t>
  </si>
  <si>
    <t>MAF NETO</t>
  </si>
  <si>
    <t>EJECUTIVO</t>
  </si>
  <si>
    <t>FILE ENVIADO A BANCO</t>
  </si>
  <si>
    <t>FECHA DE ENVIÓ CARTA PODER A BCP</t>
  </si>
  <si>
    <t>COMPRA DE DEUDA REALIZADA</t>
  </si>
  <si>
    <t>LIBERACIÓN</t>
  </si>
  <si>
    <t>FEEDBACK</t>
  </si>
  <si>
    <t>Aprobada</t>
  </si>
  <si>
    <t>LUIS CHUSE</t>
  </si>
  <si>
    <t>Enviada</t>
  </si>
  <si>
    <t>80262692</t>
  </si>
  <si>
    <t>73228908</t>
  </si>
  <si>
    <t>COLUPU PURIZACA WALTER</t>
  </si>
  <si>
    <t>cambio seg</t>
  </si>
  <si>
    <t>MPV</t>
  </si>
  <si>
    <t>75877653</t>
  </si>
  <si>
    <t>CHAÑA CARBAJAL MICHAEL PATRICK</t>
  </si>
  <si>
    <t>CAMPOS ESPINOZA KAROLAY MELISA</t>
  </si>
  <si>
    <t>EJERCITO</t>
  </si>
  <si>
    <t>KRIS BARRAGAN RODRIGUEZ</t>
  </si>
  <si>
    <t>PNP</t>
  </si>
  <si>
    <t>MARIELLA PAÑAHUA</t>
  </si>
  <si>
    <t>EYLIN VELASCO</t>
  </si>
  <si>
    <t>JUAN CORDOVA</t>
  </si>
  <si>
    <t>CD IBK Y REHABILITADORA: PENDIENTE RPTA DESEMBOLSOS</t>
  </si>
  <si>
    <t>WINNIE ESCALANTE</t>
  </si>
  <si>
    <t>JOSE LUIS QUINTEROS</t>
  </si>
  <si>
    <t>42984845</t>
  </si>
  <si>
    <t>ZAPATA OLAVARRIA CHRISTIAN EDWAR</t>
  </si>
  <si>
    <t>Pendiente de BackOffice</t>
  </si>
  <si>
    <t>73352687</t>
  </si>
  <si>
    <t>GARCIA YOVERA JEFRI MANUEL</t>
  </si>
  <si>
    <t>CD  BANCOM Y REHABILITADORA: se solicito nuevamente remesa</t>
  </si>
  <si>
    <t>44900885</t>
  </si>
  <si>
    <t>NATHALIE ARANDA</t>
  </si>
  <si>
    <t>JOSE CORTEZ</t>
  </si>
  <si>
    <t>GUTIERREZ URDANIVIA EDSON BRAYAN GUILLERMO</t>
  </si>
  <si>
    <t>41871561</t>
  </si>
  <si>
    <t>GALARZA PAKER JAVIER ALEXANDER</t>
  </si>
  <si>
    <t>HOSPITAL SANTA ROSA</t>
  </si>
  <si>
    <t>ARACELY VENTURA</t>
  </si>
  <si>
    <t>CD BANBIF: en envio correo de seguimiento para aprobacion de remesa</t>
  </si>
  <si>
    <t>73219721</t>
  </si>
  <si>
    <t>NAUCA RIVANEIRA DICKSON STALIN</t>
  </si>
  <si>
    <t>73118366</t>
  </si>
  <si>
    <t>SUAREZ FLORES GREYCCI KATHERINE</t>
  </si>
  <si>
    <t>DSRLCC</t>
  </si>
  <si>
    <t>JHON ZAMORA</t>
  </si>
  <si>
    <t xml:space="preserve">  </t>
  </si>
  <si>
    <t>70167787</t>
  </si>
  <si>
    <t xml:space="preserve">CD SCOTIABANK: bo enviar file </t>
  </si>
  <si>
    <t>GARCIA RAMOS ANGELO CRISTHOFER</t>
  </si>
  <si>
    <t>76359950</t>
  </si>
  <si>
    <t>FLORES CABREDO JOSE FELIX</t>
  </si>
  <si>
    <t>OMAR MINAYA</t>
  </si>
  <si>
    <t>HOSPITAL ESPECIALIDADES SULLANA</t>
  </si>
  <si>
    <t>47941390</t>
  </si>
  <si>
    <t>CHAPOÑAN HUAMAN FIORELLA RUBI</t>
  </si>
  <si>
    <t>CD BANBIF: PENDIENTE RESPUESTA DE REMESA</t>
  </si>
  <si>
    <t>FARITH FARIAS</t>
  </si>
  <si>
    <t>NAHOMI DIAZ</t>
  </si>
  <si>
    <t>46720028</t>
  </si>
  <si>
    <t>CHUMACERO ABAD ADELA</t>
  </si>
  <si>
    <t>47067580</t>
  </si>
  <si>
    <t>RUIZ MELCHOR JORGE ALBERTO</t>
  </si>
  <si>
    <t>VIOLETA LLERENA</t>
  </si>
  <si>
    <t>MGP</t>
  </si>
  <si>
    <t>CD BANCO DE COMERCIO: se envio correo de seguimiento para respuesta de remesa</t>
  </si>
  <si>
    <t>77080881</t>
  </si>
  <si>
    <t>HERNANDEZ LEON LUIS DAVID</t>
  </si>
  <si>
    <t>PIERO  LOPEZ</t>
  </si>
  <si>
    <t>CLIENTE PYME DEUDA SUNAT</t>
  </si>
  <si>
    <t>MILUSKA LINARES</t>
  </si>
  <si>
    <t>71485463</t>
  </si>
  <si>
    <t>ROJAS FLORES JOSE CALIN</t>
  </si>
  <si>
    <t>CLIENTE GESTIONARA CAMBIO DE SEGMENTACION PYME 07/09</t>
  </si>
  <si>
    <t>73109359</t>
  </si>
  <si>
    <t>THALIA SALOME</t>
  </si>
  <si>
    <t>44742744</t>
  </si>
  <si>
    <t xml:space="preserve">ALVARADO BUSTAMANTE JAZMIN GRESIA </t>
  </si>
  <si>
    <t>ORTEGA RIVERA GISSELA JULIA</t>
  </si>
  <si>
    <t>FAP</t>
  </si>
  <si>
    <t>MARIA LLONTOP</t>
  </si>
  <si>
    <t>44561073</t>
  </si>
  <si>
    <t>SAAVEDRA RIVAS DAYANA YESSABELLA</t>
  </si>
  <si>
    <t>ELIZABETH ESQUIVEL</t>
  </si>
  <si>
    <t>DESEMBOLSO PENDIENTE</t>
  </si>
  <si>
    <t>77084670</t>
  </si>
  <si>
    <t>POMA JUSTUS CARLOS JOSE</t>
  </si>
  <si>
    <t>ANA ALIAGA</t>
  </si>
  <si>
    <t>70977830</t>
  </si>
  <si>
    <t>48304033</t>
  </si>
  <si>
    <t>SUCAPUCA CAMASITA EFRAIN</t>
  </si>
  <si>
    <t>DELGADO LAZARO MARIO MIGUEL</t>
  </si>
  <si>
    <t>MARINA</t>
  </si>
  <si>
    <t>MERCEDES GIRALDO</t>
  </si>
  <si>
    <t>PENDIENTE RESPUESTA DE REMESA</t>
  </si>
  <si>
    <t>3/092026</t>
  </si>
  <si>
    <t>42510241</t>
  </si>
  <si>
    <t>BERNAL GONZALES MARCO ALBERTO</t>
  </si>
  <si>
    <t>MELISSA BRAVO</t>
  </si>
  <si>
    <t>78200844</t>
  </si>
  <si>
    <t>TOTAL</t>
  </si>
  <si>
    <t>CUESTAS PATAZCA NEYSER EMMANUEL</t>
  </si>
  <si>
    <t>EP</t>
  </si>
  <si>
    <t>72151068</t>
  </si>
  <si>
    <t>DIONISIO GOMEZ WILDER EVER</t>
  </si>
  <si>
    <t>71400285</t>
  </si>
  <si>
    <t>CD SCOTIABANK. CUOTA 1/4</t>
  </si>
  <si>
    <t>PIZARRO MAMANI ASTRI KAROLINA</t>
  </si>
  <si>
    <t>PLAZA</t>
  </si>
  <si>
    <t>71664793</t>
  </si>
  <si>
    <t>GONZALES ALEJANDRO LUIS ALBERTO</t>
  </si>
  <si>
    <t>LIMA 2</t>
  </si>
  <si>
    <t>REMESA APROBADA CD 77K HACER NUEVA CALCULADORA 78500 SINCERAR  SU EECC DE GNB</t>
  </si>
  <si>
    <t>73366141</t>
  </si>
  <si>
    <t>TARRILLO MEGO DENIS OSCAR</t>
  </si>
  <si>
    <t>NORTE</t>
  </si>
  <si>
    <t xml:space="preserve">   </t>
  </si>
  <si>
    <t>PIERO LOPEZ</t>
  </si>
  <si>
    <t>71639629</t>
  </si>
  <si>
    <t>BERNAOLA UTANI EDISON GUILLERMO</t>
  </si>
  <si>
    <t>47563698</t>
  </si>
  <si>
    <t>BARRIOS RODRIGUEZ WILMER ENRIQUE</t>
  </si>
  <si>
    <t>TARAPOTO</t>
  </si>
  <si>
    <t xml:space="preserve">CD BANCOM: PENDIENTE RESPUESTA DE REMESA </t>
  </si>
  <si>
    <t>44319380</t>
  </si>
  <si>
    <t>CAHUANA CONDORI NELSON WILLIAN</t>
  </si>
  <si>
    <t>AYACUCHO</t>
  </si>
  <si>
    <t>JAVIER QUESQUEN</t>
  </si>
  <si>
    <t>73855212</t>
  </si>
  <si>
    <t>HERRERA AGUILAR GABRIEL ADRIAN</t>
  </si>
  <si>
    <t>AREQUIPA</t>
  </si>
  <si>
    <t>CD SCOTIABANK</t>
  </si>
  <si>
    <t>HUANCAYO</t>
  </si>
  <si>
    <t>74288819</t>
  </si>
  <si>
    <t>ALARCON MOLOCHO DEIVIS ESNESTOR</t>
  </si>
  <si>
    <t>61,490.00</t>
  </si>
  <si>
    <t>AZUCENA BARBA</t>
  </si>
  <si>
    <t>40460400</t>
  </si>
  <si>
    <t>CRUZ ARRIETA DAYANARA DEL CARMEN</t>
  </si>
  <si>
    <t>ESSALUD</t>
  </si>
  <si>
    <t xml:space="preserve">CD BANCO DE COMERCIO </t>
  </si>
  <si>
    <t>77015562</t>
  </si>
  <si>
    <t>GUEVARA ZELADA ADILVER APARICIO</t>
  </si>
  <si>
    <t>02852919</t>
  </si>
  <si>
    <t>MULATILLO VALLE RIGOBERTO</t>
  </si>
  <si>
    <t>CREDITO NUEVO: EN TOMA DE FIRMAS</t>
  </si>
  <si>
    <t>75621329</t>
  </si>
  <si>
    <t>PEREZ VASQUEZ JEAN ROBERT</t>
  </si>
  <si>
    <t>16714200</t>
  </si>
  <si>
    <t>ADANAQUE DELGADO DANTE ISAIAS</t>
  </si>
  <si>
    <t>DSRLLC</t>
  </si>
  <si>
    <t>CD BANCOM: EN TOMA DE FIRMAS</t>
  </si>
  <si>
    <t>72532327</t>
  </si>
  <si>
    <t>HUANCAS PADILLA JOSE ALEX</t>
  </si>
  <si>
    <t>48511402</t>
  </si>
  <si>
    <t>RAIME QUISPE JORGE ALFREDO</t>
  </si>
  <si>
    <t>73461397</t>
  </si>
  <si>
    <t>ATOCHE DELGADO EDWIN GABRIEL</t>
  </si>
  <si>
    <t>CREDITO NUEVO: SUBIR REMESA</t>
  </si>
  <si>
    <t>42472052</t>
  </si>
  <si>
    <t>NAVARRO APARICIO JUANA ANDREA</t>
  </si>
  <si>
    <t>45862310</t>
  </si>
  <si>
    <t>CASTILLO PEREZ YOBAR DEYNER</t>
  </si>
  <si>
    <t>CD BANBIF</t>
  </si>
  <si>
    <t>70509951</t>
  </si>
  <si>
    <t>74295926</t>
  </si>
  <si>
    <t>ARELLANO LEON BRAYAN DAIL</t>
  </si>
  <si>
    <t>VERGARA GAMARRA KEVIN ALDAIR</t>
  </si>
  <si>
    <t>CD INTERBANK</t>
  </si>
  <si>
    <t>44143917</t>
  </si>
  <si>
    <t>MONDRAGON MAMANI RODOLFO HUNTHEY</t>
  </si>
  <si>
    <t>44081864</t>
  </si>
  <si>
    <t>BURGOS VIGO VANESSA PAOLA</t>
  </si>
  <si>
    <t>62,860.00</t>
  </si>
  <si>
    <t xml:space="preserve">CHICLAYO </t>
  </si>
  <si>
    <t>48297343</t>
  </si>
  <si>
    <t>HUAMANI QUISPE JHON WILLIAN</t>
  </si>
  <si>
    <t xml:space="preserve">GABRIELA VELASQUEZ </t>
  </si>
  <si>
    <t>15753995</t>
  </si>
  <si>
    <t xml:space="preserve">PADILLA FALCON AMERICO JAVIER </t>
  </si>
  <si>
    <t xml:space="preserve">MARINA </t>
  </si>
  <si>
    <t xml:space="preserve">YURIKO OSPINO </t>
  </si>
  <si>
    <t>75202880</t>
  </si>
  <si>
    <t xml:space="preserve">CORDOVA QUESADA ROCIO MARILIN </t>
  </si>
  <si>
    <t>76643587</t>
  </si>
  <si>
    <t>ORTIZ AREVALO DOYSI MAIDELI</t>
  </si>
  <si>
    <t xml:space="preserve">HENRY CARCAMO </t>
  </si>
  <si>
    <t>46436786</t>
  </si>
  <si>
    <t>IPARRAGUIRRE QUISPE SEGUNDO MANUEL</t>
  </si>
  <si>
    <t xml:space="preserve">EP </t>
  </si>
  <si>
    <t xml:space="preserve">YOVANA BACA </t>
  </si>
  <si>
    <t>41873838</t>
  </si>
  <si>
    <t xml:space="preserve">ASENJO QUISPE ROXANA JAKELENE </t>
  </si>
  <si>
    <t xml:space="preserve">ESSALUD </t>
  </si>
  <si>
    <t xml:space="preserve">JHONNY SANDOVAL </t>
  </si>
  <si>
    <t>46309599</t>
  </si>
  <si>
    <t>ANGELES ROJAS LEYZY ROMINA</t>
  </si>
  <si>
    <t>42787348</t>
  </si>
  <si>
    <t>SANGAMA ISHUIZA JOSE SANTOS</t>
  </si>
  <si>
    <t xml:space="preserve">RUBEN MEJIA </t>
  </si>
  <si>
    <t>77528460</t>
  </si>
  <si>
    <t xml:space="preserve">FELIX SULCA JEFFERSON DIEGO ARMANDO </t>
  </si>
  <si>
    <t>48103620</t>
  </si>
  <si>
    <t>PUMA AVILA ANTHONY JHORDY</t>
  </si>
  <si>
    <t>42732248</t>
  </si>
  <si>
    <t>ALEGRE HUERTA MIGUEL VICTOR</t>
  </si>
  <si>
    <t>10761842</t>
  </si>
  <si>
    <t>CHUQUIZUTA GRANDEZ PEDRO PABLO</t>
  </si>
  <si>
    <t>70751258</t>
  </si>
  <si>
    <t>SANCHEZ RUIZ HANS PETE</t>
  </si>
  <si>
    <t xml:space="preserve">KAROL MOÑAN </t>
  </si>
  <si>
    <t>73579828</t>
  </si>
  <si>
    <t>MILIAN HUAMAN EMMANUEL LEVIH</t>
  </si>
  <si>
    <t xml:space="preserve">CESAR SIESQUEN </t>
  </si>
  <si>
    <t>72933251</t>
  </si>
  <si>
    <t>BERNAL SANTAMARIA MIGUEL ALONSO</t>
  </si>
  <si>
    <t>77137634</t>
  </si>
  <si>
    <t>USCAMAYTA USCAMAYTA,LEYDI DIANA</t>
  </si>
  <si>
    <t>FLOR LLATAS</t>
  </si>
  <si>
    <t>48409811</t>
  </si>
  <si>
    <t>MUCHA HUARACA JHOEL KENDELL</t>
  </si>
  <si>
    <t>TACNA</t>
  </si>
  <si>
    <t xml:space="preserve">44758659	</t>
  </si>
  <si>
    <t xml:space="preserve">NAVARRO MAMANCHURA KENEDY </t>
  </si>
  <si>
    <t>ERICK GUEVARA</t>
  </si>
  <si>
    <t>46559043</t>
  </si>
  <si>
    <t>JORGE ANDRE LINARES PORTUGAL</t>
  </si>
  <si>
    <t>EVELYN GUTIERREZ</t>
  </si>
  <si>
    <t>77479805</t>
  </si>
  <si>
    <t>BARRETO ANGULLA MARYORI VANESA</t>
  </si>
  <si>
    <t>LIMA</t>
  </si>
  <si>
    <t>43506674</t>
  </si>
  <si>
    <t>SHENO CHRISTIAN MUNGI CASTILLON</t>
  </si>
  <si>
    <t>MELINA LEYVA</t>
  </si>
  <si>
    <t>76670984</t>
  </si>
  <si>
    <t xml:space="preserve">ANSONY MARCOS MUÑOZ TEMOCHE </t>
  </si>
  <si>
    <t>MERLY ROJAS</t>
  </si>
  <si>
    <t>45387374</t>
  </si>
  <si>
    <t>MATT CHERIE DEL AGUILA RAMIREZ</t>
  </si>
  <si>
    <t>74854997</t>
  </si>
  <si>
    <t>ROYER CAMILO ALVARADO OTEO</t>
  </si>
  <si>
    <t>41843888</t>
  </si>
  <si>
    <t>WENDY JACQUELINE VALENZUELA QUINTANA</t>
  </si>
  <si>
    <t>DIRIS LIMA NORTE</t>
  </si>
  <si>
    <t>LA MERCED</t>
  </si>
  <si>
    <t>47893379</t>
  </si>
  <si>
    <t>ELVIS KELVIN CARBAJAL HUAMAN</t>
  </si>
  <si>
    <t>YURIMAGUAS</t>
  </si>
  <si>
    <t>42971795</t>
  </si>
  <si>
    <t>BERTHA NOELIA REQUEJO SANCHEZ</t>
  </si>
  <si>
    <t>46134037</t>
  </si>
  <si>
    <t>PEDRO LUIS MORAN HUAPAYA</t>
  </si>
  <si>
    <t>48130636</t>
  </si>
  <si>
    <t>DAVID BRYAN QUISPE SANCARRANCO</t>
  </si>
  <si>
    <t>72201915</t>
  </si>
  <si>
    <t>LENIN FERNANDO HERNANDEZ ZAPATA</t>
  </si>
  <si>
    <t>70560233</t>
  </si>
  <si>
    <t>RICHARD CHANG BENEGAS MOLLO</t>
  </si>
  <si>
    <t>76791939</t>
  </si>
  <si>
    <t>LUISA HERMINIA CHOQUE LEON</t>
  </si>
  <si>
    <t>73750622</t>
  </si>
  <si>
    <t>DEYVI ROMARIO LOPEZ HUAMAN</t>
  </si>
  <si>
    <t>42155801</t>
  </si>
  <si>
    <t>VASQUEZ BUITRON,ROCIO MARIA EUGENIA</t>
  </si>
  <si>
    <t>CESAR MANUYAMA</t>
  </si>
  <si>
    <t>72137066</t>
  </si>
  <si>
    <t>MAMANI PUMA,JHORFFI ANTONIO</t>
  </si>
  <si>
    <t>09364190</t>
  </si>
  <si>
    <t>RODRIGUEZ JIMENEZ FILOMENA</t>
  </si>
  <si>
    <t>DIRIS ESTE</t>
  </si>
  <si>
    <t>70613717</t>
  </si>
  <si>
    <t>DIAZ JAMES GERALDINE VILMA</t>
  </si>
  <si>
    <t>70523894</t>
  </si>
  <si>
    <t>PUELLES CHAVEZ,ABEL</t>
  </si>
  <si>
    <t>45223132</t>
  </si>
  <si>
    <t>RAMOS CORONEL JAIME ENRIQUE</t>
  </si>
  <si>
    <t>43974918</t>
  </si>
  <si>
    <t>SALAZAR CONTRERAS SARALY SHIRLEY</t>
  </si>
  <si>
    <t>72361321</t>
  </si>
  <si>
    <t>MATOS GRANADOS DIEGO FRANCO</t>
  </si>
  <si>
    <t>72978342</t>
  </si>
  <si>
    <t>GALLEGOS APAZA,HILDA</t>
  </si>
  <si>
    <t>70270464</t>
  </si>
  <si>
    <t>FLORES PASACHE SERGIO LUIS</t>
  </si>
  <si>
    <t>74541816</t>
  </si>
  <si>
    <t>ANTEZANA ESCOBAR RICHAR</t>
  </si>
  <si>
    <t>72192009</t>
  </si>
  <si>
    <t>MONTALVO ALEGRE KIMBERLYN SANDY</t>
  </si>
  <si>
    <t>DIRIS NORTE</t>
  </si>
  <si>
    <t>75450121</t>
  </si>
  <si>
    <t>PALACIOS PALOMINO JHAIR ALEXIS</t>
  </si>
  <si>
    <t>46396017</t>
  </si>
  <si>
    <t>MOREY GUEVARA MARCO OSIAS</t>
  </si>
  <si>
    <t>44892769</t>
  </si>
  <si>
    <t>ALVAREZ CHOQUEVILCA FREDI</t>
  </si>
  <si>
    <t>47079851</t>
  </si>
  <si>
    <t>CERVANTES MARTEL,TATIANA CELESTE</t>
  </si>
  <si>
    <t>46962631</t>
  </si>
  <si>
    <t>TAPIA GOMEZ,RICARDO SABINO</t>
  </si>
  <si>
    <t>77693930</t>
  </si>
  <si>
    <t>NUÑEZ NAVARRO LUDER JOEL</t>
  </si>
  <si>
    <t>72892973</t>
  </si>
  <si>
    <t>UBILLUS LOZADA MAURICIO RODRIGO</t>
  </si>
  <si>
    <t>ALCIDES FERNANDEZ PERALTA</t>
  </si>
  <si>
    <t>74957853</t>
  </si>
  <si>
    <t>MATOS TALLEDO MIGUEL ENRIQUE</t>
  </si>
  <si>
    <t>46776990</t>
  </si>
  <si>
    <t>PAUCAR GRANDEZ BILLY JHON</t>
  </si>
  <si>
    <t>ELVIS ACOSTA BARBARAN</t>
  </si>
  <si>
    <t>72905489</t>
  </si>
  <si>
    <t>TINEO SINCHITULLO CHRISTHOPER MICHAEL</t>
  </si>
  <si>
    <t>41202748</t>
  </si>
  <si>
    <t>BARRAGAN GOMEZ YANTEH</t>
  </si>
  <si>
    <t>MARVIN HUANAY RAMOS</t>
  </si>
  <si>
    <t>76521469</t>
  </si>
  <si>
    <t>DE LAS CASAS DIAZ LUIS ALBERTO</t>
  </si>
  <si>
    <t>43005385</t>
  </si>
  <si>
    <t>CHUMBE BORBOR JUAN CARLOS</t>
  </si>
  <si>
    <t>71467196</t>
  </si>
  <si>
    <t>DIAZ ULLOA SEBASTIAN</t>
  </si>
  <si>
    <t>74869031</t>
  </si>
  <si>
    <t>HOYOS LÓPEZ LANDER RAMIRO</t>
  </si>
  <si>
    <t>71503781</t>
  </si>
  <si>
    <t>SOTO CHAMBI HEBER WILMAN</t>
  </si>
  <si>
    <t>41513693</t>
  </si>
  <si>
    <t>FLORES LOPEZ HAROLD JOAN</t>
  </si>
  <si>
    <t>RENIEC</t>
  </si>
  <si>
    <t>76408717</t>
  </si>
  <si>
    <t>TAIPE AYME CRISTHIAN</t>
  </si>
  <si>
    <t>SUSAN VELASQUEZ</t>
  </si>
  <si>
    <t>47205342</t>
  </si>
  <si>
    <t>SALAS MORALES CESAR GUSTAVO</t>
  </si>
  <si>
    <t>PAOLA REYES</t>
  </si>
  <si>
    <t>PROVINCIA</t>
  </si>
  <si>
    <t>47527948</t>
  </si>
  <si>
    <t>JAUREGUI VALLEJOS CAROL ELENA</t>
  </si>
  <si>
    <t>PRONABEC</t>
  </si>
  <si>
    <t>25771622</t>
  </si>
  <si>
    <t>SAMAME FARFAN MABEL CRISTINA</t>
  </si>
  <si>
    <t>SALLY SAAVEDRA</t>
  </si>
  <si>
    <t>40817778</t>
  </si>
  <si>
    <t>HUAYOLI LOPEZ IRMA LOIDA</t>
  </si>
  <si>
    <t>DIRIS LIMA ESTE</t>
  </si>
  <si>
    <t>SALLY SAVEDRA</t>
  </si>
  <si>
    <t>74900689</t>
  </si>
  <si>
    <t>TAPIA OCHOA DAVID GERARDO</t>
  </si>
  <si>
    <t>FIRMA HOY 02/09/2026</t>
  </si>
  <si>
    <t>07760850</t>
  </si>
  <si>
    <t>ARTEAGA RAEZ DAVID RICARDO</t>
  </si>
  <si>
    <t>43609767</t>
  </si>
  <si>
    <t>IBAÑEZ CASTELO RENZO GABRUEL</t>
  </si>
  <si>
    <t xml:space="preserve"> 02852965 </t>
  </si>
  <si>
    <t>SEMINARIO LOPEZ MARIA AUDELIA</t>
  </si>
  <si>
    <t xml:space="preserve">PIO FERREYRA </t>
  </si>
  <si>
    <t>45719983</t>
  </si>
  <si>
    <t>LOAYZA PEÑA JOAN JAZMIN</t>
  </si>
  <si>
    <t>45555251</t>
  </si>
  <si>
    <t>CALUA RUIZ, FLOR CATALINA</t>
  </si>
  <si>
    <t>70004734</t>
  </si>
  <si>
    <t xml:space="preserve"> JAPURA FLORES,YIANMARCO </t>
  </si>
  <si>
    <t xml:space="preserve">PNP </t>
  </si>
  <si>
    <t xml:space="preserve">MILY FERNANDEZ </t>
  </si>
  <si>
    <t>40645477</t>
  </si>
  <si>
    <t>IZQUIERDO FERNANDEZ EDILBERTO NILO</t>
  </si>
  <si>
    <t xml:space="preserve">DIRIS </t>
  </si>
  <si>
    <t>02873157</t>
  </si>
  <si>
    <t>MARTINEZ REYES JIMMY GIANCARLO</t>
  </si>
  <si>
    <t xml:space="preserve">RENIEC </t>
  </si>
  <si>
    <t xml:space="preserve">CARLA CORMEJO </t>
  </si>
  <si>
    <t xml:space="preserve"> 70920967</t>
  </si>
  <si>
    <t>PUGA PEREZ JAVIER</t>
  </si>
  <si>
    <t>75997260</t>
  </si>
  <si>
    <t xml:space="preserve">MEJIA ESQUEN JHON ANDERSON </t>
  </si>
  <si>
    <t>74827611</t>
  </si>
  <si>
    <t xml:space="preserve">TUERO RAMIREZ JOSUE RONNIE </t>
  </si>
  <si>
    <t>75234673</t>
  </si>
  <si>
    <t>ZARATE AGUILAR ROYER VICENTE</t>
  </si>
  <si>
    <t>75129387</t>
  </si>
  <si>
    <t>VALDIVIEZO FLORES,ANGIE ARACELI</t>
  </si>
  <si>
    <t xml:space="preserve">MARIELLA JURADO </t>
  </si>
  <si>
    <t>73536042</t>
  </si>
  <si>
    <t>TIBURCIO PONCE,JUAN</t>
  </si>
  <si>
    <t>LEIDY EGOAVIL</t>
  </si>
  <si>
    <t>76093085</t>
  </si>
  <si>
    <t>CRUZ AVELLANEDA,JEFFERSON JOBO</t>
  </si>
  <si>
    <t xml:space="preserve">pnp </t>
  </si>
  <si>
    <t xml:space="preserve">  41215301</t>
  </si>
  <si>
    <t>SANCHEZ PACHECO ELVIS</t>
  </si>
  <si>
    <t>75731869</t>
  </si>
  <si>
    <t xml:space="preserve">CERAS ROJAS SAMUEL BERNARDO </t>
  </si>
  <si>
    <t xml:space="preserve">JOSE CONTRERAS </t>
  </si>
  <si>
    <t>43280373</t>
  </si>
  <si>
    <t xml:space="preserve">LAZARO DE LA CRUZ MARIO ELVIRO </t>
  </si>
  <si>
    <t>CARMEN QUISPE</t>
  </si>
  <si>
    <t>01324890</t>
  </si>
  <si>
    <t>RAMOS PEREZ FLOR ELIZABETH</t>
  </si>
  <si>
    <t>MINJUS</t>
  </si>
  <si>
    <t>SEBASTIAN QUINTEROS</t>
  </si>
  <si>
    <t>45932507</t>
  </si>
  <si>
    <t>YALAN SILVA YESENIA ISABEL-</t>
  </si>
  <si>
    <t>DIRIS LN</t>
  </si>
  <si>
    <t>GIOVANA  BEDOYA</t>
  </si>
  <si>
    <t xml:space="preserve">pendiente CNA itbk </t>
  </si>
  <si>
    <t>43373053</t>
  </si>
  <si>
    <t>HUGO AMADOR BARJA DAGA</t>
  </si>
  <si>
    <t>Obs BackOffice</t>
  </si>
  <si>
    <t>NELSON MUGARRA</t>
  </si>
  <si>
    <t>48003869</t>
  </si>
  <si>
    <t>75462776</t>
  </si>
  <si>
    <t>CHEPE PANIAGUA GLENDA</t>
  </si>
  <si>
    <t>ENGELS CUEVA VALQUI</t>
  </si>
  <si>
    <t>63,400.00</t>
  </si>
  <si>
    <t>GIOVANNI ALARCON</t>
  </si>
  <si>
    <t>ERIKA EZETA</t>
  </si>
  <si>
    <t>04067234</t>
  </si>
  <si>
    <t>DIMAS EDGAR FLORES POVES</t>
  </si>
  <si>
    <t>45646265</t>
  </si>
  <si>
    <t>100,000.00</t>
  </si>
  <si>
    <t>CRISTHIAN TORRES</t>
  </si>
  <si>
    <t>FLORES  DIAZ JONATHAN GIANCARLO</t>
  </si>
  <si>
    <t>MARIA VERGARA</t>
  </si>
  <si>
    <t>19260833</t>
  </si>
  <si>
    <t>JORGE LUIS CHERO GRADOS</t>
  </si>
  <si>
    <t>33,600.00</t>
  </si>
  <si>
    <t>26728061</t>
  </si>
  <si>
    <t>LUIS FERNANDO YANEZ CASTILLO</t>
  </si>
  <si>
    <t>41674814</t>
  </si>
  <si>
    <t>SILVIA CRISTINA PINILLOS TORRES</t>
  </si>
  <si>
    <t>85,600.00</t>
  </si>
  <si>
    <t>43564129</t>
  </si>
  <si>
    <t>MAYORGA CAMACHO MARCO ANTONIO</t>
  </si>
  <si>
    <t>CARLA ZAMBRANO</t>
  </si>
  <si>
    <t>TRUJILLO</t>
  </si>
  <si>
    <t>44627689</t>
  </si>
  <si>
    <t>CRUZ SAICO EBER DARIO</t>
  </si>
  <si>
    <t>MUNIC CERRO COLORADO</t>
  </si>
  <si>
    <t>RUTH CJURO</t>
  </si>
  <si>
    <t>75199143</t>
  </si>
  <si>
    <t>SANCHEZ DEL CARPIO LUIS FELIPE</t>
  </si>
  <si>
    <t>71070252</t>
  </si>
  <si>
    <t>CAHUANA PALOMINO GIAN CARLOS</t>
  </si>
  <si>
    <t>29595570</t>
  </si>
  <si>
    <t>PORTUGAL PORTOCARRERO EDITH</t>
  </si>
  <si>
    <t>ES SALUD</t>
  </si>
  <si>
    <t>45671122</t>
  </si>
  <si>
    <t>CJURO CONCHA WILLY JESUS</t>
  </si>
  <si>
    <t>44224584</t>
  </si>
  <si>
    <t>JIMENEZ ANCCO CARMEN ROSA</t>
  </si>
  <si>
    <t>44456933</t>
  </si>
  <si>
    <t xml:space="preserve">HUAMAN RAMIREZ,JENS ELVIS 
</t>
  </si>
  <si>
    <t>ALEXA ENEQUE</t>
  </si>
  <si>
    <t>48331047</t>
  </si>
  <si>
    <t xml:space="preserve">HUAMAN CHUQUIRUNA JOSUE ISAIAS </t>
  </si>
  <si>
    <t>47046936</t>
  </si>
  <si>
    <t>JIMENEZ LOPEZ WILLIAN FERNANDO</t>
  </si>
  <si>
    <t>A</t>
  </si>
  <si>
    <t>45691037</t>
  </si>
  <si>
    <t xml:space="preserve">REYES LA MADRID NILS ERICKSON </t>
  </si>
  <si>
    <t>JANETH ZAVALETA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</si>
</sst>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S/.]#,##0.00"/>
    <numFmt numFmtId="165" formatCode="00.0%"/>
    <numFmt numFmtId="166" formatCode="d/MM/yyyy"/>
    <numFmt numFmtId="167" formatCode="dd/mm/yyyy"/>
    <numFmt numFmtId="168" formatCode="dd-mm-yyyy"/>
    <numFmt numFmtId="169" formatCode="dd-mm"/>
  </numFmts>
  <fonts count="51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2D74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8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sz val="9.0"/>
      <color rgb="FF000000"/>
      <name val="Roboto"/>
    </font>
    <font>
      <sz val="10.0"/>
      <color rgb="FF000000"/>
      <name val="Arial"/>
    </font>
    <font>
      <sz val="10.0"/>
      <color rgb="FF242424"/>
      <name val="Arial"/>
    </font>
    <font>
      <color theme="1"/>
      <name val="Roboto"/>
    </font>
    <font>
      <color theme="1"/>
      <name val="Arial"/>
    </font>
    <font>
      <color rgb="FF000000"/>
      <name val="Arial"/>
      <scheme val="minor"/>
    </font>
    <font>
      <sz val="11.0"/>
      <color rgb="FF000000"/>
      <name val="Arial"/>
    </font>
    <font>
      <sz val="9.0"/>
      <color rgb="FF000000"/>
      <name val="Arial"/>
      <scheme val="minor"/>
    </font>
    <font>
      <color rgb="FF000000"/>
      <name val="Arial"/>
    </font>
    <font>
      <color rgb="FF11734B"/>
      <name val="Roboto"/>
    </font>
    <font>
      <sz val="9.0"/>
      <color rgb="FF000000"/>
      <name val="Arial"/>
    </font>
    <font>
      <sz val="9.0"/>
      <color rgb="FF1F1F1F"/>
      <name val="&quot;Google Sans&quot;"/>
    </font>
    <font>
      <sz val="11.0"/>
      <color rgb="FF242424"/>
      <name val="Arial"/>
    </font>
    <font>
      <b/>
      <sz val="11.0"/>
      <color rgb="FFFF4F00"/>
      <name val="Calibri"/>
    </font>
    <font>
      <b/>
      <sz val="11.0"/>
      <color rgb="FF002D74"/>
      <name val="Calibri"/>
    </font>
    <font>
      <sz val="10.0"/>
      <color rgb="FF000000"/>
      <name val="Roboto"/>
    </font>
    <font/>
    <font>
      <sz val="9.0"/>
      <color theme="1"/>
      <name val="Roboto"/>
    </font>
    <font>
      <sz val="9.0"/>
      <color rgb="FF242424"/>
      <name val="Arial"/>
    </font>
    <font>
      <color rgb="FF000000"/>
      <name val="Calibri"/>
    </font>
    <font>
      <sz val="9.0"/>
      <color rgb="FF000000"/>
      <name val="-apple-system"/>
    </font>
    <font>
      <sz val="9.0"/>
      <color theme="1"/>
      <name val="Arial"/>
      <scheme val="minor"/>
    </font>
    <font>
      <sz val="9.0"/>
      <color theme="1"/>
      <name val="Arial"/>
    </font>
    <font>
      <sz val="10.0"/>
      <color rgb="FF1F1F1F"/>
      <name val="&quot;Google Sans&quot;"/>
    </font>
    <font>
      <sz val="9.0"/>
      <color rgb="FF1F1F1F"/>
      <name val="Google Sans"/>
    </font>
    <font>
      <color theme="1"/>
      <name val="-apple-system"/>
    </font>
    <font>
      <sz val="12.0"/>
      <color rgb="FF000000"/>
      <name val="-apple-system"/>
    </font>
    <font>
      <color rgb="FF000000"/>
      <name val="-apple-system"/>
    </font>
    <font>
      <sz val="17.0"/>
      <color rgb="FF1F1F1F"/>
      <name val="&quot;Google Sans&quot;"/>
    </font>
    <font>
      <color rgb="FF000000"/>
      <name val="&quot;Calibri Light&quot;"/>
    </font>
    <font>
      <color rgb="FF215A6C"/>
      <name val="Roboto"/>
    </font>
    <font>
      <color rgb="FF473821"/>
      <name val="Roboto"/>
    </font>
    <font>
      <color rgb="FF753800"/>
      <name val="Roboto"/>
    </font>
    <font>
      <color rgb="FF434343"/>
      <name val="Roboto"/>
    </font>
    <font>
      <b/>
      <color rgb="FF434343"/>
      <name val="Roboto"/>
    </font>
    <font>
      <sz val="8.0"/>
      <color theme="1"/>
      <name val="Arial"/>
      <scheme val="minor"/>
    </font>
    <font>
      <color rgb="FF0A53A8"/>
      <name val="Roboto"/>
    </font>
    <font>
      <sz val="9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2D74"/>
        <bgColor rgb="FF002D74"/>
      </patternFill>
    </fill>
    <fill>
      <patternFill patternType="solid">
        <fgColor rgb="FFEFEFEF"/>
        <bgColor rgb="FFEFEFEF"/>
      </patternFill>
    </fill>
    <fill>
      <patternFill patternType="solid">
        <fgColor rgb="FFC4090F"/>
        <bgColor rgb="FFC4090F"/>
      </patternFill>
    </fill>
    <fill>
      <patternFill patternType="solid">
        <fgColor rgb="FFFF4F00"/>
        <bgColor rgb="FFFF4F00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4EDBC"/>
        <bgColor rgb="FFD4EDBC"/>
      </patternFill>
    </fill>
    <fill>
      <patternFill patternType="solid">
        <fgColor rgb="FFC6DBE1"/>
        <bgColor rgb="FFC6DBE1"/>
      </patternFill>
    </fill>
    <fill>
      <patternFill patternType="solid">
        <fgColor rgb="FFFFE5A0"/>
        <bgColor rgb="FFFFE5A0"/>
      </patternFill>
    </fill>
    <fill>
      <patternFill patternType="solid">
        <fgColor rgb="FFF3F3F3"/>
        <bgColor rgb="FFF3F3F3"/>
      </patternFill>
    </fill>
    <fill>
      <patternFill patternType="solid">
        <fgColor rgb="FFBFE1F6"/>
        <bgColor rgb="FFBFE1F6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readingOrder="0" shrinkToFit="0" vertical="center" wrapText="0"/>
    </xf>
    <xf borderId="1" fillId="4" fontId="5" numFmtId="164" xfId="0" applyAlignment="1" applyBorder="1" applyFill="1" applyFont="1" applyNumberForma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vertical="center"/>
    </xf>
    <xf borderId="2" fillId="6" fontId="7" numFmtId="0" xfId="0" applyAlignment="1" applyBorder="1" applyFill="1" applyFont="1">
      <alignment horizontal="center" readingOrder="0" vertical="center"/>
    </xf>
    <xf borderId="2" fillId="3" fontId="7" numFmtId="0" xfId="0" applyAlignment="1" applyBorder="1" applyFill="1" applyFont="1">
      <alignment horizontal="center" readingOrder="0" vertical="center"/>
    </xf>
    <xf borderId="2" fillId="7" fontId="7" numFmtId="0" xfId="0" applyAlignment="1" applyBorder="1" applyFill="1" applyFont="1">
      <alignment horizontal="center" readingOrder="0" vertical="center"/>
    </xf>
    <xf borderId="2" fillId="8" fontId="8" numFmtId="164" xfId="0" applyAlignment="1" applyBorder="1" applyFill="1" applyFont="1" applyNumberFormat="1">
      <alignment horizontal="center" readingOrder="0" vertical="center"/>
    </xf>
    <xf borderId="1" fillId="4" fontId="5" numFmtId="165" xfId="0" applyAlignment="1" applyBorder="1" applyFill="1" applyFont="1" applyNumberFormat="1">
      <alignment horizontal="center" readingOrder="0" shrinkToFit="0" vertical="center" wrapText="0"/>
    </xf>
    <xf borderId="2" fillId="8" fontId="8" numFmtId="164" xfId="0" applyAlignment="1" applyBorder="1" applyFill="1" applyFont="1" applyNumberFormat="1">
      <alignment horizontal="center" vertical="center"/>
    </xf>
    <xf borderId="2" fillId="8" fontId="9" numFmtId="164" xfId="0" applyAlignment="1" applyBorder="1" applyFill="1" applyFont="1" applyNumberFormat="1">
      <alignment horizontal="center" vertical="center"/>
    </xf>
    <xf borderId="2" fillId="9" fontId="7" numFmtId="0" xfId="0" applyAlignment="1" applyBorder="1" applyFill="1" applyFont="1">
      <alignment horizontal="center" readingOrder="0" vertical="center"/>
    </xf>
    <xf borderId="2" fillId="8" fontId="8" numFmtId="0" xfId="0" applyAlignment="1" applyBorder="1" applyFill="1" applyFont="1">
      <alignment horizontal="center" readingOrder="0" vertical="center"/>
    </xf>
    <xf borderId="2" fillId="8" fontId="8" numFmtId="0" xfId="0" applyAlignment="1" applyBorder="1" applyFill="1" applyFont="1">
      <alignment horizontal="center" vertical="center"/>
    </xf>
    <xf borderId="2" fillId="8" fontId="8" numFmtId="10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0" fillId="6" fontId="11" numFmtId="0" xfId="0" applyAlignment="1" applyFill="1" applyFont="1">
      <alignment horizontal="center" readingOrder="0" shrinkToFit="0" vertical="center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4" fillId="4" fontId="12" numFmtId="166" xfId="0" applyAlignment="1" applyBorder="1" applyFill="1" applyFont="1" applyNumberFormat="1">
      <alignment horizontal="center" readingOrder="0" shrinkToFit="0" vertical="center" wrapText="0"/>
    </xf>
    <xf borderId="4" fillId="4" fontId="1" numFmtId="166" xfId="0" applyAlignment="1" applyBorder="1" applyFill="1" applyFont="1" applyNumberFormat="1">
      <alignment horizontal="center" readingOrder="0" shrinkToFit="0" vertical="center" wrapText="0"/>
    </xf>
    <xf borderId="5" fillId="4" fontId="12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6" fillId="4" fontId="12" numFmtId="166" xfId="0" applyAlignment="1" applyBorder="1" applyFill="1" applyFont="1" applyNumberFormat="1">
      <alignment horizontal="center" readingOrder="0" shrinkToFit="0" vertical="center" wrapText="0"/>
    </xf>
    <xf borderId="6" fillId="4" fontId="13" numFmtId="166" xfId="0" applyAlignment="1" applyBorder="1" applyFill="1" applyFont="1" applyNumberFormat="1">
      <alignment horizontal="center" readingOrder="0" shrinkToFit="0" vertical="center" wrapText="0"/>
    </xf>
    <xf borderId="4" fillId="4" fontId="1" numFmtId="49" xfId="0" applyAlignment="1" applyBorder="1" applyFill="1" applyFont="1" applyNumberFormat="1">
      <alignment horizontal="center" readingOrder="0" shrinkToFit="0" vertical="center" wrapText="0"/>
    </xf>
    <xf borderId="6" fillId="4" fontId="14" numFmtId="49" xfId="0" applyAlignment="1" applyBorder="1" applyFill="1" applyFont="1" applyNumberFormat="1">
      <alignment horizontal="center" readingOrder="0" shrinkToFit="0" vertical="center" wrapText="0"/>
    </xf>
    <xf borderId="6" fillId="4" fontId="15" numFmtId="49" xfId="0" applyAlignment="1" applyBorder="1" applyFill="1" applyFont="1" applyNumberFormat="1">
      <alignment readingOrder="0" shrinkToFit="0" vertical="center" wrapText="0"/>
    </xf>
    <xf borderId="4" fillId="4" fontId="11" numFmtId="164" xfId="0" applyAlignment="1" applyBorder="1" applyFill="1" applyFont="1" applyNumberFormat="1">
      <alignment horizontal="center" readingOrder="0" shrinkToFit="0" vertical="center" wrapText="0"/>
    </xf>
    <xf borderId="6" fillId="4" fontId="16" numFmtId="0" xfId="0" applyAlignment="1" applyBorder="1" applyFill="1" applyFont="1">
      <alignment horizontal="center" readingOrder="0" shrinkToFit="0" vertical="center" wrapText="0"/>
    </xf>
    <xf borderId="4" fillId="4" fontId="1" numFmtId="49" xfId="0" applyAlignment="1" applyBorder="1" applyFill="1" applyFont="1" applyNumberFormat="1">
      <alignment readingOrder="0" shrinkToFit="0" vertical="center" wrapText="0"/>
    </xf>
    <xf borderId="7" fillId="4" fontId="12" numFmtId="0" xfId="0" applyAlignment="1" applyBorder="1" applyFill="1" applyFont="1">
      <alignment horizontal="center" readingOrder="0" shrinkToFit="0" vertical="center" wrapText="0"/>
    </xf>
    <xf borderId="6" fillId="4" fontId="16" numFmtId="164" xfId="0" applyAlignment="1" applyBorder="1" applyFill="1" applyFont="1" applyNumberFormat="1">
      <alignment horizontal="center" readingOrder="0" shrinkToFit="0" vertical="center" wrapText="0"/>
    </xf>
    <xf borderId="6" fillId="4" fontId="17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shrinkToFit="0" vertical="center" wrapText="0"/>
    </xf>
    <xf borderId="6" fillId="4" fontId="12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ill="1" applyFont="1">
      <alignment horizontal="center" shrinkToFit="0" vertical="center" wrapText="0"/>
    </xf>
    <xf borderId="6" fillId="4" fontId="18" numFmtId="0" xfId="0" applyAlignment="1" applyBorder="1" applyFill="1" applyFont="1">
      <alignment horizontal="center" shrinkToFit="0" vertical="center" wrapText="0"/>
    </xf>
    <xf borderId="4" fillId="4" fontId="1" numFmtId="167" xfId="0" applyAlignment="1" applyBorder="1" applyFill="1" applyFont="1" applyNumberFormat="1">
      <alignment horizontal="center" readingOrder="0" shrinkToFit="0" vertical="center" wrapText="0"/>
    </xf>
    <xf borderId="6" fillId="4" fontId="18" numFmtId="0" xfId="0" applyAlignment="1" applyBorder="1" applyFill="1" applyFont="1">
      <alignment horizontal="center" shrinkToFit="0" vertical="center" wrapText="0"/>
    </xf>
    <xf borderId="4" fillId="4" fontId="1" numFmtId="49" xfId="0" applyAlignment="1" applyBorder="1" applyFill="1" applyFont="1" applyNumberFormat="1">
      <alignment shrinkToFit="0" vertical="center" wrapText="0"/>
    </xf>
    <xf borderId="6" fillId="4" fontId="19" numFmtId="164" xfId="0" applyAlignment="1" applyBorder="1" applyFill="1" applyFont="1" applyNumberFormat="1">
      <alignment horizontal="center" readingOrder="0" shrinkToFit="0" vertical="center" wrapText="0"/>
    </xf>
    <xf borderId="6" fillId="4" fontId="18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5" fillId="4" fontId="18" numFmtId="0" xfId="0" applyAlignment="1" applyBorder="1" applyFill="1" applyFont="1">
      <alignment horizontal="center" readingOrder="0" shrinkToFit="0" vertical="center" wrapText="0"/>
    </xf>
    <xf borderId="6" fillId="4" fontId="18" numFmtId="166" xfId="0" applyAlignment="1" applyBorder="1" applyFill="1" applyFont="1" applyNumberFormat="1">
      <alignment horizontal="center" readingOrder="0" shrinkToFit="0" vertical="center" wrapText="0"/>
    </xf>
    <xf borderId="6" fillId="4" fontId="20" numFmtId="166" xfId="0" applyAlignment="1" applyBorder="1" applyFill="1" applyFont="1" applyNumberFormat="1">
      <alignment horizontal="center" readingOrder="0" shrinkToFit="0" vertical="center" wrapText="0"/>
    </xf>
    <xf borderId="7" fillId="4" fontId="18" numFmtId="0" xfId="0" applyAlignment="1" applyBorder="1" applyFill="1" applyFont="1">
      <alignment horizontal="center" readingOrder="0" shrinkToFit="0" vertical="center" wrapText="0"/>
    </xf>
    <xf borderId="6" fillId="4" fontId="13" numFmtId="0" xfId="0" applyAlignment="1" applyBorder="1" applyFill="1" applyFon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4" fillId="4" fontId="18" numFmtId="166" xfId="0" applyAlignment="1" applyBorder="1" applyFill="1" applyFont="1" applyNumberFormat="1">
      <alignment horizontal="center" readingOrder="0" shrinkToFit="0" vertical="center" wrapText="0"/>
    </xf>
    <xf borderId="6" fillId="4" fontId="21" numFmtId="164" xfId="0" applyAlignment="1" applyBorder="1" applyFill="1" applyFont="1" applyNumberFormat="1">
      <alignment horizontal="center" readingOrder="0" shrinkToFit="0" vertical="center" wrapText="0"/>
    </xf>
    <xf borderId="4" fillId="4" fontId="1" numFmtId="166" xfId="0" applyAlignment="1" applyBorder="1" applyFill="1" applyFont="1" applyNumberFormat="1">
      <alignment horizontal="center" shrinkToFit="0" vertical="center" wrapText="0"/>
    </xf>
    <xf borderId="4" fillId="4" fontId="22" numFmtId="0" xfId="0" applyAlignment="1" applyBorder="1" applyFill="1" applyFont="1">
      <alignment horizontal="center" shrinkToFit="0" vertical="center" wrapText="0"/>
    </xf>
    <xf borderId="6" fillId="4" fontId="18" numFmtId="166" xfId="0" applyAlignment="1" applyBorder="1" applyFill="1" applyFont="1" applyNumberFormat="1">
      <alignment horizontal="center" shrinkToFit="0" vertical="center" wrapText="0"/>
    </xf>
    <xf borderId="6" fillId="4" fontId="14" numFmtId="49" xfId="0" applyAlignment="1" applyBorder="1" applyFill="1" applyFont="1" applyNumberFormat="1">
      <alignment readingOrder="0" shrinkToFit="0" vertical="center" wrapText="0"/>
    </xf>
    <xf borderId="6" fillId="4" fontId="18" numFmtId="0" xfId="0" applyAlignment="1" applyBorder="1" applyFill="1" applyFont="1">
      <alignment horizontal="center" readingOrder="0" shrinkToFit="0" vertical="center" wrapText="0"/>
    </xf>
    <xf borderId="4" fillId="4" fontId="11" numFmtId="49" xfId="0" applyAlignment="1" applyBorder="1" applyFill="1" applyFont="1" applyNumberFormat="1">
      <alignment horizontal="center" readingOrder="0" shrinkToFit="0" vertical="center" wrapText="0"/>
    </xf>
    <xf borderId="6" fillId="4" fontId="23" numFmtId="49" xfId="0" applyAlignment="1" applyBorder="1" applyFill="1" applyFont="1" applyNumberFormat="1">
      <alignment horizontal="center" readingOrder="0" shrinkToFit="0" vertical="center" wrapText="0"/>
    </xf>
    <xf borderId="6" fillId="4" fontId="24" numFmtId="49" xfId="0" applyAlignment="1" applyBorder="1" applyFill="1" applyFont="1" applyNumberFormat="1">
      <alignment readingOrder="0" shrinkToFit="0" vertical="center" wrapText="0"/>
    </xf>
    <xf borderId="6" fillId="4" fontId="20" numFmtId="0" xfId="0" applyAlignment="1" applyBorder="1" applyFill="1" applyFont="1">
      <alignment horizontal="center" readingOrder="0" shrinkToFit="0" vertical="center" wrapText="0"/>
    </xf>
    <xf borderId="6" fillId="4" fontId="20" numFmtId="166" xfId="0" applyAlignment="1" applyBorder="1" applyFill="1" applyFont="1" applyNumberFormat="1">
      <alignment horizontal="center" shrinkToFit="0" vertical="center" wrapText="0"/>
    </xf>
    <xf borderId="6" fillId="4" fontId="19" numFmtId="49" xfId="0" applyAlignment="1" applyBorder="1" applyFill="1" applyFont="1" applyNumberFormat="1">
      <alignment horizontal="center" readingOrder="0" shrinkToFit="0" vertical="center" wrapText="0"/>
    </xf>
    <xf borderId="6" fillId="4" fontId="25" numFmtId="49" xfId="0" applyAlignment="1" applyBorder="1" applyFill="1" applyFont="1" applyNumberFormat="1">
      <alignment readingOrder="0" shrinkToFit="0" vertical="center" wrapText="0"/>
    </xf>
    <xf borderId="6" fillId="4" fontId="25" numFmtId="49" xfId="0" applyAlignment="1" applyBorder="1" applyFill="1" applyFont="1" applyNumberFormat="1">
      <alignment horizontal="left" readingOrder="0" shrinkToFit="0" vertical="center" wrapText="0"/>
    </xf>
    <xf borderId="1" fillId="10" fontId="26" numFmtId="0" xfId="0" applyAlignment="1" applyBorder="1" applyFill="1" applyFont="1">
      <alignment readingOrder="0" shrinkToFit="0" vertical="center" wrapText="0"/>
    </xf>
    <xf borderId="1" fillId="10" fontId="26" numFmtId="0" xfId="0" applyAlignment="1" applyBorder="1" applyFill="1" applyFont="1">
      <alignment vertical="center"/>
    </xf>
    <xf borderId="1" fillId="11" fontId="27" numFmtId="164" xfId="0" applyAlignment="1" applyBorder="1" applyFill="1" applyFont="1" applyNumberFormat="1">
      <alignment horizontal="center" readingOrder="0" shrinkToFit="0" vertical="center" wrapText="0"/>
    </xf>
    <xf borderId="1" fillId="11" fontId="27" numFmtId="0" xfId="0" applyAlignment="1" applyBorder="1" applyFill="1" applyFont="1">
      <alignment horizontal="center" readingOrder="0" shrinkToFit="0" vertical="center" wrapText="0"/>
    </xf>
    <xf borderId="1" fillId="10" fontId="26" numFmtId="164" xfId="0" applyAlignment="1" applyBorder="1" applyFill="1" applyFont="1" applyNumberFormat="1">
      <alignment horizontal="center" readingOrder="0" shrinkToFit="0" vertical="center" wrapText="0"/>
    </xf>
    <xf borderId="1" fillId="10" fontId="26" numFmtId="3" xfId="0" applyAlignment="1" applyBorder="1" applyFill="1" applyFont="1" applyNumberFormat="1">
      <alignment horizontal="center" readingOrder="0" shrinkToFit="0" vertical="center" wrapText="0"/>
    </xf>
    <xf borderId="1" fillId="10" fontId="26" numFmtId="0" xfId="0" applyAlignment="1" applyBorder="1" applyFill="1" applyFont="1">
      <alignment horizontal="center" readingOrder="0" shrinkToFit="0" vertical="center" wrapText="0"/>
    </xf>
    <xf borderId="7" fillId="4" fontId="28" numFmtId="0" xfId="0" applyAlignment="1" applyBorder="1" applyFill="1" applyFont="1">
      <alignment horizontal="center" readingOrder="0" shrinkToFit="0" vertical="center" wrapText="0"/>
    </xf>
    <xf borderId="8" fillId="2" fontId="3" numFmtId="0" xfId="0" applyAlignment="1" applyBorder="1" applyFill="1" applyFont="1">
      <alignment readingOrder="0" shrinkToFit="0" vertical="center" wrapText="0"/>
    </xf>
    <xf borderId="9" fillId="0" fontId="29" numFmtId="0" xfId="0" applyBorder="1" applyFont="1"/>
    <xf borderId="8" fillId="4" fontId="4" numFmtId="0" xfId="0" applyAlignment="1" applyBorder="1" applyFill="1" applyFont="1">
      <alignment readingOrder="0" shrinkToFit="0" vertical="center" wrapText="0"/>
    </xf>
    <xf borderId="4" fillId="4" fontId="16" numFmtId="166" xfId="0" applyAlignment="1" applyBorder="1" applyFill="1" applyFont="1" applyNumberFormat="1">
      <alignment horizontal="center" readingOrder="0" shrinkToFit="0" vertical="center" wrapText="0"/>
    </xf>
    <xf borderId="8" fillId="10" fontId="26" numFmtId="0" xfId="0" applyAlignment="1" applyBorder="1" applyFill="1" applyFont="1">
      <alignment readingOrder="0" shrinkToFit="0" vertical="center" wrapText="0"/>
    </xf>
    <xf borderId="1" fillId="10" fontId="26" numFmtId="165" xfId="0" applyAlignment="1" applyBorder="1" applyFill="1" applyFont="1" applyNumberForma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6" fillId="4" fontId="24" numFmtId="49" xfId="0" applyAlignment="1" applyBorder="1" applyFill="1" applyFont="1" applyNumberFormat="1">
      <alignment horizontal="center" readingOrder="0" shrinkToFit="0" vertical="center" wrapText="0"/>
    </xf>
    <xf borderId="10" fillId="4" fontId="18" numFmtId="0" xfId="0" applyAlignment="1" applyBorder="1" applyFill="1" applyFont="1">
      <alignment horizontal="center" shrinkToFit="0" vertical="center" wrapText="0"/>
    </xf>
    <xf borderId="4" fillId="4" fontId="30" numFmtId="166" xfId="0" applyAlignment="1" applyBorder="1" applyFill="1" applyFont="1" applyNumberFormat="1">
      <alignment horizontal="center" shrinkToFit="0" vertical="center" wrapText="0"/>
    </xf>
    <xf borderId="6" fillId="4" fontId="31" numFmtId="49" xfId="0" applyAlignment="1" applyBorder="1" applyFill="1" applyFont="1" applyNumberFormat="1">
      <alignment readingOrder="0" shrinkToFit="0" vertical="center" wrapText="0"/>
    </xf>
    <xf borderId="11" fillId="4" fontId="18" numFmtId="0" xfId="0" applyAlignment="1" applyBorder="1" applyFill="1" applyFont="1">
      <alignment horizontal="center" shrinkToFit="0" vertical="center" wrapText="0"/>
    </xf>
    <xf borderId="12" fillId="4" fontId="18" numFmtId="0" xfId="0" applyAlignment="1" applyBorder="1" applyFill="1" applyFont="1">
      <alignment horizontal="center" shrinkToFit="0" vertical="center" wrapText="0"/>
    </xf>
    <xf borderId="12" fillId="4" fontId="18" numFmtId="0" xfId="0" applyAlignment="1" applyBorder="1" applyFill="1" applyFont="1">
      <alignment horizontal="center" shrinkToFit="0" vertical="center" wrapText="0"/>
    </xf>
    <xf borderId="12" fillId="4" fontId="18" numFmtId="0" xfId="0" applyAlignment="1" applyBorder="1" applyFill="1" applyFont="1">
      <alignment horizontal="center" readingOrder="0" shrinkToFit="0" vertical="center" wrapText="0"/>
    </xf>
    <xf borderId="4" fillId="4" fontId="16" numFmtId="166" xfId="0" applyAlignment="1" applyBorder="1" applyFill="1" applyFont="1" applyNumberFormat="1">
      <alignment horizontal="center" shrinkToFit="0" vertical="center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12" fillId="4" fontId="18" numFmtId="166" xfId="0" applyAlignment="1" applyBorder="1" applyFill="1" applyFont="1" applyNumberFormat="1">
      <alignment horizontal="center" readingOrder="0" shrinkToFit="0" vertical="center" wrapText="0"/>
    </xf>
    <xf borderId="12" fillId="4" fontId="18" numFmtId="166" xfId="0" applyAlignment="1" applyBorder="1" applyFill="1" applyFont="1" applyNumberFormat="1">
      <alignment horizontal="center" shrinkToFit="0" vertical="center" wrapText="0"/>
    </xf>
    <xf borderId="0" fillId="4" fontId="19" numFmtId="49" xfId="0" applyAlignment="1" applyFill="1" applyFont="1" applyNumberFormat="1">
      <alignment horizontal="center" readingOrder="0" shrinkToFit="0" vertical="center" wrapText="0"/>
    </xf>
    <xf borderId="0" fillId="4" fontId="19" numFmtId="49" xfId="0" applyAlignment="1" applyFill="1" applyFont="1" applyNumberFormat="1">
      <alignment horizontal="left" readingOrder="0" shrinkToFit="0" vertical="center" wrapText="0"/>
    </xf>
    <xf borderId="0" fillId="4" fontId="19" numFmtId="164" xfId="0" applyAlignment="1" applyFill="1" applyFont="1" applyNumberForma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shrinkToFit="0" vertical="center" wrapText="0"/>
    </xf>
    <xf borderId="4" fillId="4" fontId="18" numFmtId="166" xfId="0" applyAlignment="1" applyBorder="1" applyFill="1" applyFont="1" applyNumberFormat="1">
      <alignment horizontal="center" shrinkToFit="0" vertical="center" wrapText="0"/>
    </xf>
    <xf borderId="4" fillId="4" fontId="19" numFmtId="49" xfId="0" applyAlignment="1" applyBorder="1" applyFill="1" applyFont="1" applyNumberFormat="1">
      <alignment horizontal="center" readingOrder="0" shrinkToFit="0" vertical="center" wrapText="0"/>
    </xf>
    <xf borderId="4" fillId="4" fontId="25" numFmtId="49" xfId="0" applyAlignment="1" applyBorder="1" applyFill="1" applyFont="1" applyNumberFormat="1">
      <alignment readingOrder="0" shrinkToFit="0" vertical="center" wrapText="0"/>
    </xf>
    <xf borderId="4" fillId="4" fontId="19" numFmtId="164" xfId="0" applyAlignment="1" applyBorder="1" applyFill="1" applyFont="1" applyNumberFormat="1">
      <alignment horizontal="center" readingOrder="0" shrinkToFit="0" vertical="center" wrapText="0"/>
    </xf>
    <xf borderId="4" fillId="4" fontId="24" numFmtId="49" xfId="0" applyAlignment="1" applyBorder="1" applyFill="1" applyFont="1" applyNumberFormat="1">
      <alignment horizontal="center" readingOrder="0" shrinkToFit="0" vertical="center" wrapText="0"/>
    </xf>
    <xf borderId="4" fillId="4" fontId="24" numFmtId="49" xfId="0" applyAlignment="1" applyBorder="1" applyFill="1" applyFont="1" applyNumberFormat="1">
      <alignment readingOrder="0" shrinkToFit="0" vertical="center" wrapText="0"/>
    </xf>
    <xf borderId="4" fillId="4" fontId="20" numFmtId="0" xfId="0" applyAlignment="1" applyBorder="1" applyFill="1" applyFont="1">
      <alignment horizontal="center" readingOrder="0" shrinkToFit="0" vertical="center" wrapText="0"/>
    </xf>
    <xf borderId="4" fillId="4" fontId="23" numFmtId="49" xfId="0" applyAlignment="1" applyBorder="1" applyFill="1" applyFont="1" applyNumberFormat="1">
      <alignment horizontal="center" readingOrder="0" shrinkToFit="0" vertical="center" wrapText="0"/>
    </xf>
    <xf borderId="4" fillId="4" fontId="31" numFmtId="49" xfId="0" applyAlignment="1" applyBorder="1" applyFill="1" applyFont="1" applyNumberFormat="1">
      <alignment readingOrder="0" shrinkToFit="0" vertical="center" wrapText="0"/>
    </xf>
    <xf borderId="4" fillId="4" fontId="1" numFmtId="49" xfId="0" applyAlignment="1" applyBorder="1" applyFill="1" applyFont="1" applyNumberFormat="1">
      <alignment horizontal="center" shrinkToFit="0" vertical="center" wrapText="0"/>
    </xf>
    <xf borderId="4" fillId="4" fontId="11" numFmtId="164" xfId="0" applyAlignment="1" applyBorder="1" applyFill="1" applyFont="1" applyNumberFormat="1">
      <alignment horizontal="center" shrinkToFit="0" vertical="center" wrapText="0"/>
    </xf>
    <xf borderId="4" fillId="4" fontId="18" numFmtId="164" xfId="0" applyAlignment="1" applyBorder="1" applyFill="1" applyFont="1" applyNumberFormat="1">
      <alignment horizontal="center" readingOrder="0" shrinkToFit="0" vertical="center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4" fillId="4" fontId="13" numFmtId="166" xfId="0" applyAlignment="1" applyBorder="1" applyFill="1" applyFont="1" applyNumberFormat="1">
      <alignment horizontal="center" readingOrder="0" shrinkToFit="0" vertical="center" wrapText="0"/>
    </xf>
    <xf borderId="4" fillId="4" fontId="13" numFmtId="0" xfId="0" applyAlignment="1" applyBorder="1" applyFill="1" applyFont="1">
      <alignment horizontal="center" readingOrder="0" shrinkToFit="0" vertical="center" wrapText="0"/>
    </xf>
    <xf borderId="4" fillId="4" fontId="28" numFmtId="0" xfId="0" applyAlignment="1" applyBorder="1" applyFill="1" applyFont="1">
      <alignment horizontal="center" readingOrder="0" shrinkToFit="0" vertical="center" wrapText="0"/>
    </xf>
    <xf borderId="4" fillId="4" fontId="32" numFmtId="164" xfId="0" applyAlignment="1" applyBorder="1" applyFill="1" applyFont="1" applyNumberFormat="1">
      <alignment horizontal="center" readingOrder="0" shrinkToFit="0" vertical="bottom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4" fillId="4" fontId="20" numFmtId="166" xfId="0" applyAlignment="1" applyBorder="1" applyFill="1" applyFont="1" applyNumberFormat="1">
      <alignment horizontal="center" readingOrder="0" shrinkToFit="0" vertical="center" wrapText="0"/>
    </xf>
    <xf borderId="4" fillId="4" fontId="21" numFmtId="164" xfId="0" applyAlignment="1" applyBorder="1" applyFill="1" applyFont="1" applyNumberFormat="1">
      <alignment horizontal="center" readingOrder="0" shrinkToFit="0" vertical="center" wrapText="0"/>
    </xf>
    <xf borderId="4" fillId="4" fontId="33" numFmtId="49" xfId="0" applyAlignment="1" applyBorder="1" applyFill="1" applyFont="1" applyNumberFormat="1">
      <alignment horizontal="center" readingOrder="0" shrinkToFit="0" vertical="center" wrapText="0"/>
    </xf>
    <xf borderId="4" fillId="4" fontId="33" numFmtId="49" xfId="0" applyAlignment="1" applyBorder="1" applyFill="1" applyFont="1" applyNumberFormat="1">
      <alignment readingOrder="0" shrinkToFit="0" vertical="center" wrapText="0"/>
    </xf>
    <xf borderId="4" fillId="4" fontId="33" numFmtId="164" xfId="0" applyAlignment="1" applyBorder="1" applyFill="1" applyFont="1" applyNumberFormat="1">
      <alignment horizontal="center" readingOrder="0" shrinkToFit="0" vertical="center" wrapText="0"/>
    </xf>
    <xf borderId="4" fillId="4" fontId="34" numFmtId="0" xfId="0" applyAlignment="1" applyBorder="1" applyFill="1" applyFont="1">
      <alignment horizontal="center" readingOrder="0" shrinkToFit="0" vertical="center" wrapText="0"/>
    </xf>
    <xf borderId="4" fillId="4" fontId="35" numFmtId="49" xfId="0" applyAlignment="1" applyBorder="1" applyFill="1" applyFont="1" applyNumberFormat="1">
      <alignment horizontal="center" shrinkToFit="0" vertical="center" wrapText="0"/>
    </xf>
    <xf borderId="4" fillId="4" fontId="35" numFmtId="49" xfId="0" applyAlignment="1" applyBorder="1" applyFill="1" applyFont="1" applyNumberFormat="1">
      <alignment shrinkToFit="0" vertical="center" wrapText="0"/>
    </xf>
    <xf borderId="4" fillId="4" fontId="16" numFmtId="0" xfId="0" applyAlignment="1" applyBorder="1" applyFill="1" applyFont="1">
      <alignment horizontal="center" shrinkToFit="0" vertical="center" wrapText="0"/>
    </xf>
    <xf borderId="4" fillId="4" fontId="16" numFmtId="164" xfId="0" applyAlignment="1" applyBorder="1" applyFill="1" applyFont="1" applyNumberFormat="1">
      <alignment horizontal="center" shrinkToFit="0" vertical="center" wrapText="0"/>
    </xf>
    <xf borderId="4" fillId="4" fontId="16" numFmtId="0" xfId="0" applyAlignment="1" applyBorder="1" applyFill="1" applyFont="1">
      <alignment horizontal="center" readingOrder="0" shrinkToFit="0" vertical="center" wrapText="0"/>
    </xf>
    <xf borderId="4" fillId="4" fontId="12" numFmtId="0" xfId="0" applyAlignment="1" applyBorder="1" applyFill="1" applyFont="1">
      <alignment horizontal="center" shrinkToFit="0" vertical="center" wrapText="0"/>
    </xf>
    <xf borderId="4" fillId="4" fontId="23" numFmtId="49" xfId="0" applyAlignment="1" applyBorder="1" applyFill="1" applyFont="1" applyNumberFormat="1">
      <alignment horizontal="center" readingOrder="0" shrinkToFit="0" vertical="center" wrapText="0"/>
    </xf>
    <xf borderId="4" fillId="4" fontId="23" numFmtId="49" xfId="0" applyAlignment="1" applyBorder="1" applyFill="1" applyFont="1" applyNumberFormat="1">
      <alignment readingOrder="0" shrinkToFit="0" vertical="center" wrapText="0"/>
    </xf>
    <xf borderId="4" fillId="4" fontId="11" numFmtId="166" xfId="0" applyAlignment="1" applyBorder="1" applyFill="1" applyFont="1" applyNumberFormat="1">
      <alignment horizontal="center" readingOrder="0" shrinkToFit="0" vertical="center" wrapText="0"/>
    </xf>
    <xf borderId="4" fillId="4" fontId="20" numFmtId="166" xfId="0" applyAlignment="1" applyBorder="1" applyFill="1" applyFont="1" applyNumberFormat="1">
      <alignment horizontal="center" shrinkToFit="0" vertical="center" wrapText="0"/>
    </xf>
    <xf borderId="4" fillId="4" fontId="36" numFmtId="49" xfId="0" applyAlignment="1" applyBorder="1" applyFill="1" applyFont="1" applyNumberFormat="1">
      <alignment horizontal="center" readingOrder="0" shrinkToFit="0" vertical="center" wrapText="0"/>
    </xf>
    <xf borderId="4" fillId="4" fontId="36" numFmtId="49" xfId="0" applyAlignment="1" applyBorder="1" applyFill="1" applyFont="1" applyNumberFormat="1">
      <alignment readingOrder="0" shrinkToFit="0" vertical="center" wrapText="0"/>
    </xf>
    <xf borderId="4" fillId="4" fontId="0" numFmtId="0" xfId="0" applyAlignment="1" applyBorder="1" applyFill="1" applyFont="1">
      <alignment horizontal="center" readingOrder="0" shrinkToFit="0" vertical="center" wrapText="0"/>
    </xf>
    <xf borderId="4" fillId="4" fontId="25" numFmtId="49" xfId="0" applyAlignment="1" applyBorder="1" applyFill="1" applyFont="1" applyNumberFormat="1">
      <alignment horizontal="left" readingOrder="0" shrinkToFit="0" vertical="center" wrapText="0"/>
    </xf>
    <xf borderId="4" fillId="4" fontId="12" numFmtId="166" xfId="0" applyAlignment="1" applyBorder="1" applyFill="1" applyFont="1" applyNumberFormat="1">
      <alignment horizontal="center" shrinkToFit="0" vertical="center" wrapText="0"/>
    </xf>
    <xf borderId="4" fillId="4" fontId="13" numFmtId="166" xfId="0" applyAlignment="1" applyBorder="1" applyFill="1" applyFont="1" applyNumberFormat="1">
      <alignment horizontal="center" shrinkToFit="0" vertical="center" wrapText="0"/>
    </xf>
    <xf borderId="4" fillId="4" fontId="37" numFmtId="49" xfId="0" applyAlignment="1" applyBorder="1" applyFill="1" applyFont="1" applyNumberFormat="1">
      <alignment horizontal="center" shrinkToFit="0" vertical="center" wrapText="0"/>
    </xf>
    <xf borderId="4" fillId="4" fontId="37" numFmtId="49" xfId="0" applyAlignment="1" applyBorder="1" applyFill="1" applyFont="1" applyNumberFormat="1">
      <alignment shrinkToFit="0" vertical="center" wrapText="0"/>
    </xf>
    <xf borderId="4" fillId="4" fontId="38" numFmtId="164" xfId="0" applyAlignment="1" applyBorder="1" applyFill="1" applyFont="1" applyNumberFormat="1">
      <alignment horizontal="center" shrinkToFit="0" vertical="center" wrapText="0"/>
    </xf>
    <xf borderId="4" fillId="4" fontId="17" numFmtId="0" xfId="0" applyAlignment="1" applyBorder="1" applyFill="1" applyFon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4" fillId="4" fontId="39" numFmtId="49" xfId="0" applyAlignment="1" applyBorder="1" applyFill="1" applyFont="1" applyNumberFormat="1">
      <alignment readingOrder="0" shrinkToFit="0" vertical="center" wrapText="0"/>
    </xf>
    <xf borderId="4" fillId="4" fontId="40" numFmtId="49" xfId="0" applyAlignment="1" applyBorder="1" applyFill="1" applyFont="1" applyNumberFormat="1">
      <alignment readingOrder="0" shrinkToFit="0" vertical="bottom" wrapText="0"/>
    </xf>
    <xf borderId="4" fillId="4" fontId="41" numFmtId="49" xfId="0" applyAlignment="1" applyBorder="1" applyFill="1" applyFont="1" applyNumberFormat="1">
      <alignment readingOrder="0" shrinkToFit="0" vertical="center" wrapText="0"/>
    </xf>
    <xf borderId="4" fillId="4" fontId="40" numFmtId="164" xfId="0" applyAlignment="1" applyBorder="1" applyFill="1" applyFont="1" applyNumberFormat="1">
      <alignment horizontal="center" readingOrder="0" shrinkToFit="0" vertical="center" wrapText="0"/>
    </xf>
    <xf borderId="5" fillId="4" fontId="28" numFmtId="166" xfId="0" applyAlignment="1" applyBorder="1" applyFill="1" applyFont="1" applyNumberFormat="1">
      <alignment horizontal="center" readingOrder="0" shrinkToFit="0" vertical="center" wrapText="0"/>
    </xf>
    <xf borderId="0" fillId="4" fontId="42" numFmtId="49" xfId="0" applyAlignment="1" applyFill="1" applyFont="1" applyNumberFormat="1">
      <alignment horizontal="center" readingOrder="0" shrinkToFit="0" vertical="center" wrapText="0"/>
    </xf>
    <xf borderId="11" fillId="4" fontId="28" numFmtId="0" xfId="0" applyAlignment="1" applyBorder="1" applyFill="1" applyFont="1">
      <alignment horizontal="center" readingOrder="0" shrinkToFit="0" vertical="center" wrapText="0"/>
    </xf>
    <xf borderId="4" fillId="4" fontId="28" numFmtId="166" xfId="0" applyAlignment="1" applyBorder="1" applyFill="1" applyFont="1" applyNumberFormat="1">
      <alignment horizontal="center" readingOrder="0" shrinkToFit="0" vertical="center" wrapText="0"/>
    </xf>
    <xf borderId="12" fillId="4" fontId="32" numFmtId="49" xfId="0" applyAlignment="1" applyBorder="1" applyFill="1" applyFont="1" applyNumberFormat="1">
      <alignment horizontal="center" readingOrder="0" shrinkToFit="0" vertical="bottom" wrapText="0"/>
    </xf>
    <xf borderId="4" fillId="4" fontId="28" numFmtId="0" xfId="0" applyAlignment="1" applyBorder="1" applyFill="1" applyFont="1">
      <alignment horizontal="center" readingOrder="0" shrinkToFit="0" vertical="center" wrapText="0"/>
    </xf>
    <xf borderId="4" fillId="12" fontId="22" numFmtId="0" xfId="0" applyAlignment="1" applyBorder="1" applyFill="1" applyFont="1">
      <alignment shrinkToFit="0" vertical="center" wrapText="0"/>
    </xf>
    <xf borderId="4" fillId="12" fontId="22" numFmtId="0" xfId="0" applyAlignment="1" applyBorder="1" applyFill="1" applyFont="1">
      <alignment horizontal="center" shrinkToFit="0" vertical="center" wrapText="0"/>
    </xf>
    <xf borderId="4" fillId="4" fontId="5" numFmtId="49" xfId="0" applyAlignment="1" applyBorder="1" applyFill="1" applyFont="1" applyNumberFormat="1">
      <alignment horizontal="center" readingOrder="0" shrinkToFit="0" vertical="bottom" wrapText="0"/>
    </xf>
    <xf borderId="4" fillId="4" fontId="5" numFmtId="164" xfId="0" applyAlignment="1" applyBorder="1" applyFill="1" applyFont="1" applyNumberFormat="1">
      <alignment horizontal="center" readingOrder="0" shrinkToFit="0" vertical="bottom" wrapText="0"/>
    </xf>
    <xf borderId="4" fillId="13" fontId="43" numFmtId="0" xfId="0" applyAlignment="1" applyBorder="1" applyFill="1" applyFont="1">
      <alignment horizontal="center" readingOrder="0" shrinkToFit="0" vertical="center" wrapText="0"/>
    </xf>
    <xf borderId="4" fillId="14" fontId="44" numFmtId="0" xfId="0" applyAlignment="1" applyBorder="1" applyFill="1" applyFont="1">
      <alignment readingOrder="0" shrinkToFit="0" vertical="center" wrapText="0"/>
    </xf>
    <xf borderId="4" fillId="14" fontId="44" numFmtId="0" xfId="0" applyAlignment="1" applyBorder="1" applyFill="1" applyFont="1">
      <alignment horizontal="center" shrinkToFit="0" vertical="center" wrapText="0"/>
    </xf>
    <xf borderId="4" fillId="4" fontId="1" numFmtId="164" xfId="0" applyAlignment="1" applyBorder="1" applyFill="1" applyFont="1" applyNumberFormat="1">
      <alignment horizontal="center" readingOrder="0" shrinkToFit="0" vertical="center" wrapText="0"/>
    </xf>
    <xf borderId="4" fillId="14" fontId="44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shrinkToFit="0" vertical="center" wrapText="0"/>
    </xf>
    <xf borderId="4" fillId="4" fontId="1" numFmtId="0" xfId="0" applyAlignment="1" applyBorder="1" applyFill="1" applyFont="1">
      <alignment readingOrder="0" shrinkToFit="0" vertical="center" wrapText="0"/>
    </xf>
    <xf borderId="4" fillId="4" fontId="42" numFmtId="49" xfId="0" applyAlignment="1" applyBorder="1" applyFill="1" applyFont="1" applyNumberFormat="1">
      <alignment horizontal="center" readingOrder="0" shrinkToFit="0" vertical="bottom" wrapText="0"/>
    </xf>
    <xf borderId="4" fillId="4" fontId="17" numFmtId="0" xfId="0" applyAlignment="1" applyBorder="1" applyFill="1" applyFont="1">
      <alignment readingOrder="0" shrinkToFit="0" vertical="center" wrapText="0"/>
    </xf>
    <xf borderId="4" fillId="4" fontId="21" numFmtId="49" xfId="0" applyAlignment="1" applyBorder="1" applyFill="1" applyFont="1" applyNumberFormat="1">
      <alignment horizontal="center" readingOrder="0" shrinkToFit="0" vertical="bottom" wrapText="0"/>
    </xf>
    <xf borderId="4" fillId="4" fontId="1" numFmtId="0" xfId="0" applyAlignment="1" applyBorder="1" applyFill="1" applyFont="1">
      <alignment shrinkToFit="0" vertical="center" wrapText="0"/>
    </xf>
    <xf borderId="4" fillId="4" fontId="44" numFmtId="0" xfId="0" applyAlignment="1" applyBorder="1" applyFill="1" applyFont="1">
      <alignment horizontal="center" readingOrder="0" shrinkToFit="0" vertical="center" wrapText="0"/>
    </xf>
    <xf borderId="4" fillId="4" fontId="22" numFmtId="0" xfId="0" applyAlignment="1" applyBorder="1" applyFill="1" applyFont="1">
      <alignment horizontal="center" readingOrder="0" shrinkToFit="0" vertical="center" wrapText="0"/>
    </xf>
    <xf borderId="4" fillId="4" fontId="45" numFmtId="0" xfId="0" applyAlignment="1" applyBorder="1" applyFill="1" applyFont="1">
      <alignment horizontal="center" readingOrder="0" shrinkToFit="0" vertical="center" wrapText="0"/>
    </xf>
    <xf borderId="4" fillId="4" fontId="43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readingOrder="0" shrinkToFit="0" vertical="center" wrapText="0"/>
    </xf>
    <xf borderId="4" fillId="4" fontId="1" numFmtId="0" xfId="0" applyAlignment="1" applyBorder="1" applyFill="1" applyFont="1">
      <alignment readingOrder="0" shrinkToFit="0" vertical="center" wrapText="0"/>
    </xf>
    <xf borderId="4" fillId="4" fontId="46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right"/>
    </xf>
    <xf borderId="4" fillId="4" fontId="46" numFmtId="166" xfId="0" applyAlignment="1" applyBorder="1" applyFill="1" applyFont="1" applyNumberFormat="1">
      <alignment horizontal="center" readingOrder="0" shrinkToFit="0" vertical="center" wrapText="0"/>
    </xf>
    <xf borderId="4" fillId="4" fontId="46" numFmtId="49" xfId="0" applyAlignment="1" applyBorder="1" applyFill="1" applyFont="1" applyNumberFormat="1">
      <alignment horizontal="center" shrinkToFit="0" vertical="center" wrapText="0"/>
    </xf>
    <xf borderId="4" fillId="4" fontId="46" numFmtId="49" xfId="0" applyAlignment="1" applyBorder="1" applyFill="1" applyFont="1" applyNumberFormat="1">
      <alignment horizontal="center" shrinkToFit="0" vertical="center" wrapText="0"/>
    </xf>
    <xf borderId="4" fillId="4" fontId="1" numFmtId="11" xfId="0" applyAlignment="1" applyBorder="1" applyFill="1" applyFont="1" applyNumberFormat="1">
      <alignment horizontal="center" readingOrder="0" shrinkToFit="0" vertical="center" wrapText="0"/>
    </xf>
    <xf borderId="5" fillId="4" fontId="1" numFmtId="166" xfId="0" applyAlignment="1" applyBorder="1" applyFill="1" applyFont="1" applyNumberFormat="1">
      <alignment horizontal="center" readingOrder="0" shrinkToFit="0" vertical="center" wrapText="0"/>
    </xf>
    <xf borderId="6" fillId="15" fontId="46" numFmtId="49" xfId="0" applyAlignment="1" applyBorder="1" applyFill="1" applyFont="1" applyNumberFormat="1">
      <alignment horizontal="center" shrinkToFit="0" vertical="center" wrapText="0"/>
    </xf>
    <xf borderId="6" fillId="15" fontId="46" numFmtId="0" xfId="0" applyAlignment="1" applyBorder="1" applyFill="1" applyFont="1">
      <alignment horizontal="center" shrinkToFit="0" vertical="center" wrapText="0"/>
    </xf>
    <xf borderId="6" fillId="15" fontId="45" numFmtId="0" xfId="0" applyAlignment="1" applyBorder="1" applyFill="1" applyFont="1">
      <alignment horizontal="center" readingOrder="0" shrinkToFit="0" vertical="center" wrapText="0"/>
    </xf>
    <xf borderId="6" fillId="15" fontId="47" numFmtId="164" xfId="0" applyAlignment="1" applyBorder="1" applyFill="1" applyFont="1" applyNumberFormat="1">
      <alignment horizontal="center" readingOrder="0" shrinkToFit="0" vertical="center" wrapText="0"/>
    </xf>
    <xf borderId="11" fillId="4" fontId="1" numFmtId="0" xfId="0" applyAlignment="1" applyBorder="1" applyFill="1" applyFont="1">
      <alignment horizontal="center" readingOrder="0" shrinkToFit="0" vertical="center" wrapText="0"/>
    </xf>
    <xf borderId="4" fillId="4" fontId="1" numFmtId="168" xfId="0" applyAlignment="1" applyBorder="1" applyFill="1" applyFont="1" applyNumberFormat="1">
      <alignment horizontal="center" readingOrder="0" shrinkToFit="0" vertical="center" wrapText="0"/>
    </xf>
    <xf borderId="6" fillId="15" fontId="44" numFmtId="0" xfId="0" applyAlignment="1" applyBorder="1" applyFill="1" applyFont="1">
      <alignment horizontal="center" readingOrder="0" shrinkToFit="0" vertical="center" wrapText="0"/>
    </xf>
    <xf borderId="6" fillId="15" fontId="1" numFmtId="0" xfId="0" applyAlignment="1" applyBorder="1" applyFill="1" applyFont="1">
      <alignment horizontal="center" readingOrder="0" shrinkToFit="0" vertical="center" wrapText="0"/>
    </xf>
    <xf borderId="4" fillId="4" fontId="1" numFmtId="169" xfId="0" applyAlignment="1" applyBorder="1" applyFill="1" applyFont="1" applyNumberFormat="1">
      <alignment horizontal="center" readingOrder="0" shrinkToFit="0" vertical="center" wrapText="0"/>
    </xf>
    <xf borderId="4" fillId="4" fontId="48" numFmtId="0" xfId="0" applyAlignment="1" applyBorder="1" applyFill="1" applyFont="1">
      <alignment horizontal="center" readingOrder="0" shrinkToFit="0" textRotation="0" vertical="top" wrapText="0"/>
    </xf>
    <xf borderId="6" fillId="4" fontId="46" numFmtId="49" xfId="0" applyAlignment="1" applyBorder="1" applyFill="1" applyFont="1" applyNumberFormat="1">
      <alignment horizontal="center" readingOrder="0" shrinkToFit="0" vertical="center" wrapText="0"/>
    </xf>
    <xf borderId="6" fillId="15" fontId="46" numFmtId="0" xfId="0" applyAlignment="1" applyBorder="1" applyFill="1" applyFont="1">
      <alignment horizontal="center" readingOrder="0" shrinkToFit="0" vertical="center" wrapText="0"/>
    </xf>
    <xf borderId="6" fillId="8" fontId="46" numFmtId="49" xfId="0" applyAlignment="1" applyBorder="1" applyFill="1" applyFont="1" applyNumberFormat="1">
      <alignment horizontal="center" readingOrder="0" shrinkToFit="0" vertical="center" wrapText="0"/>
    </xf>
    <xf borderId="6" fillId="15" fontId="49" numFmtId="0" xfId="0" applyAlignment="1" applyBorder="1" applyFill="1" applyFont="1">
      <alignment horizontal="center" readingOrder="0" shrinkToFit="0" vertical="center" wrapText="0"/>
    </xf>
    <xf borderId="6" fillId="15" fontId="47" numFmtId="164" xfId="0" applyAlignment="1" applyBorder="1" applyFill="1" applyFont="1" applyNumberFormat="1">
      <alignment horizontal="center" shrinkToFit="0" vertical="center" wrapText="0"/>
    </xf>
    <xf borderId="6" fillId="15" fontId="49" numFmtId="0" xfId="0" applyAlignment="1" applyBorder="1" applyFill="1" applyFont="1">
      <alignment horizontal="center" shrinkToFit="0" vertical="center" wrapText="0"/>
    </xf>
    <xf borderId="6" fillId="15" fontId="44" numFmtId="0" xfId="0" applyAlignment="1" applyBorder="1" applyFill="1" applyFont="1">
      <alignment horizontal="center" shrinkToFit="0" vertical="center" wrapText="0"/>
    </xf>
    <xf borderId="6" fillId="15" fontId="1" numFmtId="49" xfId="0" applyAlignment="1" applyBorder="1" applyFill="1" applyFont="1" applyNumberFormat="1">
      <alignment horizontal="center" readingOrder="0" shrinkToFit="0" vertical="center" wrapText="0"/>
    </xf>
    <xf borderId="6" fillId="15" fontId="1" numFmtId="0" xfId="0" applyAlignment="1" applyBorder="1" applyFill="1" applyFont="1">
      <alignment horizontal="center" readingOrder="0" shrinkToFit="0" vertical="center" wrapText="0"/>
    </xf>
    <xf borderId="6" fillId="15" fontId="11" numFmtId="164" xfId="0" applyAlignment="1" applyBorder="1" applyFill="1" applyFont="1" applyNumberFormat="1">
      <alignment horizontal="center" readingOrder="0" shrinkToFit="0" vertical="center" wrapText="0"/>
    </xf>
    <xf borderId="6" fillId="4" fontId="1" numFmtId="49" xfId="0" applyAlignment="1" applyBorder="1" applyFill="1" applyFont="1" applyNumberForma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6" fillId="4" fontId="11" numFmtId="164" xfId="0" applyAlignment="1" applyBorder="1" applyFill="1" applyFont="1" applyNumberFormat="1">
      <alignment horizontal="center" readingOrder="0" shrinkToFit="0" vertical="center" wrapText="0"/>
    </xf>
    <xf borderId="5" fillId="4" fontId="1" numFmtId="0" xfId="0" applyAlignment="1" applyBorder="1" applyFill="1" applyFont="1">
      <alignment horizontal="center" readingOrder="0" shrinkToFit="0" vertical="center" wrapText="0"/>
    </xf>
    <xf borderId="5" fillId="4" fontId="1" numFmtId="166" xfId="0" applyAlignment="1" applyBorder="1" applyFill="1" applyFont="1" applyNumberFormat="1">
      <alignment horizontal="center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12" fillId="4" fontId="1" numFmtId="49" xfId="0" applyAlignment="1" applyBorder="1" applyFill="1" applyFont="1" applyNumberFormat="1">
      <alignment horizontal="center" readingOrder="0" shrinkToFit="0" vertical="center" wrapText="0"/>
    </xf>
    <xf borderId="12" fillId="4" fontId="11" numFmtId="49" xfId="0" applyAlignment="1" applyBorder="1" applyFill="1" applyFont="1" applyNumberFormat="1">
      <alignment horizontal="center" readingOrder="0" shrinkToFit="0" vertical="center" wrapText="0"/>
    </xf>
    <xf borderId="12" fillId="4" fontId="1" numFmtId="0" xfId="0" applyAlignment="1" applyBorder="1" applyFill="1" applyFont="1">
      <alignment horizontal="center" readingOrder="0" shrinkToFit="0" vertical="center" wrapText="0"/>
    </xf>
    <xf borderId="12" fillId="4" fontId="1" numFmtId="0" xfId="0" applyAlignment="1" applyBorder="1" applyFill="1" applyFont="1">
      <alignment horizontal="center" readingOrder="0" shrinkToFit="0" vertical="center" wrapText="0"/>
    </xf>
    <xf borderId="12" fillId="4" fontId="11" numFmtId="164" xfId="0" applyAlignment="1" applyBorder="1" applyFill="1" applyFont="1" applyNumberFormat="1">
      <alignment horizontal="center" readingOrder="0" shrinkToFit="0" vertical="center" wrapText="0"/>
    </xf>
    <xf borderId="4" fillId="4" fontId="46" numFmtId="0" xfId="0" applyAlignment="1" applyBorder="1" applyFill="1" applyFont="1">
      <alignment horizontal="center" readingOrder="0" shrinkToFit="0" vertical="center" wrapText="0"/>
    </xf>
    <xf borderId="4" fillId="4" fontId="46" numFmtId="166" xfId="0" applyAlignment="1" applyBorder="1" applyFill="1" applyFont="1" applyNumberFormat="1">
      <alignment horizontal="center" readingOrder="0" shrinkToFit="0" vertical="center" wrapText="0"/>
    </xf>
    <xf borderId="4" fillId="4" fontId="17" numFmtId="166" xfId="0" applyAlignment="1" applyBorder="1" applyFill="1" applyFont="1" applyNumberFormat="1">
      <alignment shrinkToFit="0" vertical="center" wrapText="0"/>
    </xf>
    <xf borderId="4" fillId="4" fontId="46" numFmtId="166" xfId="0" applyAlignment="1" applyBorder="1" applyFill="1" applyFont="1" applyNumberFormat="1">
      <alignment horizontal="center" shrinkToFit="0" vertical="center" wrapText="0"/>
    </xf>
    <xf borderId="4" fillId="4" fontId="47" numFmtId="164" xfId="0" applyAlignment="1" applyBorder="1" applyFill="1" applyFont="1" applyNumberFormat="1">
      <alignment horizontal="center" shrinkToFit="0" vertical="center" wrapText="0"/>
    </xf>
    <xf borderId="4" fillId="4" fontId="46" numFmtId="0" xfId="0" applyAlignment="1" applyBorder="1" applyFill="1" applyFont="1">
      <alignment horizontal="center" shrinkToFit="0" vertical="center" wrapText="0"/>
    </xf>
    <xf borderId="4" fillId="4" fontId="17" numFmtId="0" xfId="0" applyAlignment="1" applyBorder="1" applyFill="1" applyFont="1">
      <alignment shrinkToFit="0" vertical="center" wrapText="0"/>
    </xf>
    <xf borderId="4" fillId="4" fontId="17" numFmtId="0" xfId="0" applyAlignment="1" applyBorder="1" applyFill="1" applyFont="1">
      <alignment shrinkToFit="0" vertical="center" wrapText="0"/>
    </xf>
    <xf borderId="4" fillId="12" fontId="22" numFmtId="0" xfId="0" applyAlignment="1" applyBorder="1" applyFill="1" applyFont="1">
      <alignment horizontal="center" shrinkToFit="0" vertical="center" wrapText="0"/>
    </xf>
    <xf borderId="4" fillId="16" fontId="49" numFmtId="0" xfId="0" applyAlignment="1" applyBorder="1" applyFill="1" applyFont="1">
      <alignment horizontal="center" shrinkToFit="0" vertical="center" wrapText="0"/>
    </xf>
    <xf borderId="6" fillId="17" fontId="50" numFmtId="49" xfId="0" applyAlignment="1" applyBorder="1" applyFill="1" applyFont="1" applyNumberFormat="1">
      <alignment horizontal="center" readingOrder="0" shrinkToFit="0" vertical="center" wrapText="0"/>
    </xf>
    <xf borderId="4" fillId="4" fontId="18" numFmtId="49" xfId="0" applyAlignment="1" applyBorder="1" applyFill="1" applyFont="1" applyNumberForma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13" fillId="4" fontId="1" numFmtId="166" xfId="0" applyAlignment="1" applyBorder="1" applyFill="1" applyFont="1" applyNumberForma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13" fillId="4" fontId="1" numFmtId="166" xfId="0" applyAlignment="1" applyBorder="1" applyFill="1" applyFont="1" applyNumberFormat="1">
      <alignment horizontal="center" shrinkToFit="0" vertical="center" wrapText="0"/>
    </xf>
    <xf borderId="13" fillId="4" fontId="1" numFmtId="49" xfId="0" applyAlignment="1" applyBorder="1" applyFill="1" applyFont="1" applyNumberFormat="1">
      <alignment horizontal="center" readingOrder="0" shrinkToFit="0" vertical="center" wrapText="0"/>
    </xf>
    <xf borderId="13" fillId="4" fontId="11" numFmtId="164" xfId="0" applyAlignment="1" applyBorder="1" applyFill="1" applyFont="1" applyNumberForma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shrinkToFit="0" vertical="center" wrapText="0"/>
    </xf>
    <xf borderId="14" fillId="4" fontId="1" numFmtId="49" xfId="0" applyAlignment="1" applyBorder="1" applyFill="1" applyFont="1" applyNumberFormat="1">
      <alignment horizontal="center" readingOrder="0" shrinkToFit="0" vertical="center" wrapText="0"/>
    </xf>
    <xf borderId="5" fillId="4" fontId="1" numFmtId="49" xfId="0" applyAlignment="1" applyBorder="1" applyFill="1" applyFont="1" applyNumberFormat="1">
      <alignment horizontal="center" readingOrder="0" shrinkToFit="0" vertical="center" wrapText="0"/>
    </xf>
    <xf borderId="13" fillId="4" fontId="24" numFmtId="49" xfId="0" applyAlignment="1" applyBorder="1" applyFill="1" applyFont="1" applyNumberFormat="1">
      <alignment horizontal="center" readingOrder="0" shrinkToFit="0" vertical="center" wrapText="0"/>
    </xf>
    <xf borderId="11" fillId="4" fontId="1" numFmtId="0" xfId="0" applyAlignment="1" applyBorder="1" applyFill="1" applyFont="1">
      <alignment horizontal="center" readingOrder="0" shrinkToFit="0" vertical="center" wrapText="0"/>
    </xf>
    <xf borderId="13" fillId="4" fontId="11" numFmtId="164" xfId="0" applyAlignment="1" applyBorder="1" applyFill="1" applyFont="1" applyNumberFormat="1">
      <alignment horizontal="center" shrinkToFit="0" vertical="center" wrapText="0"/>
    </xf>
    <xf borderId="13" fillId="4" fontId="1" numFmtId="49" xfId="0" applyAlignment="1" applyBorder="1" applyFill="1" applyFont="1" applyNumberFormat="1">
      <alignment horizontal="center" shrinkToFit="0" vertical="center" wrapText="0"/>
    </xf>
    <xf borderId="13" fillId="4" fontId="41" numFmtId="49" xfId="0" applyAlignment="1" applyBorder="1" applyFill="1" applyFont="1" applyNumberFormat="1">
      <alignment readingOrder="0" shrinkToFit="0" vertical="center" wrapText="0"/>
    </xf>
    <xf borderId="14" fillId="4" fontId="1" numFmtId="0" xfId="0" applyAlignment="1" applyBorder="1" applyFill="1" applyFont="1">
      <alignment horizontal="center" readingOrder="0" shrinkToFit="0" vertical="center" wrapText="0"/>
    </xf>
    <xf borderId="15" fillId="4" fontId="1" numFmtId="0" xfId="0" applyAlignment="1" applyBorder="1" applyFill="1" applyFont="1">
      <alignment horizontal="center" readingOrder="0" shrinkToFit="0" vertical="center" wrapText="0"/>
    </xf>
    <xf borderId="11" fillId="4" fontId="11" numFmtId="164" xfId="0" applyAlignment="1" applyBorder="1" applyFill="1" applyFont="1" applyNumberFormat="1">
      <alignment horizontal="center" readingOrder="0" shrinkToFit="0" vertical="center" wrapText="0"/>
    </xf>
    <xf borderId="14" fillId="4" fontId="1" numFmtId="0" xfId="0" applyAlignment="1" applyBorder="1" applyFill="1" applyFont="1">
      <alignment horizontal="center" readingOrder="0" shrinkToFit="0" vertical="center" wrapText="0"/>
    </xf>
    <xf borderId="5" fillId="4" fontId="11" numFmtId="164" xfId="0" applyAlignment="1" applyBorder="1" applyFill="1" applyFont="1" applyNumberFormat="1">
      <alignment horizontal="center" readingOrder="0" shrinkToFit="0" vertical="center" wrapText="0"/>
    </xf>
    <xf borderId="11" fillId="4" fontId="1" numFmtId="0" xfId="0" applyAlignment="1" applyBorder="1" applyFill="1" applyFon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4" fillId="4" fontId="11" numFmtId="166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2D74"/>
          <bgColor rgb="FF002D7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2D74"/>
        </left>
        <right style="thin">
          <color rgb="FF002D74"/>
        </right>
        <top style="thin">
          <color rgb="FF002D74"/>
        </top>
        <bottom style="thin">
          <color rgb="FF002D7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2">
    <tableStyle count="4" pivot="0" name="ANGIE SILV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NDY IPANE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HOMI DIA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MAR MINA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HON ZAM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HALIE ARA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IS CH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 ALIA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EDES GIRAL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MMY COLLAZ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NNY MOR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NNIE ESCALA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IELLA PAÑA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SE LUIS QUINTE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IZABETH ESQUIV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LIA SAL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USKA LINA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OLETA LLERE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ACELY VEN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LISSA BRAV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NZO CACE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XANDRA GUZM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Q52" displayName="OPI" name="OPI" id="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GIE SILVERA-style" showColumnStripes="0" showFirstColumn="1" showLastColumn="1" showRowStripes="1"/>
</table>
</file>

<file path=xl/tables/table2.xml><?xml version="1.0" encoding="utf-8"?>
<table xmlns="http://schemas.openxmlformats.org/spreadsheetml/2006/main" ref="B9:Q52" displayName="OPI_11" name="OPI_11" id="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HOMI DIAZ-style" showColumnStripes="0" showFirstColumn="1" showLastColumn="1" showRowStripes="1"/>
</table>
</file>

<file path=xl/tables/table3.xml><?xml version="1.0" encoding="utf-8"?>
<table xmlns="http://schemas.openxmlformats.org/spreadsheetml/2006/main" ref="B9:Q52" displayName="OPI_14" name="OPI_14" id="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ENDY IPANEQUE-style" showColumnStripes="0" showFirstColumn="1" showLastColumn="1" showRowStripes="1"/>
</table>
</file>

<file path=xl/tables/table4.xml><?xml version="1.0" encoding="utf-8"?>
<table xmlns="http://schemas.openxmlformats.org/spreadsheetml/2006/main" ref="B9:Q52" displayName="OPI_5" name="OPI_5" id="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OMAR MINAYA-style" showColumnStripes="0" showFirstColumn="1" showLastColumn="1" showRowStripes="1"/>
</table>
</file>

<file path=xl/tables/table5.xml><?xml version="1.0" encoding="utf-8"?>
<table xmlns="http://schemas.openxmlformats.org/spreadsheetml/2006/main" ref="B9:Q52" displayName="OPI_3" name="OPI_3" id="5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HON ZAMORA-style" showColumnStripes="0" showFirstColumn="1" showLastColumn="1" showRowStripes="1"/>
</table>
</file>

<file path=xl/tables/table6.xml><?xml version="1.0" encoding="utf-8"?>
<table xmlns="http://schemas.openxmlformats.org/spreadsheetml/2006/main" ref="B9:Q52" displayName="OPI_12" name="OPI_12" id="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THALIE ARANDA-style" showColumnStripes="0" showFirstColumn="1" showLastColumn="1" showRowStripes="1"/>
</table>
</file>

<file path=xl/tables/table7.xml><?xml version="1.0" encoding="utf-8"?>
<table xmlns="http://schemas.openxmlformats.org/spreadsheetml/2006/main" ref="B9:Q52" displayName="OPI_7" name="OPI_7" id="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LUIS CHUSE-style" showColumnStripes="0" showFirstColumn="1" showLastColumn="1" showRowStripes="1"/>
</table>
</file>

<file path=xl/tables/table8.xml><?xml version="1.0" encoding="utf-8"?>
<table xmlns="http://schemas.openxmlformats.org/spreadsheetml/2006/main" ref="B9:Q52" displayName="OPI_20" name="OPI_20" id="8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A ALIAGA-style" showColumnStripes="0" showFirstColumn="1" showLastColumn="1" showRowStripes="1"/>
</table>
</file>

<file path=xl/tables/table9.xml><?xml version="1.0" encoding="utf-8"?>
<table xmlns="http://schemas.openxmlformats.org/spreadsheetml/2006/main" ref="B9:Q52" displayName="OPI_21" name="OPI_21" id="9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ERCEDES GIRALDO-style" showColumnStripes="0" showFirstColumn="1" showLastColumn="1" showRowStripes="1"/>
</table>
</file>

<file path=xl/tables/table10.xml><?xml version="1.0" encoding="utf-8"?>
<table xmlns="http://schemas.openxmlformats.org/spreadsheetml/2006/main" ref="B9:Q52" displayName="OPI_4" name="OPI_4" id="10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IMMY COLLAZOS-style" showColumnStripes="0" showFirstColumn="1" showLastColumn="1" showRowStripes="1"/>
</table>
</file>

<file path=xl/tables/table11.xml><?xml version="1.0" encoding="utf-8"?>
<table xmlns="http://schemas.openxmlformats.org/spreadsheetml/2006/main" ref="B9:Q52" displayName="OPI_6" name="OPI_6" id="1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KENNY MORALES-style" showColumnStripes="0" showFirstColumn="1" showLastColumn="1" showRowStripes="1"/>
</table>
</file>

<file path=xl/tables/table12.xml><?xml version="1.0" encoding="utf-8"?>
<table xmlns="http://schemas.openxmlformats.org/spreadsheetml/2006/main" ref="B9:Q52" displayName="OPI_10" name="OPI_10" id="1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INNIE ESCALANTE-style" showColumnStripes="0" showFirstColumn="1" showLastColumn="1" showRowStripes="1"/>
</table>
</file>

<file path=xl/tables/table13.xml><?xml version="1.0" encoding="utf-8"?>
<table xmlns="http://schemas.openxmlformats.org/spreadsheetml/2006/main" ref="B9:Q52" displayName="OPI_9" name="OPI_9" id="1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ARIELLA PAÑAHUA-style" showColumnStripes="0" showFirstColumn="1" showLastColumn="1" showRowStripes="1"/>
</table>
</file>

<file path=xl/tables/table14.xml><?xml version="1.0" encoding="utf-8"?>
<table xmlns="http://schemas.openxmlformats.org/spreadsheetml/2006/main" ref="B9:Q52" displayName="OPI_8" name="OPI_8" id="1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SE LUIS QUINTEROS-style" showColumnStripes="0" showFirstColumn="1" showLastColumn="1" showRowStripes="1"/>
</table>
</file>

<file path=xl/tables/table15.xml><?xml version="1.0" encoding="utf-8"?>
<table xmlns="http://schemas.openxmlformats.org/spreadsheetml/2006/main" ref="B9:Q52" displayName="OPI_17" name="OPI_17" id="15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ELIZABETH ESQUIVEL-style" showColumnStripes="0" showFirstColumn="1" showLastColumn="1" showRowStripes="1"/>
</table>
</file>

<file path=xl/tables/table16.xml><?xml version="1.0" encoding="utf-8"?>
<table xmlns="http://schemas.openxmlformats.org/spreadsheetml/2006/main" ref="B9:Q52" displayName="OPI_18" name="OPI_18" id="1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THALIA SALOME-style" showColumnStripes="0" showFirstColumn="1" showLastColumn="1" showRowStripes="1"/>
</table>
</file>

<file path=xl/tables/table17.xml><?xml version="1.0" encoding="utf-8"?>
<table xmlns="http://schemas.openxmlformats.org/spreadsheetml/2006/main" ref="B9:Q52" displayName="OPI_19" name="OPI_19" id="1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ILUSKA LINARES-style" showColumnStripes="0" showFirstColumn="1" showLastColumn="1" showRowStripes="1"/>
</table>
</file>

<file path=xl/tables/table18.xml><?xml version="1.0" encoding="utf-8"?>
<table xmlns="http://schemas.openxmlformats.org/spreadsheetml/2006/main" ref="B9:Q52" displayName="OPI_13" name="OPI_13" id="18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VIOLETA LLERENA-style" showColumnStripes="0" showFirstColumn="1" showLastColumn="1" showRowStripes="1"/>
</table>
</file>

<file path=xl/tables/table19.xml><?xml version="1.0" encoding="utf-8"?>
<table xmlns="http://schemas.openxmlformats.org/spreadsheetml/2006/main" ref="B9:Q52" displayName="OPI_2" name="OPI_2" id="19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RACELY VENTURA-style" showColumnStripes="0" showFirstColumn="1" showLastColumn="1" showRowStripes="1"/>
</table>
</file>

<file path=xl/tables/table20.xml><?xml version="1.0" encoding="utf-8"?>
<table xmlns="http://schemas.openxmlformats.org/spreadsheetml/2006/main" ref="B9:Q52" displayName="OPI_22" name="OPI_22" id="20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ELISSA BRAVO-style" showColumnStripes="0" showFirstColumn="1" showLastColumn="1" showRowStripes="1"/>
</table>
</file>

<file path=xl/tables/table21.xml><?xml version="1.0" encoding="utf-8"?>
<table xmlns="http://schemas.openxmlformats.org/spreadsheetml/2006/main" ref="B9:Q52" displayName="OPI_16" name="OPI_16" id="2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RENZO CACEDA-style" showColumnStripes="0" showFirstColumn="1" showLastColumn="1" showRowStripes="1"/>
</table>
</file>

<file path=xl/tables/table22.xml><?xml version="1.0" encoding="utf-8"?>
<table xmlns="http://schemas.openxmlformats.org/spreadsheetml/2006/main" ref="B9:Q52" displayName="OPI_15" name="OPI_15" id="2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LEXANDRA GUZ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1.63"/>
    <col customWidth="1" min="3" max="3" width="9.38"/>
    <col customWidth="1" min="4" max="4" width="19.25"/>
    <col customWidth="1" min="5" max="5" width="15.75"/>
    <col customWidth="1" min="6" max="6" width="16.88"/>
    <col customWidth="1" min="7" max="7" width="19.25"/>
    <col customWidth="1" min="8" max="8" width="21.5"/>
    <col customWidth="1" min="9" max="9" width="26.38"/>
    <col customWidth="1" min="10" max="10" width="15.88"/>
    <col customWidth="1" min="11" max="11" width="9.75"/>
    <col customWidth="1" min="12" max="12" width="18.5"/>
    <col customWidth="1" min="13" max="13" width="20.88"/>
    <col hidden="1" min="15" max="23" width="12.63"/>
  </cols>
  <sheetData>
    <row r="1">
      <c r="A1" s="1" t="s">
        <v>0</v>
      </c>
    </row>
    <row r="2">
      <c r="B2" s="2" t="s">
        <v>1</v>
      </c>
    </row>
    <row r="4" ht="22.5" customHeight="1">
      <c r="B4" s="3" t="s">
        <v>2</v>
      </c>
      <c r="C4" s="3" t="s">
        <v>3</v>
      </c>
      <c r="D4" s="4" t="s">
        <v>4</v>
      </c>
      <c r="E4" s="4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6" t="s">
        <v>14</v>
      </c>
      <c r="C5" s="6" t="str">
        <f>'JIMMY COLLAZOS'!D3</f>
        <v>TARAPOTO</v>
      </c>
      <c r="D5" s="7">
        <f>'JIMMY COLLAZOS'!$F$4</f>
        <v>42000</v>
      </c>
      <c r="E5" s="8">
        <f>'JIMMY COLLAZOS'!$F$5</f>
        <v>1</v>
      </c>
      <c r="F5" s="7">
        <f>'JIMMY COLLAZOS'!$K$4</f>
        <v>50100</v>
      </c>
      <c r="G5" s="7">
        <f>'JIMMY COLLAZOS'!$J$4</f>
        <v>259500</v>
      </c>
      <c r="H5" s="7">
        <f>'JIMMY COLLAZOS'!$I$4</f>
        <v>0</v>
      </c>
      <c r="I5" s="7">
        <f>'JIMMY COLLAZOS'!$H$4</f>
        <v>0</v>
      </c>
      <c r="J5" s="7">
        <f>'JIMMY COLLAZOS'!E4</f>
        <v>800000</v>
      </c>
      <c r="K5" s="14">
        <f t="shared" ref="K5:K26" si="1">D5/J5</f>
        <v>0.0525</v>
      </c>
      <c r="L5" s="8">
        <f>'JIMMY COLLAZOS'!$K$5</f>
        <v>1</v>
      </c>
      <c r="M5" s="8">
        <f>'JIMMY COLLAZOS'!$J$5</f>
        <v>4</v>
      </c>
    </row>
    <row r="6">
      <c r="B6" s="6" t="s">
        <v>29</v>
      </c>
      <c r="C6" s="6" t="str">
        <f>'ALEXANDRA GUZMAN'!D3</f>
        <v>PIURA</v>
      </c>
      <c r="D6" s="7">
        <f>'ALEXANDRA GUZMAN'!$F$4</f>
        <v>0</v>
      </c>
      <c r="E6" s="8">
        <f>'ALEXANDRA GUZMAN'!$F$5</f>
        <v>0</v>
      </c>
      <c r="F6" s="7">
        <f>'ALEXANDRA GUZMAN'!$K$4</f>
        <v>0</v>
      </c>
      <c r="G6" s="7">
        <f>'ALEXANDRA GUZMAN'!$J$4</f>
        <v>0</v>
      </c>
      <c r="H6" s="7">
        <f>'ALEXANDRA GUZMAN'!$I$4</f>
        <v>0</v>
      </c>
      <c r="I6" s="7">
        <f>'ALEXANDRA GUZMAN'!$H$4</f>
        <v>0</v>
      </c>
      <c r="J6" s="7">
        <v>1000000.0</v>
      </c>
      <c r="K6" s="14">
        <f t="shared" si="1"/>
        <v>0</v>
      </c>
      <c r="L6" s="8">
        <f>'ALEXANDRA GUZMAN'!$K$5</f>
        <v>0</v>
      </c>
      <c r="M6" s="8">
        <f>'ALEXANDRA GUZMAN'!$J$5</f>
        <v>0</v>
      </c>
    </row>
    <row r="7">
      <c r="B7" s="6" t="s">
        <v>30</v>
      </c>
      <c r="C7" s="6" t="str">
        <f>'RENZO CACEDA'!D3</f>
        <v>TRUJILLO</v>
      </c>
      <c r="D7" s="7">
        <f>'RENZO CACEDA'!$F$4</f>
        <v>86200</v>
      </c>
      <c r="E7" s="8">
        <f>'RENZO CACEDA'!$F$5</f>
        <v>1</v>
      </c>
      <c r="F7" s="7">
        <f>'RENZO CACEDA'!$K$4</f>
        <v>0</v>
      </c>
      <c r="G7" s="7">
        <f>'RENZO CACEDA'!$J$4</f>
        <v>0</v>
      </c>
      <c r="H7" s="7">
        <f>'RENZO CACEDA'!$I$4</f>
        <v>0</v>
      </c>
      <c r="I7" s="7">
        <f>'RENZO CACEDA'!$H$4</f>
        <v>0</v>
      </c>
      <c r="J7" s="7">
        <v>1000000.0</v>
      </c>
      <c r="K7" s="14">
        <f t="shared" si="1"/>
        <v>0.0862</v>
      </c>
      <c r="L7" s="8">
        <f>'RENZO CACEDA'!$K$5</f>
        <v>0</v>
      </c>
      <c r="M7" s="8">
        <f>'RENZO CACEDA'!$J$5</f>
        <v>0</v>
      </c>
    </row>
    <row r="8">
      <c r="B8" s="6" t="s">
        <v>33</v>
      </c>
      <c r="C8" s="6" t="str">
        <f>'WENDY IPANEQUE'!D3</f>
        <v>PIURA</v>
      </c>
      <c r="D8" s="7">
        <f>'WENDY IPANEQUE'!$F$4</f>
        <v>83800</v>
      </c>
      <c r="E8" s="8">
        <f>'WENDY IPANEQUE'!$F$5</f>
        <v>1</v>
      </c>
      <c r="F8" s="7">
        <f>'WENDY IPANEQUE'!$K$4</f>
        <v>773320</v>
      </c>
      <c r="G8" s="7">
        <f>'WENDY IPANEQUE'!$J$4</f>
        <v>252050</v>
      </c>
      <c r="H8" s="7">
        <f>'WENDY IPANEQUE'!$I$4</f>
        <v>82000</v>
      </c>
      <c r="I8" s="7">
        <f>'WENDY IPANEQUE'!$H$4</f>
        <v>48850</v>
      </c>
      <c r="J8" s="7">
        <v>1000000.0</v>
      </c>
      <c r="K8" s="14">
        <f t="shared" si="1"/>
        <v>0.0838</v>
      </c>
      <c r="L8" s="8">
        <f>'WENDY IPANEQUE'!$K$5</f>
        <v>10</v>
      </c>
      <c r="M8" s="8">
        <f>'WENDY IPANEQUE'!$J$5</f>
        <v>3</v>
      </c>
    </row>
    <row r="9">
      <c r="B9" s="6" t="s">
        <v>34</v>
      </c>
      <c r="C9" s="6" t="str">
        <f>'ANGIE SILVERA'!D3</f>
        <v>LIMA 1</v>
      </c>
      <c r="D9" s="7">
        <f>'ANGIE SILVERA'!$F$4</f>
        <v>158300</v>
      </c>
      <c r="E9" s="8">
        <f>'ANGIE SILVERA'!$F$5</f>
        <v>2</v>
      </c>
      <c r="F9" s="7">
        <f>'ANGIE SILVERA'!$K$4</f>
        <v>189400</v>
      </c>
      <c r="G9" s="7">
        <f>'ANGIE SILVERA'!$J$4</f>
        <v>0</v>
      </c>
      <c r="H9" s="7">
        <f>'ANGIE SILVERA'!$I$4</f>
        <v>250700</v>
      </c>
      <c r="I9" s="7">
        <f>'ANGIE SILVERA'!$H$4</f>
        <v>0</v>
      </c>
      <c r="J9" s="7">
        <f>'ANGIE SILVERA'!E4</f>
        <v>2000000</v>
      </c>
      <c r="K9" s="14">
        <f t="shared" si="1"/>
        <v>0.07915</v>
      </c>
      <c r="L9" s="8">
        <f>'ANGIE SILVERA'!$K$5</f>
        <v>3</v>
      </c>
      <c r="M9" s="8">
        <f>'ANGIE SILVERA'!$J$5</f>
        <v>0</v>
      </c>
    </row>
    <row r="10">
      <c r="B10" s="6" t="s">
        <v>41</v>
      </c>
      <c r="C10" s="6" t="str">
        <f>'KENNY MORALES'!D3</f>
        <v>LIMA 1</v>
      </c>
      <c r="D10" s="7">
        <f>'KENNY MORALES'!$F$4</f>
        <v>83000</v>
      </c>
      <c r="E10" s="8">
        <f>'KENNY MORALES'!$F$5</f>
        <v>3</v>
      </c>
      <c r="F10" s="7">
        <f>'KENNY MORALES'!$K$4</f>
        <v>204400</v>
      </c>
      <c r="G10" s="7">
        <f>'KENNY MORALES'!$J$4</f>
        <v>24600</v>
      </c>
      <c r="H10" s="7">
        <f>'KENNY MORALES'!$I$4</f>
        <v>0</v>
      </c>
      <c r="I10" s="7">
        <f>'KENNY MORALES'!$H$4</f>
        <v>0</v>
      </c>
      <c r="J10" s="7">
        <f>'KENNY MORALES'!E4</f>
        <v>1000000</v>
      </c>
      <c r="K10" s="14">
        <f t="shared" si="1"/>
        <v>0.083</v>
      </c>
      <c r="L10" s="8">
        <f>'KENNY MORALES'!$K$5</f>
        <v>3</v>
      </c>
      <c r="M10" s="8">
        <f>'KENNY MORALES'!$J$5</f>
        <v>1</v>
      </c>
    </row>
    <row r="11">
      <c r="B11" s="6" t="s">
        <v>53</v>
      </c>
      <c r="C11" s="6" t="str">
        <f>'LUIS CHUSE'!D3</f>
        <v>LIMA 2</v>
      </c>
      <c r="D11" s="7">
        <f>'LUIS CHUSE'!$F$4</f>
        <v>0</v>
      </c>
      <c r="E11" s="8">
        <f>'LUIS CHUSE'!$F$5</f>
        <v>0</v>
      </c>
      <c r="F11" s="7">
        <f>'LUIS CHUSE'!$K$4</f>
        <v>0</v>
      </c>
      <c r="G11" s="7">
        <f>'LUIS CHUSE'!$J$4</f>
        <v>0</v>
      </c>
      <c r="H11" s="7">
        <f>'LUIS CHUSE'!$I$4</f>
        <v>0</v>
      </c>
      <c r="I11" s="7">
        <f>'LUIS CHUSE'!$H$4</f>
        <v>0</v>
      </c>
      <c r="J11" s="7">
        <f>'LUIS CHUSE'!E4</f>
        <v>2000000</v>
      </c>
      <c r="K11" s="14">
        <f t="shared" si="1"/>
        <v>0</v>
      </c>
      <c r="L11" s="8">
        <f>'LUIS CHUSE'!$K$5</f>
        <v>0</v>
      </c>
      <c r="M11" s="8">
        <f>'LUIS CHUSE'!$J$5</f>
        <v>0</v>
      </c>
    </row>
    <row r="12">
      <c r="B12" s="6" t="s">
        <v>66</v>
      </c>
      <c r="C12" s="6" t="str">
        <f>'MARIELLA PAÑAHUA'!D3</f>
        <v>AYACUCHO</v>
      </c>
      <c r="D12" s="7">
        <f>'MARIELLA PAÑAHUA'!$F$4</f>
        <v>0</v>
      </c>
      <c r="E12" s="8">
        <f>'MARIELLA PAÑAHUA'!$F$5</f>
        <v>0</v>
      </c>
      <c r="F12" s="7">
        <f>'MARIELLA PAÑAHUA'!$K$4</f>
        <v>0</v>
      </c>
      <c r="G12" s="7">
        <f>'MARIELLA PAÑAHUA'!$J$4</f>
        <v>0</v>
      </c>
      <c r="H12" s="7">
        <f>'MARIELLA PAÑAHUA'!$I$4</f>
        <v>0</v>
      </c>
      <c r="I12" s="7">
        <f>'MARIELLA PAÑAHUA'!$H$4</f>
        <v>0</v>
      </c>
      <c r="J12" s="7">
        <f>'MARIELLA PAÑAHUA'!E4</f>
        <v>800000</v>
      </c>
      <c r="K12" s="14">
        <f t="shared" si="1"/>
        <v>0</v>
      </c>
      <c r="L12" s="8">
        <f>'MARIELLA PAÑAHUA'!$K$5</f>
        <v>0</v>
      </c>
      <c r="M12" s="8">
        <f>'MARIELLA PAÑAHUA'!$J$5</f>
        <v>0</v>
      </c>
    </row>
    <row r="13">
      <c r="B13" s="6" t="s">
        <v>70</v>
      </c>
      <c r="C13" s="6" t="str">
        <f>'WINNIE ESCALANTE'!D3</f>
        <v>LIMA 1</v>
      </c>
      <c r="D13" s="7">
        <f>'WINNIE ESCALANTE'!$F$4</f>
        <v>299450</v>
      </c>
      <c r="E13" s="8">
        <f>'WINNIE ESCALANTE'!$F$5</f>
        <v>5</v>
      </c>
      <c r="F13" s="7">
        <f>'WINNIE ESCALANTE'!$K$4</f>
        <v>177250</v>
      </c>
      <c r="G13" s="7">
        <f>'WINNIE ESCALANTE'!$J$4</f>
        <v>224300</v>
      </c>
      <c r="H13" s="7">
        <f>'WINNIE ESCALANTE'!$I$4</f>
        <v>333700</v>
      </c>
      <c r="I13" s="7">
        <f>'WINNIE ESCALANTE'!$H$4</f>
        <v>108500</v>
      </c>
      <c r="J13" s="7">
        <f>'WINNIE ESCALANTE'!E4</f>
        <v>2000000</v>
      </c>
      <c r="K13" s="14">
        <f t="shared" si="1"/>
        <v>0.149725</v>
      </c>
      <c r="L13" s="8">
        <f>'WINNIE ESCALANTE'!$K$5</f>
        <v>3</v>
      </c>
      <c r="M13" s="8">
        <f>'WINNIE ESCALANTE'!$J$5</f>
        <v>3</v>
      </c>
    </row>
    <row r="14">
      <c r="B14" s="6" t="s">
        <v>71</v>
      </c>
      <c r="C14" s="6" t="str">
        <f>'JOSE LUIS QUINTEROS'!D3</f>
        <v>LIMA 1</v>
      </c>
      <c r="D14" s="7">
        <f>'JOSE LUIS QUINTEROS'!$F$4</f>
        <v>0</v>
      </c>
      <c r="E14" s="8">
        <f>'JOSE LUIS QUINTEROS'!$F$5</f>
        <v>0</v>
      </c>
      <c r="F14" s="7">
        <f>'JOSE LUIS QUINTEROS'!$K$4</f>
        <v>40500</v>
      </c>
      <c r="G14" s="7">
        <f>'JOSE LUIS QUINTEROS'!$J$4</f>
        <v>0</v>
      </c>
      <c r="H14" s="7">
        <f>'JOSE LUIS QUINTEROS'!$I$4</f>
        <v>235050</v>
      </c>
      <c r="I14" s="7">
        <f>'JOSE LUIS QUINTEROS'!$H$4</f>
        <v>89600</v>
      </c>
      <c r="J14" s="7">
        <f>'JOSE LUIS QUINTEROS'!E4</f>
        <v>1000000</v>
      </c>
      <c r="K14" s="14">
        <f t="shared" si="1"/>
        <v>0</v>
      </c>
      <c r="L14" s="8">
        <f>'JOSE LUIS QUINTEROS'!$K$5</f>
        <v>1</v>
      </c>
      <c r="M14" s="8">
        <f>'JOSE LUIS QUINTEROS'!$J$5</f>
        <v>0</v>
      </c>
    </row>
    <row r="15">
      <c r="B15" s="6" t="s">
        <v>79</v>
      </c>
      <c r="C15" s="6" t="str">
        <f>'NATHALIE ARANDA'!D3</f>
        <v>LIMA 2</v>
      </c>
      <c r="D15" s="7">
        <f>'NATHALIE ARANDA'!$F$4</f>
        <v>224850</v>
      </c>
      <c r="E15" s="8">
        <f>'NATHALIE ARANDA'!$F$5</f>
        <v>3</v>
      </c>
      <c r="F15" s="7">
        <f>'NATHALIE ARANDA'!$K$4</f>
        <v>111250</v>
      </c>
      <c r="G15" s="7">
        <f>'NATHALIE ARANDA'!$J$4</f>
        <v>135750</v>
      </c>
      <c r="H15" s="7">
        <f>'NATHALIE ARANDA'!$I$4</f>
        <v>336100</v>
      </c>
      <c r="I15" s="7">
        <f>'NATHALIE ARANDA'!$H$4</f>
        <v>99400</v>
      </c>
      <c r="J15" s="7">
        <f>'NATHALIE ARANDA'!E4</f>
        <v>500000</v>
      </c>
      <c r="K15" s="14">
        <f t="shared" si="1"/>
        <v>0.4497</v>
      </c>
      <c r="L15" s="8">
        <f>'NATHALIE ARANDA'!$K$5</f>
        <v>2</v>
      </c>
      <c r="M15" s="8">
        <f>'NATHALIE ARANDA'!$J$5</f>
        <v>3</v>
      </c>
    </row>
    <row r="16">
      <c r="B16" s="6" t="s">
        <v>85</v>
      </c>
      <c r="C16" s="6" t="str">
        <f>'ARACELY VENTURA'!D3</f>
        <v>CHICLAYO</v>
      </c>
      <c r="D16" s="7">
        <f>'ARACELY VENTURA'!$F$4</f>
        <v>167300</v>
      </c>
      <c r="E16" s="8">
        <f>'ARACELY VENTURA'!$F$5</f>
        <v>2</v>
      </c>
      <c r="F16" s="7">
        <f>'ARACELY VENTURA'!$K$4</f>
        <v>0</v>
      </c>
      <c r="G16" s="7">
        <f>'ARACELY VENTURA'!$J$4</f>
        <v>78300</v>
      </c>
      <c r="H16" s="7">
        <f>'ARACELY VENTURA'!$I$4</f>
        <v>0</v>
      </c>
      <c r="I16" s="7">
        <f>'ARACELY VENTURA'!$H$4</f>
        <v>0</v>
      </c>
      <c r="J16" s="7">
        <v>1000000.0</v>
      </c>
      <c r="K16" s="14">
        <f t="shared" si="1"/>
        <v>0.1673</v>
      </c>
      <c r="L16" s="8">
        <f>'ARACELY VENTURA'!$K$5</f>
        <v>0</v>
      </c>
      <c r="M16" s="8">
        <f>'ARACELY VENTURA'!$J$5</f>
        <v>1</v>
      </c>
    </row>
    <row r="17">
      <c r="B17" s="6" t="s">
        <v>92</v>
      </c>
      <c r="C17" s="6" t="str">
        <f>'JHON ZAMORA'!D3</f>
        <v>CHICLAYO</v>
      </c>
      <c r="D17" s="7">
        <f>'JHON ZAMORA'!$F$4</f>
        <v>83130</v>
      </c>
      <c r="E17" s="8">
        <f>'JHON ZAMORA'!$F$5</f>
        <v>1</v>
      </c>
      <c r="F17" s="7">
        <f>'JHON ZAMORA'!$K$4</f>
        <v>0</v>
      </c>
      <c r="G17" s="7">
        <f>'JHON ZAMORA'!$J$4</f>
        <v>0</v>
      </c>
      <c r="H17" s="7">
        <f>'JHON ZAMORA'!$I$4</f>
        <v>240400</v>
      </c>
      <c r="I17" s="7">
        <f>'JHON ZAMORA'!$H$4</f>
        <v>0</v>
      </c>
      <c r="J17" s="7">
        <v>1000000.0</v>
      </c>
      <c r="K17" s="14">
        <f t="shared" si="1"/>
        <v>0.08313</v>
      </c>
      <c r="L17" s="8">
        <f>'JHON ZAMORA'!$K$5</f>
        <v>0</v>
      </c>
      <c r="M17" s="8">
        <f>'JHON ZAMORA'!$J$5</f>
        <v>0</v>
      </c>
    </row>
    <row r="18">
      <c r="B18" s="6" t="s">
        <v>99</v>
      </c>
      <c r="C18" s="6" t="str">
        <f>'OMAR MINAYA'!D3</f>
        <v>CHICLAYO</v>
      </c>
      <c r="D18" s="7">
        <f>'OMAR MINAYA'!$F$4</f>
        <v>74700</v>
      </c>
      <c r="E18" s="8">
        <f>'OMAR MINAYA'!$F$5</f>
        <v>2</v>
      </c>
      <c r="F18" s="7">
        <f>'OMAR MINAYA'!$K$4</f>
        <v>89600</v>
      </c>
      <c r="G18" s="7">
        <f>'OMAR MINAYA'!$J$4</f>
        <v>0</v>
      </c>
      <c r="H18" s="7">
        <f>'OMAR MINAYA'!$I$4</f>
        <v>941800</v>
      </c>
      <c r="I18" s="7">
        <f>'OMAR MINAYA'!$H$4</f>
        <v>0</v>
      </c>
      <c r="J18" s="7">
        <v>1000000.0</v>
      </c>
      <c r="K18" s="14">
        <f t="shared" si="1"/>
        <v>0.0747</v>
      </c>
      <c r="L18" s="8">
        <f>'OMAR MINAYA'!$K$5</f>
        <v>1</v>
      </c>
      <c r="M18" s="8">
        <f>'OMAR MINAYA'!$J$5</f>
        <v>0</v>
      </c>
    </row>
    <row r="19">
      <c r="B19" s="6" t="s">
        <v>105</v>
      </c>
      <c r="C19" s="6" t="str">
        <f>'NAHOMI DIAZ'!D3</f>
        <v>CHICLAYO</v>
      </c>
      <c r="D19" s="7">
        <f>'NAHOMI DIAZ'!$F$4</f>
        <v>219300</v>
      </c>
      <c r="E19" s="8">
        <f>'NAHOMI DIAZ'!$F$5</f>
        <v>3</v>
      </c>
      <c r="F19" s="7">
        <f>'NAHOMI DIAZ'!$K$4</f>
        <v>289500</v>
      </c>
      <c r="G19" s="7">
        <f>'NAHOMI DIAZ'!$J$4</f>
        <v>0</v>
      </c>
      <c r="H19" s="7">
        <f>'NAHOMI DIAZ'!$I$4</f>
        <v>103510</v>
      </c>
      <c r="I19" s="7">
        <f>'NAHOMI DIAZ'!$H$4</f>
        <v>303217</v>
      </c>
      <c r="J19" s="7">
        <v>1000000.0</v>
      </c>
      <c r="K19" s="14">
        <f t="shared" si="1"/>
        <v>0.2193</v>
      </c>
      <c r="L19" s="8">
        <f>'NAHOMI DIAZ'!$K$5</f>
        <v>6</v>
      </c>
      <c r="M19" s="8">
        <f>'NAHOMI DIAZ'!$J$5</f>
        <v>0</v>
      </c>
    </row>
    <row r="20">
      <c r="B20" s="6" t="s">
        <v>110</v>
      </c>
      <c r="C20" s="6" t="str">
        <f>'VIOLETA LLERENA'!D3</f>
        <v>AREQUIPA</v>
      </c>
      <c r="D20" s="7">
        <f>'VIOLETA LLERENA'!$F$4</f>
        <v>113000</v>
      </c>
      <c r="E20" s="8">
        <f>'VIOLETA LLERENA'!$F$5</f>
        <v>2</v>
      </c>
      <c r="F20" s="7">
        <f>'VIOLETA LLERENA'!$K$4</f>
        <v>3000</v>
      </c>
      <c r="G20" s="7">
        <f>'VIOLETA LLERENA'!$J$4</f>
        <v>59800</v>
      </c>
      <c r="H20" s="7">
        <f>'VIOLETA LLERENA'!$I$4</f>
        <v>119300</v>
      </c>
      <c r="I20" s="7">
        <f>'VIOLETA LLERENA'!$H$4</f>
        <v>88350</v>
      </c>
      <c r="J20" s="7">
        <v>1000000.0</v>
      </c>
      <c r="K20" s="14">
        <f t="shared" si="1"/>
        <v>0.113</v>
      </c>
      <c r="L20" s="8">
        <f>'VIOLETA LLERENA'!$K$5</f>
        <v>1</v>
      </c>
      <c r="M20" s="8">
        <f>'VIOLETA LLERENA'!$J$5</f>
        <v>1</v>
      </c>
    </row>
    <row r="21">
      <c r="B21" s="6" t="s">
        <v>117</v>
      </c>
      <c r="C21" s="6" t="str">
        <f>'MILUSKA LINARES'!D3</f>
        <v>TRUJILLO</v>
      </c>
      <c r="D21" s="7">
        <f>'MILUSKA LINARES'!$F$4</f>
        <v>0</v>
      </c>
      <c r="E21" s="8">
        <f>'MILUSKA LINARES'!$F$5</f>
        <v>0</v>
      </c>
      <c r="F21" s="7">
        <f>'MILUSKA LINARES'!$K$4</f>
        <v>0</v>
      </c>
      <c r="G21" s="7">
        <f>'MILUSKA LINARES'!$J$4</f>
        <v>0</v>
      </c>
      <c r="H21" s="7">
        <f>'MILUSKA LINARES'!$I$4</f>
        <v>0</v>
      </c>
      <c r="I21" s="7">
        <f>'MILUSKA LINARES'!$H$4</f>
        <v>0</v>
      </c>
      <c r="J21" s="7">
        <v>1000000.0</v>
      </c>
      <c r="K21" s="14">
        <f t="shared" si="1"/>
        <v>0</v>
      </c>
      <c r="L21" s="8">
        <f>'MILUSKA LINARES'!$K$5</f>
        <v>0</v>
      </c>
      <c r="M21" s="8">
        <f>'MILUSKA LINARES'!$J$5</f>
        <v>0</v>
      </c>
    </row>
    <row r="22">
      <c r="B22" s="6" t="s">
        <v>122</v>
      </c>
      <c r="C22" s="6" t="str">
        <f>'THALIA SALOME'!D3</f>
        <v>HUANCAYO</v>
      </c>
      <c r="D22" s="7">
        <f>'THALIA SALOME'!$F$4</f>
        <v>0</v>
      </c>
      <c r="E22" s="8">
        <f>'THALIA SALOME'!$F$5</f>
        <v>0</v>
      </c>
      <c r="F22" s="7">
        <f>'THALIA SALOME'!$K$4</f>
        <v>0</v>
      </c>
      <c r="G22" s="7">
        <f>'THALIA SALOME'!$J$4</f>
        <v>0</v>
      </c>
      <c r="H22" s="7">
        <f>'THALIA SALOME'!$I$4</f>
        <v>0</v>
      </c>
      <c r="I22" s="7">
        <f>'THALIA SALOME'!$H$4</f>
        <v>0</v>
      </c>
      <c r="J22" s="7">
        <v>1000000.0</v>
      </c>
      <c r="K22" s="14">
        <f t="shared" si="1"/>
        <v>0</v>
      </c>
      <c r="L22" s="8">
        <f>'THALIA SALOME'!$K$5</f>
        <v>0</v>
      </c>
      <c r="M22" s="8">
        <f>'THALIA SALOME'!$J$5</f>
        <v>0</v>
      </c>
    </row>
    <row r="23">
      <c r="B23" s="6" t="s">
        <v>130</v>
      </c>
      <c r="C23" s="6" t="str">
        <f>'ELIZABETH ESQUIVEL'!D3</f>
        <v>LIMA 1</v>
      </c>
      <c r="D23" s="7">
        <f>'ELIZABETH ESQUIVEL'!$F$4</f>
        <v>0</v>
      </c>
      <c r="E23" s="8">
        <f>'ELIZABETH ESQUIVEL'!$F$5</f>
        <v>0</v>
      </c>
      <c r="F23" s="7">
        <f>'ELIZABETH ESQUIVEL'!$K$4</f>
        <v>0</v>
      </c>
      <c r="G23" s="7">
        <f>'ELIZABETH ESQUIVEL'!$J$4</f>
        <v>0</v>
      </c>
      <c r="H23" s="7">
        <f>'ELIZABETH ESQUIVEL'!$I$4</f>
        <v>0</v>
      </c>
      <c r="I23" s="7">
        <f>'ELIZABETH ESQUIVEL'!$H$4</f>
        <v>0</v>
      </c>
      <c r="J23" s="7">
        <v>500000.0</v>
      </c>
      <c r="K23" s="14">
        <f t="shared" si="1"/>
        <v>0</v>
      </c>
      <c r="L23" s="8">
        <f>'ELIZABETH ESQUIVEL'!$K$5</f>
        <v>1</v>
      </c>
      <c r="M23" s="8" t="str">
        <f>'ELIZSABETH ESQUIVEL'!$J$5</f>
        <v>#REF!</v>
      </c>
    </row>
    <row r="24">
      <c r="B24" s="6" t="s">
        <v>134</v>
      </c>
      <c r="C24" s="6" t="str">
        <f>'ANA ALIAGA'!D3</f>
        <v>LIMA 1</v>
      </c>
      <c r="D24" s="7">
        <f>'ANA ALIAGA'!$F$4</f>
        <v>160880</v>
      </c>
      <c r="E24" s="8">
        <f>'ANA ALIAGA'!$F$5</f>
        <v>2</v>
      </c>
      <c r="F24" s="7">
        <f>'ANA ALIAGA'!$K$4</f>
        <v>0</v>
      </c>
      <c r="G24" s="7">
        <f>'ANA ALIAGA'!$J$4</f>
        <v>0</v>
      </c>
      <c r="H24" s="7">
        <f>'ANA ALIAGA'!$I$4</f>
        <v>149500</v>
      </c>
      <c r="I24" s="7">
        <f>'ANA ALIAGA'!$H$4</f>
        <v>113500</v>
      </c>
      <c r="J24" s="7">
        <v>1000000.0</v>
      </c>
      <c r="K24" s="14">
        <f t="shared" si="1"/>
        <v>0.16088</v>
      </c>
      <c r="L24" s="8">
        <f>'ANA ALIAGA'!$K$5</f>
        <v>0</v>
      </c>
      <c r="M24" s="8">
        <f>'ANA ALIAGA'!$J$5</f>
        <v>0</v>
      </c>
    </row>
    <row r="25">
      <c r="B25" s="6" t="s">
        <v>140</v>
      </c>
      <c r="C25" s="6" t="str">
        <f>'MERCEDES GIRALDO'!D3</f>
        <v>LIMA 1</v>
      </c>
      <c r="D25" s="7">
        <f>'MERCEDES GIRALDO'!$F$4</f>
        <v>113400</v>
      </c>
      <c r="E25" s="8">
        <f>'MERCEDES GIRALDO'!$F$5</f>
        <v>3</v>
      </c>
      <c r="F25" s="7">
        <f>'MERCEDES GIRALDO'!$K$4</f>
        <v>0</v>
      </c>
      <c r="G25" s="7">
        <f>'MERCEDES GIRALDO'!$J$4</f>
        <v>0</v>
      </c>
      <c r="H25" s="7">
        <f>'MERCEDES GIRALDO'!$I$4</f>
        <v>157750</v>
      </c>
      <c r="I25" s="7">
        <f>'MERCEDES GIRALDO'!$H$4</f>
        <v>49300</v>
      </c>
      <c r="J25" s="7">
        <v>1000000.0</v>
      </c>
      <c r="K25" s="14">
        <f t="shared" si="1"/>
        <v>0.1134</v>
      </c>
      <c r="L25" s="8">
        <f>'MERCEDES GIRALDO'!$K$5</f>
        <v>0</v>
      </c>
      <c r="M25" s="8">
        <f>'MERCEDES GIRALDO'!$J$5</f>
        <v>0</v>
      </c>
    </row>
    <row r="26">
      <c r="B26" s="6" t="s">
        <v>145</v>
      </c>
      <c r="C26" s="6" t="s">
        <v>28</v>
      </c>
      <c r="D26" s="7">
        <f>'MERCEDES GIRALDO'!$F$4</f>
        <v>113400</v>
      </c>
      <c r="E26" s="8">
        <f>'MERCEDES GIRALDO'!$F$5</f>
        <v>3</v>
      </c>
      <c r="F26" s="7">
        <f>'MERCEDES GIRALDO'!$K$4</f>
        <v>0</v>
      </c>
      <c r="G26" s="7">
        <f>'MERCEDES GIRALDO'!$J$4</f>
        <v>0</v>
      </c>
      <c r="H26" s="7">
        <f>'MERCEDES GIRALDO'!$I$4</f>
        <v>157750</v>
      </c>
      <c r="I26" s="7">
        <f>'MERCEDES GIRALDO'!$H$4</f>
        <v>49300</v>
      </c>
      <c r="J26" s="7">
        <v>1000000.0</v>
      </c>
      <c r="K26" s="14">
        <f t="shared" si="1"/>
        <v>0.1134</v>
      </c>
      <c r="L26" s="8">
        <f>'MERCEDES GIRALDO'!$K$5</f>
        <v>0</v>
      </c>
      <c r="M26" s="8"/>
    </row>
    <row r="27">
      <c r="B27" s="73" t="s">
        <v>147</v>
      </c>
      <c r="C27" s="74"/>
      <c r="D27" s="75">
        <f t="shared" ref="D27:J27" si="2">SUM(D5:D25)</f>
        <v>1909310</v>
      </c>
      <c r="E27" s="76">
        <f t="shared" si="2"/>
        <v>31</v>
      </c>
      <c r="F27" s="77">
        <f t="shared" si="2"/>
        <v>1928320</v>
      </c>
      <c r="G27" s="77">
        <f t="shared" si="2"/>
        <v>1034300</v>
      </c>
      <c r="H27" s="77">
        <f t="shared" si="2"/>
        <v>2949810</v>
      </c>
      <c r="I27" s="77">
        <f t="shared" si="2"/>
        <v>900717</v>
      </c>
      <c r="J27" s="77">
        <f t="shared" si="2"/>
        <v>22600000</v>
      </c>
      <c r="K27" s="78">
        <v>7.6246407239819E13</v>
      </c>
      <c r="L27" s="79">
        <f t="shared" ref="L27:M27" si="3">SUM(L5:L25)</f>
        <v>32</v>
      </c>
      <c r="M27" s="79" t="str">
        <f t="shared" si="3"/>
        <v>#REF!</v>
      </c>
    </row>
    <row r="30">
      <c r="B30" s="81" t="s">
        <v>155</v>
      </c>
      <c r="C30" s="82"/>
      <c r="D30" s="4" t="s">
        <v>4</v>
      </c>
      <c r="E30" s="4" t="s">
        <v>5</v>
      </c>
      <c r="F30" s="5" t="s">
        <v>6</v>
      </c>
      <c r="G30" s="5" t="s">
        <v>7</v>
      </c>
      <c r="H30" s="5" t="s">
        <v>8</v>
      </c>
      <c r="I30" s="5" t="s">
        <v>9</v>
      </c>
      <c r="J30" s="5" t="s">
        <v>10</v>
      </c>
      <c r="K30" s="5" t="s">
        <v>11</v>
      </c>
      <c r="L30" s="5" t="s">
        <v>12</v>
      </c>
      <c r="M30" s="5" t="s">
        <v>13</v>
      </c>
    </row>
    <row r="31">
      <c r="B31" s="83" t="s">
        <v>16</v>
      </c>
      <c r="C31" s="82"/>
      <c r="D31" s="7">
        <f t="shared" ref="D31:J31" si="4">SUMIFS(D$5:D$25,$C$5:$C$25,$B31)</f>
        <v>815030</v>
      </c>
      <c r="E31" s="8">
        <f t="shared" si="4"/>
        <v>15</v>
      </c>
      <c r="F31" s="7">
        <f t="shared" si="4"/>
        <v>611550</v>
      </c>
      <c r="G31" s="7">
        <f t="shared" si="4"/>
        <v>248900</v>
      </c>
      <c r="H31" s="7">
        <f t="shared" si="4"/>
        <v>1126700</v>
      </c>
      <c r="I31" s="7">
        <f t="shared" si="4"/>
        <v>360900</v>
      </c>
      <c r="J31" s="7">
        <f t="shared" si="4"/>
        <v>8500000</v>
      </c>
      <c r="K31" s="14">
        <f t="shared" ref="K31:K38" si="7">D31/J31</f>
        <v>0.09588588235</v>
      </c>
      <c r="L31" s="8">
        <f t="shared" ref="L31:M31" si="5">SUMIFS(L$5:L$25,$C$5:$C$25,$B31)</f>
        <v>11</v>
      </c>
      <c r="M31" s="8" t="str">
        <f t="shared" si="5"/>
        <v>#REF!</v>
      </c>
    </row>
    <row r="32">
      <c r="B32" s="83" t="s">
        <v>158</v>
      </c>
      <c r="C32" s="82"/>
      <c r="D32" s="7">
        <f t="shared" ref="D32:J32" si="6">SUMIFS(D$5:D$25,$C$5:$C$25,$B32)</f>
        <v>224850</v>
      </c>
      <c r="E32" s="8">
        <f t="shared" si="6"/>
        <v>3</v>
      </c>
      <c r="F32" s="7">
        <f t="shared" si="6"/>
        <v>111250</v>
      </c>
      <c r="G32" s="7">
        <f t="shared" si="6"/>
        <v>135750</v>
      </c>
      <c r="H32" s="7">
        <f t="shared" si="6"/>
        <v>336100</v>
      </c>
      <c r="I32" s="7">
        <f t="shared" si="6"/>
        <v>99400</v>
      </c>
      <c r="J32" s="7">
        <f t="shared" si="6"/>
        <v>2500000</v>
      </c>
      <c r="K32" s="14">
        <f t="shared" si="7"/>
        <v>0.08994</v>
      </c>
      <c r="L32" s="8">
        <f t="shared" ref="L32:M32" si="8">SUMIFS(L$5:L$25,$C$5:$C$25,$B32)</f>
        <v>2</v>
      </c>
      <c r="M32" s="8">
        <f t="shared" si="8"/>
        <v>3</v>
      </c>
    </row>
    <row r="33">
      <c r="B33" s="83" t="s">
        <v>162</v>
      </c>
      <c r="C33" s="82"/>
      <c r="D33" s="7">
        <f t="shared" ref="D33:J33" si="9">SUMIFS(D5:D25,$C$5:$C$25,"CHICLAYO")+SUMIFS(D5:D25,$C$5:$C$25,"TRUJILLO")+SUMIFS(D5:D25,$C$5:$C$25,"PIURA")</f>
        <v>714430</v>
      </c>
      <c r="E33" s="8">
        <f t="shared" si="9"/>
        <v>10</v>
      </c>
      <c r="F33" s="7">
        <f t="shared" si="9"/>
        <v>1152420</v>
      </c>
      <c r="G33" s="7">
        <f t="shared" si="9"/>
        <v>330350</v>
      </c>
      <c r="H33" s="7">
        <f t="shared" si="9"/>
        <v>1367710</v>
      </c>
      <c r="I33" s="7">
        <f t="shared" si="9"/>
        <v>352067</v>
      </c>
      <c r="J33" s="7">
        <f t="shared" si="9"/>
        <v>8000000</v>
      </c>
      <c r="K33" s="14">
        <f t="shared" si="7"/>
        <v>0.08930375</v>
      </c>
      <c r="L33" s="8">
        <f t="shared" ref="L33:M33" si="10">SUMIFS(L5:L25,$C$5:$C$25,"CHICLAYO")+SUMIFS(L5:L25,$C$5:$C$25,"TRUJILLO")+SUMIFS(L5:L25,$C$5:$C$25,"PIURA")</f>
        <v>17</v>
      </c>
      <c r="M33" s="8">
        <f t="shared" si="10"/>
        <v>4</v>
      </c>
    </row>
    <row r="34">
      <c r="B34" s="83" t="s">
        <v>169</v>
      </c>
      <c r="C34" s="82"/>
      <c r="D34" s="7">
        <f t="shared" ref="D34:J34" si="11">SUMIFS(D5:D22,$C$5:$C$22,"TARAPOTO")</f>
        <v>42000</v>
      </c>
      <c r="E34" s="8">
        <f t="shared" si="11"/>
        <v>1</v>
      </c>
      <c r="F34" s="7">
        <f t="shared" si="11"/>
        <v>50100</v>
      </c>
      <c r="G34" s="7">
        <f t="shared" si="11"/>
        <v>259500</v>
      </c>
      <c r="H34" s="7">
        <f t="shared" si="11"/>
        <v>0</v>
      </c>
      <c r="I34" s="7">
        <f t="shared" si="11"/>
        <v>0</v>
      </c>
      <c r="J34" s="7">
        <f t="shared" si="11"/>
        <v>800000</v>
      </c>
      <c r="K34" s="14">
        <f t="shared" si="7"/>
        <v>0.0525</v>
      </c>
      <c r="L34" s="8">
        <f t="shared" ref="L34:M34" si="12">SUMIFS(L5:L22,$C$5:$C$22,"TARAPOTO")</f>
        <v>1</v>
      </c>
      <c r="M34" s="8">
        <f t="shared" si="12"/>
        <v>4</v>
      </c>
    </row>
    <row r="35">
      <c r="B35" s="6" t="s">
        <v>173</v>
      </c>
      <c r="C35" s="6"/>
      <c r="D35" s="7">
        <f t="shared" ref="D35:J35" si="13">SUMIFS(D5:D22,$C$5:$C$22,"AYACUCHO")</f>
        <v>0</v>
      </c>
      <c r="E35" s="8">
        <f t="shared" si="13"/>
        <v>0</v>
      </c>
      <c r="F35" s="7">
        <f t="shared" si="13"/>
        <v>0</v>
      </c>
      <c r="G35" s="7">
        <f t="shared" si="13"/>
        <v>0</v>
      </c>
      <c r="H35" s="7">
        <f t="shared" si="13"/>
        <v>0</v>
      </c>
      <c r="I35" s="7">
        <f t="shared" si="13"/>
        <v>0</v>
      </c>
      <c r="J35" s="7">
        <f t="shared" si="13"/>
        <v>800000</v>
      </c>
      <c r="K35" s="14">
        <f t="shared" si="7"/>
        <v>0</v>
      </c>
      <c r="L35" s="8">
        <f t="shared" ref="L35:M35" si="14">SUMIFS(L5:L22,$C$5:$C$22,"AYACUCHO")</f>
        <v>0</v>
      </c>
      <c r="M35" s="8">
        <f t="shared" si="14"/>
        <v>0</v>
      </c>
    </row>
    <row r="36">
      <c r="B36" s="83" t="s">
        <v>177</v>
      </c>
      <c r="C36" s="82"/>
      <c r="D36" s="7">
        <f t="shared" ref="D36:J36" si="15">SUMIFS(D5:D22,$C$5:$C$22,"AREQUIPA")</f>
        <v>113000</v>
      </c>
      <c r="E36" s="8">
        <f t="shared" si="15"/>
        <v>2</v>
      </c>
      <c r="F36" s="7">
        <f t="shared" si="15"/>
        <v>3000</v>
      </c>
      <c r="G36" s="7">
        <f t="shared" si="15"/>
        <v>59800</v>
      </c>
      <c r="H36" s="7">
        <f t="shared" si="15"/>
        <v>119300</v>
      </c>
      <c r="I36" s="7">
        <f t="shared" si="15"/>
        <v>88350</v>
      </c>
      <c r="J36" s="7">
        <f t="shared" si="15"/>
        <v>1000000</v>
      </c>
      <c r="K36" s="14">
        <f t="shared" si="7"/>
        <v>0.113</v>
      </c>
      <c r="L36" s="8" t="str">
        <f t="shared" ref="L36:M36" si="16">SUMIFS(L6:L24,$C$5:$C$22,"AREQUIPA")</f>
        <v>#VALUE!</v>
      </c>
      <c r="M36" s="8" t="str">
        <f t="shared" si="16"/>
        <v>#VALUE!</v>
      </c>
    </row>
    <row r="37">
      <c r="B37" s="83" t="s">
        <v>179</v>
      </c>
      <c r="C37" s="82"/>
      <c r="D37" s="7">
        <f t="shared" ref="D37:J37" si="17">SUMIFS(D$5:D$25,$C$5:$C$25,$B37)</f>
        <v>0</v>
      </c>
      <c r="E37" s="8">
        <f t="shared" si="17"/>
        <v>0</v>
      </c>
      <c r="F37" s="7">
        <f t="shared" si="17"/>
        <v>0</v>
      </c>
      <c r="G37" s="7">
        <f t="shared" si="17"/>
        <v>0</v>
      </c>
      <c r="H37" s="7">
        <f t="shared" si="17"/>
        <v>0</v>
      </c>
      <c r="I37" s="7">
        <f t="shared" si="17"/>
        <v>0</v>
      </c>
      <c r="J37" s="7">
        <f t="shared" si="17"/>
        <v>1000000</v>
      </c>
      <c r="K37" s="14">
        <f t="shared" si="7"/>
        <v>0</v>
      </c>
      <c r="L37" s="8">
        <f t="shared" ref="L37:M37" si="18">SUMIFS(L$5:L$25,$C$5:$C$25,$B37)</f>
        <v>0</v>
      </c>
      <c r="M37" s="8">
        <f t="shared" si="18"/>
        <v>0</v>
      </c>
    </row>
    <row r="38">
      <c r="B38" s="85" t="s">
        <v>147</v>
      </c>
      <c r="C38" s="82"/>
      <c r="D38" s="75">
        <f t="shared" ref="D38:J38" si="19">SUM(D31:D37)</f>
        <v>1909310</v>
      </c>
      <c r="E38" s="76">
        <f t="shared" si="19"/>
        <v>31</v>
      </c>
      <c r="F38" s="77">
        <f t="shared" si="19"/>
        <v>1928320</v>
      </c>
      <c r="G38" s="77">
        <f t="shared" si="19"/>
        <v>1034300</v>
      </c>
      <c r="H38" s="77">
        <f t="shared" si="19"/>
        <v>2949810</v>
      </c>
      <c r="I38" s="77">
        <f t="shared" si="19"/>
        <v>900717</v>
      </c>
      <c r="J38" s="77">
        <f t="shared" si="19"/>
        <v>22600000</v>
      </c>
      <c r="K38" s="86">
        <f t="shared" si="7"/>
        <v>0.08448274336</v>
      </c>
      <c r="L38" s="79" t="str">
        <f t="shared" ref="L38:M38" si="20">SUM(L31:L37)</f>
        <v>#VALUE!</v>
      </c>
      <c r="M38" s="79" t="str">
        <f t="shared" si="20"/>
        <v>#REF!</v>
      </c>
    </row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8">
    <mergeCell ref="B30:C30"/>
    <mergeCell ref="B31:C31"/>
    <mergeCell ref="B32:C32"/>
    <mergeCell ref="B33:C33"/>
    <mergeCell ref="B34:C34"/>
    <mergeCell ref="B36:C36"/>
    <mergeCell ref="B37:C37"/>
    <mergeCell ref="B38:C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2000000.0</v>
      </c>
      <c r="F4" s="15">
        <f>SUMIFS(OPI[MAF NETO],OPI[ESTADO],"Desembolsado")</f>
        <v>158300</v>
      </c>
      <c r="G4" s="15">
        <f>F4-E4</f>
        <v>-1841700</v>
      </c>
      <c r="H4" s="16">
        <f>SUMIFS(OPI[MAF NETO],OPI[ESTADO],H$3)</f>
        <v>0</v>
      </c>
      <c r="I4" s="16">
        <f>SUMIFS(OPI[MAF NETO],OPI[ESTADO],I$3)</f>
        <v>250700</v>
      </c>
      <c r="J4" s="16">
        <f>SUMIFS(OPI[MAF NETO],OPI[ESTADO],J$3)</f>
        <v>0</v>
      </c>
      <c r="K4" s="16">
        <f>SUMIFS(OPI[MAF NETO],OPI[ESTADO],K$3)</f>
        <v>189400</v>
      </c>
      <c r="L4" s="16">
        <f>SUMIFS(OPI[MAF NETO],OPI[ESTADO],L$3)</f>
        <v>0</v>
      </c>
      <c r="M4" s="16">
        <f>SUMIFS(OPI[MAF NETO],OPI[ESTADO],M$3)</f>
        <v>0</v>
      </c>
      <c r="N4" s="16">
        <f>SUMIFS(OPI[MAF NETO],OPI[ESTADO],N$3)</f>
        <v>0</v>
      </c>
    </row>
    <row r="5" ht="26.25" customHeight="1">
      <c r="D5" s="17" t="s">
        <v>31</v>
      </c>
      <c r="E5" s="18" t="s">
        <v>32</v>
      </c>
      <c r="F5" s="19">
        <f>COUNTIFS(OPI[ESTADO],"Desembolsado")</f>
        <v>2</v>
      </c>
      <c r="G5" s="20">
        <f>IFERROR(F4/E4,"")</f>
        <v>0.07915</v>
      </c>
      <c r="H5" s="19">
        <f>COUNTIFS(OPI[ESTADO],H$3)</f>
        <v>0</v>
      </c>
      <c r="I5" s="19">
        <f>COUNTIFS(OPI[ESTADO],I$3)</f>
        <v>3</v>
      </c>
      <c r="J5" s="19">
        <f>COUNTIFS(OPI[ESTADO],J$3)</f>
        <v>0</v>
      </c>
      <c r="K5" s="19">
        <f>COUNTIFS(OPI[ESTADO],K$3)</f>
        <v>3</v>
      </c>
      <c r="L5" s="19">
        <f>COUNTIFS(OPI[ESTADO],L$3)</f>
        <v>0</v>
      </c>
      <c r="M5" s="19">
        <f>COUNTIFS(OPI[ESTADO],M$3)</f>
        <v>0</v>
      </c>
      <c r="N5" s="19">
        <f>COUNTIFS(OPI[ESTADO],N$3)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>
        <v>46267.0</v>
      </c>
      <c r="D10" s="30" t="s">
        <v>54</v>
      </c>
      <c r="E10" s="28">
        <v>46268.0</v>
      </c>
      <c r="F10" s="26" t="s">
        <v>58</v>
      </c>
      <c r="G10" s="33" t="s">
        <v>60</v>
      </c>
      <c r="H10" s="33" t="s">
        <v>62</v>
      </c>
      <c r="I10" s="38" t="s">
        <v>65</v>
      </c>
      <c r="J10" s="30" t="s">
        <v>24</v>
      </c>
      <c r="K10" s="36">
        <v>82200.0</v>
      </c>
      <c r="L10" s="38" t="s">
        <v>68</v>
      </c>
      <c r="M10" s="30"/>
      <c r="N10" s="46"/>
      <c r="O10" s="30"/>
      <c r="P10" s="44"/>
      <c r="Q10" s="48"/>
    </row>
    <row r="11" ht="22.5" customHeight="1">
      <c r="B11" s="26"/>
      <c r="C11" s="28">
        <v>46268.0</v>
      </c>
      <c r="D11" s="30" t="s">
        <v>54</v>
      </c>
      <c r="E11" s="28">
        <v>46268.0</v>
      </c>
      <c r="F11" s="28">
        <v>46269.0</v>
      </c>
      <c r="G11" s="33" t="s">
        <v>78</v>
      </c>
      <c r="H11" s="33" t="s">
        <v>81</v>
      </c>
      <c r="I11" s="38" t="s">
        <v>65</v>
      </c>
      <c r="J11" s="30" t="s">
        <v>19</v>
      </c>
      <c r="K11" s="36">
        <v>75000.0</v>
      </c>
      <c r="L11" s="38" t="s">
        <v>68</v>
      </c>
      <c r="M11" s="51"/>
      <c r="N11" s="46"/>
      <c r="O11" s="44"/>
      <c r="P11" s="44"/>
      <c r="Q11" s="48"/>
    </row>
    <row r="12" ht="22.5" customHeight="1">
      <c r="B12" s="26"/>
      <c r="C12" s="28">
        <v>46268.0</v>
      </c>
      <c r="D12" s="30" t="s">
        <v>54</v>
      </c>
      <c r="E12" s="28">
        <v>46268.0</v>
      </c>
      <c r="F12" s="26" t="s">
        <v>93</v>
      </c>
      <c r="G12" s="33" t="s">
        <v>94</v>
      </c>
      <c r="H12" s="33" t="s">
        <v>96</v>
      </c>
      <c r="I12" s="38" t="s">
        <v>65</v>
      </c>
      <c r="J12" s="30" t="s">
        <v>24</v>
      </c>
      <c r="K12" s="36">
        <v>54500.0</v>
      </c>
      <c r="L12" s="38" t="s">
        <v>68</v>
      </c>
      <c r="M12" s="51"/>
      <c r="N12" s="42"/>
      <c r="O12" s="44"/>
      <c r="P12" s="44"/>
      <c r="Q12" s="48"/>
    </row>
    <row r="13" ht="22.5" customHeight="1">
      <c r="B13" s="26"/>
      <c r="C13" s="28"/>
      <c r="D13" s="61"/>
      <c r="E13" s="28"/>
      <c r="F13" s="26" t="s">
        <v>93</v>
      </c>
      <c r="G13" s="33" t="s">
        <v>108</v>
      </c>
      <c r="H13" s="33" t="s">
        <v>109</v>
      </c>
      <c r="I13" s="38" t="s">
        <v>111</v>
      </c>
      <c r="J13" s="30" t="s">
        <v>19</v>
      </c>
      <c r="K13" s="36">
        <v>83300.0</v>
      </c>
      <c r="L13" s="38" t="s">
        <v>68</v>
      </c>
      <c r="M13" s="51"/>
      <c r="N13" s="42"/>
      <c r="O13" s="44"/>
      <c r="P13" s="44"/>
      <c r="Q13" s="48"/>
    </row>
    <row r="14" ht="22.5" customHeight="1">
      <c r="B14" s="26"/>
      <c r="C14" s="28"/>
      <c r="D14" s="30"/>
      <c r="E14" s="28"/>
      <c r="F14" s="28"/>
      <c r="G14" s="33" t="s">
        <v>123</v>
      </c>
      <c r="H14" s="33" t="s">
        <v>125</v>
      </c>
      <c r="I14" s="38" t="s">
        <v>126</v>
      </c>
      <c r="J14" s="30" t="s">
        <v>24</v>
      </c>
      <c r="K14" s="36">
        <v>52700.0</v>
      </c>
      <c r="L14" s="38" t="s">
        <v>127</v>
      </c>
      <c r="M14" s="51"/>
      <c r="N14" s="46"/>
      <c r="O14" s="44"/>
      <c r="P14" s="44"/>
      <c r="Q14" s="48"/>
    </row>
    <row r="15" ht="22.5" customHeight="1">
      <c r="B15" s="26"/>
      <c r="C15" s="28"/>
      <c r="D15" s="30"/>
      <c r="E15" s="28"/>
      <c r="F15" s="28"/>
      <c r="G15" s="33" t="s">
        <v>136</v>
      </c>
      <c r="H15" s="33" t="s">
        <v>138</v>
      </c>
      <c r="I15" s="38" t="s">
        <v>139</v>
      </c>
      <c r="J15" s="30" t="s">
        <v>22</v>
      </c>
      <c r="K15" s="36">
        <v>88000.0</v>
      </c>
      <c r="L15" s="38" t="s">
        <v>68</v>
      </c>
      <c r="M15" s="44"/>
      <c r="N15" s="42"/>
      <c r="O15" s="44"/>
      <c r="P15" s="44"/>
      <c r="Q15" s="48"/>
    </row>
    <row r="16" ht="22.5" customHeight="1">
      <c r="B16" s="26"/>
      <c r="C16" s="28"/>
      <c r="D16" s="30"/>
      <c r="E16" s="28"/>
      <c r="F16" s="26" t="s">
        <v>93</v>
      </c>
      <c r="G16" s="33" t="s">
        <v>150</v>
      </c>
      <c r="H16" s="33" t="s">
        <v>151</v>
      </c>
      <c r="I16" s="38" t="s">
        <v>65</v>
      </c>
      <c r="J16" s="30" t="s">
        <v>22</v>
      </c>
      <c r="K16" s="36">
        <v>82700.0</v>
      </c>
      <c r="L16" s="38" t="s">
        <v>68</v>
      </c>
      <c r="M16" s="51"/>
      <c r="N16" s="42"/>
      <c r="O16" s="44"/>
      <c r="P16" s="44"/>
      <c r="Q16" s="48"/>
    </row>
    <row r="17" ht="22.5" customHeight="1">
      <c r="B17" s="26"/>
      <c r="C17" s="28"/>
      <c r="D17" s="30"/>
      <c r="E17" s="28"/>
      <c r="F17" s="26" t="s">
        <v>163</v>
      </c>
      <c r="G17" s="33" t="s">
        <v>165</v>
      </c>
      <c r="H17" s="33" t="s">
        <v>166</v>
      </c>
      <c r="I17" s="38" t="s">
        <v>65</v>
      </c>
      <c r="J17" s="30" t="s">
        <v>22</v>
      </c>
      <c r="K17" s="36">
        <v>80000.0</v>
      </c>
      <c r="L17" s="38" t="s">
        <v>68</v>
      </c>
      <c r="M17" s="51"/>
      <c r="N17" s="42"/>
      <c r="O17" s="44"/>
      <c r="P17" s="44"/>
      <c r="Q17" s="48"/>
    </row>
    <row r="18" ht="22.5" customHeight="1">
      <c r="B18" s="26"/>
      <c r="C18" s="28"/>
      <c r="D18" s="30"/>
      <c r="E18" s="28"/>
      <c r="F18" s="28"/>
      <c r="G18" s="33"/>
      <c r="H18" s="33"/>
      <c r="I18" s="38"/>
      <c r="J18" s="30"/>
      <c r="K18" s="36"/>
      <c r="L18" s="38"/>
      <c r="M18" s="44"/>
      <c r="N18" s="42"/>
      <c r="O18" s="44"/>
      <c r="P18" s="44"/>
      <c r="Q18" s="48"/>
    </row>
    <row r="19" ht="22.5" customHeight="1">
      <c r="B19" s="26"/>
      <c r="C19" s="28"/>
      <c r="D19" s="30"/>
      <c r="E19" s="28"/>
      <c r="F19" s="28"/>
      <c r="G19" s="33"/>
      <c r="H19" s="33"/>
      <c r="I19" s="38"/>
      <c r="J19" s="30"/>
      <c r="K19" s="36"/>
      <c r="L19" s="38"/>
      <c r="M19" s="44"/>
      <c r="N19" s="42"/>
      <c r="O19" s="44"/>
      <c r="P19" s="44"/>
      <c r="Q19" s="48"/>
    </row>
    <row r="20" ht="22.5" customHeight="1">
      <c r="B20" s="26"/>
      <c r="C20" s="28"/>
      <c r="D20" s="30"/>
      <c r="E20" s="28"/>
      <c r="F20" s="28"/>
      <c r="G20" s="33"/>
      <c r="H20" s="33"/>
      <c r="I20" s="38"/>
      <c r="J20" s="30"/>
      <c r="K20" s="36"/>
      <c r="L20" s="38"/>
      <c r="M20" s="44"/>
      <c r="N20" s="42"/>
      <c r="O20" s="44"/>
      <c r="P20" s="44"/>
      <c r="Q20" s="48"/>
    </row>
    <row r="21" ht="22.5" customHeight="1">
      <c r="B21" s="26"/>
      <c r="C21" s="28"/>
      <c r="D21" s="30"/>
      <c r="E21" s="28"/>
      <c r="F21" s="28"/>
      <c r="G21" s="33"/>
      <c r="H21" s="33"/>
      <c r="I21" s="38"/>
      <c r="J21" s="30"/>
      <c r="K21" s="36"/>
      <c r="L21" s="38"/>
      <c r="M21" s="44"/>
      <c r="N21" s="42"/>
      <c r="O21" s="44"/>
      <c r="P21" s="44"/>
      <c r="Q21" s="48"/>
    </row>
    <row r="22" ht="22.5" customHeight="1">
      <c r="B22" s="26"/>
      <c r="C22" s="28"/>
      <c r="D22" s="30"/>
      <c r="E22" s="28"/>
      <c r="F22" s="28"/>
      <c r="G22" s="33"/>
      <c r="H22" s="33"/>
      <c r="I22" s="38"/>
      <c r="J22" s="30"/>
      <c r="K22" s="36"/>
      <c r="L22" s="38"/>
      <c r="M22" s="44"/>
      <c r="N22" s="42"/>
      <c r="O22" s="44"/>
      <c r="P22" s="44"/>
      <c r="Q22" s="38"/>
    </row>
    <row r="23" ht="22.5" customHeight="1">
      <c r="B23" s="26"/>
      <c r="C23" s="28"/>
      <c r="D23" s="30"/>
      <c r="E23" s="28"/>
      <c r="F23" s="28"/>
      <c r="G23" s="33"/>
      <c r="H23" s="33"/>
      <c r="I23" s="38"/>
      <c r="J23" s="30"/>
      <c r="K23" s="36"/>
      <c r="L23" s="38"/>
      <c r="M23" s="44"/>
      <c r="N23" s="42"/>
      <c r="O23" s="44"/>
      <c r="P23" s="44"/>
      <c r="Q23" s="48"/>
    </row>
    <row r="24" ht="22.5" customHeight="1">
      <c r="B24" s="26"/>
      <c r="C24" s="28"/>
      <c r="D24" s="30"/>
      <c r="E24" s="28"/>
      <c r="F24" s="28"/>
      <c r="G24" s="33"/>
      <c r="H24" s="33"/>
      <c r="I24" s="38"/>
      <c r="J24" s="30"/>
      <c r="K24" s="36"/>
      <c r="L24" s="38"/>
      <c r="M24" s="44"/>
      <c r="N24" s="42"/>
      <c r="O24" s="44"/>
      <c r="P24" s="44"/>
      <c r="Q24" s="48"/>
    </row>
    <row r="25" ht="22.5" customHeight="1">
      <c r="B25" s="26"/>
      <c r="C25" s="28"/>
      <c r="D25" s="30"/>
      <c r="E25" s="28"/>
      <c r="F25" s="28"/>
      <c r="G25" s="33"/>
      <c r="H25" s="33"/>
      <c r="I25" s="38"/>
      <c r="J25" s="30"/>
      <c r="K25" s="36"/>
      <c r="L25" s="38"/>
      <c r="M25" s="44"/>
      <c r="N25" s="42"/>
      <c r="O25" s="44"/>
      <c r="P25" s="44"/>
      <c r="Q25" s="48"/>
    </row>
    <row r="26" ht="22.5" customHeight="1">
      <c r="B26" s="26"/>
      <c r="C26" s="28"/>
      <c r="D26" s="30"/>
      <c r="E26" s="28"/>
      <c r="F26" s="28"/>
      <c r="G26" s="33"/>
      <c r="H26" s="33"/>
      <c r="I26" s="38"/>
      <c r="J26" s="30"/>
      <c r="K26" s="36"/>
      <c r="L26" s="38"/>
      <c r="M26" s="44"/>
      <c r="N26" s="42"/>
      <c r="O26" s="44"/>
      <c r="P26" s="44"/>
      <c r="Q26" s="48"/>
    </row>
    <row r="27" ht="22.5" customHeight="1">
      <c r="B27" s="26"/>
      <c r="C27" s="28"/>
      <c r="D27" s="30"/>
      <c r="E27" s="28"/>
      <c r="F27" s="28"/>
      <c r="G27" s="33"/>
      <c r="H27" s="33"/>
      <c r="I27" s="38"/>
      <c r="J27" s="30"/>
      <c r="K27" s="36"/>
      <c r="L27" s="38"/>
      <c r="M27" s="44"/>
      <c r="N27" s="42"/>
      <c r="O27" s="44"/>
      <c r="P27" s="44"/>
      <c r="Q27" s="38"/>
    </row>
    <row r="28" ht="22.5" customHeight="1">
      <c r="B28" s="26"/>
      <c r="C28" s="28"/>
      <c r="D28" s="30"/>
      <c r="E28" s="28"/>
      <c r="F28" s="28"/>
      <c r="G28" s="33"/>
      <c r="H28" s="33"/>
      <c r="I28" s="38"/>
      <c r="J28" s="30"/>
      <c r="K28" s="36"/>
      <c r="L28" s="38"/>
      <c r="M28" s="44"/>
      <c r="N28" s="42"/>
      <c r="O28" s="44"/>
      <c r="P28" s="44"/>
      <c r="Q28" s="48"/>
    </row>
    <row r="29" ht="22.5" customHeight="1">
      <c r="B29" s="26"/>
      <c r="C29" s="28"/>
      <c r="D29" s="30"/>
      <c r="E29" s="28"/>
      <c r="F29" s="28"/>
      <c r="G29" s="33"/>
      <c r="H29" s="33"/>
      <c r="I29" s="38"/>
      <c r="J29" s="30"/>
      <c r="K29" s="36"/>
      <c r="L29" s="38"/>
      <c r="M29" s="44"/>
      <c r="N29" s="42"/>
      <c r="O29" s="44"/>
      <c r="P29" s="44"/>
      <c r="Q29" s="48"/>
    </row>
    <row r="30" ht="22.5" customHeight="1">
      <c r="B30" s="26"/>
      <c r="C30" s="28"/>
      <c r="D30" s="30"/>
      <c r="E30" s="28"/>
      <c r="F30" s="28"/>
      <c r="G30" s="33"/>
      <c r="H30" s="33"/>
      <c r="I30" s="38"/>
      <c r="J30" s="30"/>
      <c r="K30" s="36"/>
      <c r="L30" s="38"/>
      <c r="M30" s="44"/>
      <c r="N30" s="42"/>
      <c r="O30" s="44"/>
      <c r="P30" s="44"/>
      <c r="Q30" s="48"/>
    </row>
    <row r="31" ht="22.5" customHeight="1">
      <c r="B31" s="26"/>
      <c r="C31" s="28"/>
      <c r="D31" s="30"/>
      <c r="E31" s="28"/>
      <c r="F31" s="137"/>
      <c r="G31" s="33"/>
      <c r="H31" s="33"/>
      <c r="I31" s="38"/>
      <c r="J31" s="30"/>
      <c r="K31" s="36"/>
      <c r="L31" s="38"/>
      <c r="M31" s="44"/>
      <c r="N31" s="42"/>
      <c r="O31" s="44"/>
      <c r="P31" s="44"/>
      <c r="Q31" s="38"/>
    </row>
    <row r="32" ht="22.5" customHeight="1">
      <c r="B32" s="26"/>
      <c r="C32" s="28"/>
      <c r="D32" s="30"/>
      <c r="E32" s="28"/>
      <c r="F32" s="28"/>
      <c r="G32" s="33"/>
      <c r="H32" s="33"/>
      <c r="I32" s="38"/>
      <c r="J32" s="30"/>
      <c r="K32" s="36"/>
      <c r="L32" s="38"/>
      <c r="M32" s="44"/>
      <c r="N32" s="42"/>
      <c r="O32" s="44"/>
      <c r="P32" s="44"/>
      <c r="Q32" s="48"/>
    </row>
    <row r="33" ht="22.5" customHeight="1">
      <c r="B33" s="26"/>
      <c r="C33" s="28"/>
      <c r="D33" s="30"/>
      <c r="E33" s="28"/>
      <c r="F33" s="28"/>
      <c r="G33" s="33"/>
      <c r="H33" s="33"/>
      <c r="I33" s="38"/>
      <c r="J33" s="30"/>
      <c r="K33" s="36"/>
      <c r="L33" s="38"/>
      <c r="M33" s="44"/>
      <c r="N33" s="42"/>
      <c r="O33" s="44"/>
      <c r="P33" s="44"/>
      <c r="Q33" s="48"/>
    </row>
    <row r="34" ht="22.5" customHeight="1">
      <c r="B34" s="26"/>
      <c r="C34" s="28"/>
      <c r="D34" s="30"/>
      <c r="E34" s="28"/>
      <c r="F34" s="28"/>
      <c r="G34" s="33"/>
      <c r="H34" s="33"/>
      <c r="I34" s="38"/>
      <c r="J34" s="30"/>
      <c r="K34" s="36"/>
      <c r="L34" s="38"/>
      <c r="M34" s="44"/>
      <c r="N34" s="42"/>
      <c r="O34" s="44"/>
      <c r="P34" s="44"/>
      <c r="Q34" s="48"/>
    </row>
    <row r="35" ht="22.5" customHeight="1">
      <c r="B35" s="26"/>
      <c r="C35" s="28"/>
      <c r="D35" s="51"/>
      <c r="E35" s="28"/>
      <c r="F35" s="28"/>
      <c r="G35" s="33"/>
      <c r="H35" s="33"/>
      <c r="I35" s="38"/>
      <c r="J35" s="51"/>
      <c r="K35" s="36"/>
      <c r="L35" s="38"/>
      <c r="M35" s="44"/>
      <c r="N35" s="42"/>
      <c r="O35" s="44"/>
      <c r="P35" s="44"/>
      <c r="Q35" s="48"/>
    </row>
    <row r="36" ht="22.5" customHeight="1">
      <c r="B36" s="26"/>
      <c r="C36" s="28"/>
      <c r="D36" s="51"/>
      <c r="E36" s="28"/>
      <c r="F36" s="28"/>
      <c r="G36" s="33"/>
      <c r="H36" s="33"/>
      <c r="I36" s="38"/>
      <c r="J36" s="51"/>
      <c r="K36" s="36"/>
      <c r="L36" s="38"/>
      <c r="M36" s="44"/>
      <c r="N36" s="42"/>
      <c r="O36" s="44"/>
      <c r="P36" s="44"/>
      <c r="Q36" s="48"/>
    </row>
    <row r="37" ht="22.5" customHeight="1">
      <c r="B37" s="26"/>
      <c r="C37" s="28"/>
      <c r="D37" s="51"/>
      <c r="E37" s="28"/>
      <c r="F37" s="28"/>
      <c r="G37" s="33"/>
      <c r="H37" s="33"/>
      <c r="I37" s="38"/>
      <c r="J37" s="51"/>
      <c r="K37" s="36"/>
      <c r="L37" s="38"/>
      <c r="M37" s="44"/>
      <c r="N37" s="42"/>
      <c r="O37" s="44"/>
      <c r="P37" s="44"/>
      <c r="Q37" s="48"/>
    </row>
    <row r="38" ht="22.5" customHeight="1">
      <c r="B38" s="26"/>
      <c r="C38" s="28"/>
      <c r="D38" s="51"/>
      <c r="E38" s="28"/>
      <c r="F38" s="28"/>
      <c r="G38" s="33"/>
      <c r="H38" s="33"/>
      <c r="I38" s="38"/>
      <c r="J38" s="51"/>
      <c r="K38" s="36"/>
      <c r="L38" s="38"/>
      <c r="M38" s="44"/>
      <c r="N38" s="42"/>
      <c r="O38" s="44"/>
      <c r="P38" s="44"/>
      <c r="Q38" s="48"/>
    </row>
    <row r="39" ht="22.5" customHeight="1">
      <c r="B39" s="42"/>
      <c r="C39" s="28"/>
      <c r="D39" s="51"/>
      <c r="E39" s="28"/>
      <c r="F39" s="28"/>
      <c r="G39" s="33"/>
      <c r="H39" s="33"/>
      <c r="I39" s="38"/>
      <c r="J39" s="51"/>
      <c r="K39" s="36"/>
      <c r="L39" s="38"/>
      <c r="M39" s="44"/>
      <c r="N39" s="42"/>
      <c r="O39" s="44"/>
      <c r="P39" s="44"/>
      <c r="Q39" s="48"/>
    </row>
    <row r="40" ht="22.5" customHeight="1">
      <c r="B40" s="42"/>
      <c r="C40" s="28"/>
      <c r="D40" s="30"/>
      <c r="E40" s="28"/>
      <c r="F40" s="28"/>
      <c r="G40" s="33"/>
      <c r="H40" s="33"/>
      <c r="I40" s="38"/>
      <c r="J40" s="30"/>
      <c r="K40" s="36"/>
      <c r="L40" s="38"/>
      <c r="M40" s="44"/>
      <c r="N40" s="42"/>
      <c r="O40" s="44"/>
      <c r="P40" s="44"/>
      <c r="Q40" s="48"/>
    </row>
    <row r="41" ht="22.5" customHeight="1">
      <c r="B41" s="42"/>
      <c r="C41" s="28"/>
      <c r="D41" s="30"/>
      <c r="E41" s="28"/>
      <c r="F41" s="28"/>
      <c r="G41" s="33"/>
      <c r="H41" s="33"/>
      <c r="I41" s="38"/>
      <c r="J41" s="30"/>
      <c r="K41" s="36"/>
      <c r="L41" s="38"/>
      <c r="M41" s="44"/>
      <c r="N41" s="42"/>
      <c r="O41" s="44"/>
      <c r="P41" s="44"/>
      <c r="Q41" s="48"/>
    </row>
    <row r="42" ht="22.5" customHeight="1">
      <c r="B42" s="42"/>
      <c r="C42" s="28"/>
      <c r="D42" s="30"/>
      <c r="E42" s="28"/>
      <c r="F42" s="28"/>
      <c r="G42" s="33"/>
      <c r="H42" s="33"/>
      <c r="I42" s="38"/>
      <c r="J42" s="30"/>
      <c r="K42" s="36"/>
      <c r="L42" s="38"/>
      <c r="M42" s="44"/>
      <c r="N42" s="42"/>
      <c r="O42" s="44"/>
      <c r="P42" s="44"/>
      <c r="Q42" s="48"/>
    </row>
    <row r="43" ht="22.5" customHeight="1">
      <c r="B43" s="42"/>
      <c r="C43" s="28"/>
      <c r="D43" s="30"/>
      <c r="E43" s="28"/>
      <c r="F43" s="28"/>
      <c r="G43" s="33"/>
      <c r="H43" s="33"/>
      <c r="I43" s="38"/>
      <c r="J43" s="30"/>
      <c r="K43" s="36"/>
      <c r="L43" s="38"/>
      <c r="M43" s="44"/>
      <c r="N43" s="42"/>
      <c r="O43" s="44"/>
      <c r="P43" s="44"/>
      <c r="Q43" s="48"/>
    </row>
    <row r="44" ht="22.5" customHeight="1">
      <c r="B44" s="26"/>
      <c r="C44" s="28"/>
      <c r="D44" s="30"/>
      <c r="E44" s="28"/>
      <c r="F44" s="28"/>
      <c r="G44" s="33"/>
      <c r="H44" s="33"/>
      <c r="I44" s="38"/>
      <c r="J44" s="30"/>
      <c r="K44" s="36"/>
      <c r="L44" s="38"/>
      <c r="M44" s="44"/>
      <c r="N44" s="42"/>
      <c r="O44" s="44"/>
      <c r="P44" s="44"/>
      <c r="Q44" s="48"/>
    </row>
    <row r="45" ht="22.5" customHeight="1">
      <c r="B45" s="26"/>
      <c r="C45" s="28"/>
      <c r="D45" s="30"/>
      <c r="E45" s="28"/>
      <c r="F45" s="28"/>
      <c r="G45" s="33"/>
      <c r="H45" s="33"/>
      <c r="I45" s="38"/>
      <c r="J45" s="30"/>
      <c r="K45" s="36"/>
      <c r="L45" s="38"/>
      <c r="M45" s="44"/>
      <c r="N45" s="42"/>
      <c r="O45" s="44"/>
      <c r="P45" s="44"/>
      <c r="Q45" s="48"/>
    </row>
    <row r="46" ht="22.5" customHeight="1">
      <c r="B46" s="42"/>
      <c r="C46" s="60"/>
      <c r="D46" s="51"/>
      <c r="E46" s="60"/>
      <c r="F46" s="60"/>
      <c r="G46" s="114"/>
      <c r="H46" s="114"/>
      <c r="I46" s="48"/>
      <c r="J46" s="44"/>
      <c r="K46" s="115"/>
      <c r="L46" s="48"/>
      <c r="M46" s="44"/>
      <c r="N46" s="42"/>
      <c r="O46" s="44"/>
      <c r="P46" s="44"/>
      <c r="Q46" s="48"/>
    </row>
    <row r="47" ht="22.5" customHeight="1">
      <c r="B47" s="42"/>
      <c r="C47" s="60"/>
      <c r="D47" s="51"/>
      <c r="E47" s="60"/>
      <c r="F47" s="60"/>
      <c r="G47" s="114"/>
      <c r="H47" s="114"/>
      <c r="I47" s="48"/>
      <c r="J47" s="44"/>
      <c r="K47" s="115"/>
      <c r="L47" s="48"/>
      <c r="M47" s="44"/>
      <c r="N47" s="42"/>
      <c r="O47" s="44"/>
      <c r="P47" s="44"/>
      <c r="Q47" s="48"/>
    </row>
    <row r="48" ht="22.5" customHeight="1">
      <c r="B48" s="42"/>
      <c r="C48" s="60"/>
      <c r="D48" s="51"/>
      <c r="E48" s="60"/>
      <c r="F48" s="60"/>
      <c r="G48" s="114"/>
      <c r="H48" s="114"/>
      <c r="I48" s="48"/>
      <c r="J48" s="44"/>
      <c r="K48" s="115"/>
      <c r="L48" s="48"/>
      <c r="M48" s="44"/>
      <c r="N48" s="42"/>
      <c r="O48" s="44"/>
      <c r="P48" s="44"/>
      <c r="Q48" s="48"/>
    </row>
    <row r="49" ht="22.5" customHeight="1">
      <c r="B49" s="42"/>
      <c r="C49" s="60"/>
      <c r="D49" s="51"/>
      <c r="E49" s="60"/>
      <c r="F49" s="60"/>
      <c r="G49" s="114"/>
      <c r="H49" s="114"/>
      <c r="I49" s="48"/>
      <c r="J49" s="44"/>
      <c r="K49" s="115"/>
      <c r="L49" s="48"/>
      <c r="M49" s="44"/>
      <c r="N49" s="42"/>
      <c r="O49" s="44"/>
      <c r="P49" s="44"/>
      <c r="Q49" s="48"/>
    </row>
    <row r="50" ht="22.5" customHeight="1">
      <c r="B50" s="42"/>
      <c r="C50" s="60"/>
      <c r="D50" s="51"/>
      <c r="E50" s="60"/>
      <c r="F50" s="60"/>
      <c r="G50" s="114"/>
      <c r="H50" s="114"/>
      <c r="I50" s="48"/>
      <c r="J50" s="44"/>
      <c r="K50" s="115"/>
      <c r="L50" s="48"/>
      <c r="M50" s="44"/>
      <c r="N50" s="42"/>
      <c r="O50" s="44"/>
      <c r="P50" s="44"/>
      <c r="Q50" s="48"/>
    </row>
    <row r="51" ht="22.5" customHeight="1">
      <c r="B51" s="42"/>
      <c r="C51" s="60"/>
      <c r="D51" s="51"/>
      <c r="E51" s="60"/>
      <c r="F51" s="60"/>
      <c r="G51" s="114"/>
      <c r="H51" s="114"/>
      <c r="I51" s="48"/>
      <c r="J51" s="44"/>
      <c r="K51" s="115"/>
      <c r="L51" s="48"/>
      <c r="M51" s="44"/>
      <c r="N51" s="42"/>
      <c r="O51" s="44"/>
      <c r="P51" s="44"/>
      <c r="Q51" s="48"/>
    </row>
    <row r="52" ht="22.5" customHeight="1">
      <c r="B52" s="42"/>
      <c r="C52" s="60"/>
      <c r="D52" s="51"/>
      <c r="E52" s="60"/>
      <c r="F52" s="60"/>
      <c r="G52" s="114"/>
      <c r="H52" s="114"/>
      <c r="I52" s="48"/>
      <c r="J52" s="44"/>
      <c r="K52" s="115"/>
      <c r="L52" s="48"/>
      <c r="M52" s="44"/>
      <c r="N52" s="42"/>
      <c r="O52" s="44"/>
      <c r="P52" s="44"/>
      <c r="Q52" s="48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N38 N40 N46:N47 N49 N51:N52">
      <formula1>"Si,No"</formula1>
    </dataValidation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I52 L10:L52 Q10:Q5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SUMIFS(OPI_11[MAF NETO],OPI_11[ESTADO],"Desembolsado")</f>
        <v>219300</v>
      </c>
      <c r="G4" s="15">
        <f>F4-E4</f>
        <v>-780700</v>
      </c>
      <c r="H4" s="16">
        <f>SUMIFS(OPI_11[MAF NETO],OPI_11[ESTADO],H$3)</f>
        <v>303217</v>
      </c>
      <c r="I4" s="16">
        <f>SUMIFS(OPI_11[MAF NETO],OPI_11[ESTADO],I$3)</f>
        <v>103510</v>
      </c>
      <c r="J4" s="16">
        <f>SUMIFS(OPI_11[MAF NETO],OPI_11[ESTADO],J$3)</f>
        <v>0</v>
      </c>
      <c r="K4" s="16">
        <f>SUMIFS(OPI_11[MAF NETO],OPI_11[ESTADO],K$3)</f>
        <v>289500</v>
      </c>
      <c r="L4" s="16">
        <f>SUMIFS(OPI_11[MAF NETO],OPI_11[ESTADO],L$3)</f>
        <v>0</v>
      </c>
      <c r="M4" s="16">
        <f>SUMIFS(OPI_11[MAF NETO],OPI_11[ESTADO],M$3)</f>
        <v>248250</v>
      </c>
      <c r="N4" s="16">
        <f>SUMIFS(OPI_11[MAF NETO],OPI_11[ESTADO],N$3)</f>
        <v>83100</v>
      </c>
    </row>
    <row r="5" ht="26.25" customHeight="1">
      <c r="D5" s="17" t="s">
        <v>31</v>
      </c>
      <c r="E5" s="18" t="s">
        <v>32</v>
      </c>
      <c r="F5" s="19">
        <f>COUNTIFS(OPI_11[ESTADO],"Desembolsado")</f>
        <v>3</v>
      </c>
      <c r="G5" s="20">
        <f>IFERROR(F4/E4,"")</f>
        <v>0.2193</v>
      </c>
      <c r="H5" s="19">
        <f>COUNTIFS(OPI_11[ESTADO],H$3)</f>
        <v>5</v>
      </c>
      <c r="I5" s="19">
        <f>COUNTIFS(OPI_11[ESTADO],I$3)</f>
        <v>2</v>
      </c>
      <c r="J5" s="19">
        <f>COUNTIFS(OPI_11[ESTADO],J$3)</f>
        <v>0</v>
      </c>
      <c r="K5" s="19">
        <f>COUNTIFS(OPI_11[ESTADO],K$3)</f>
        <v>6</v>
      </c>
      <c r="L5" s="19">
        <f>COUNTIFS(OPI_11[ESTADO],L$3)</f>
        <v>0</v>
      </c>
      <c r="M5" s="19">
        <f>COUNTIFS(OPI_11[ESTADO],M$3)</f>
        <v>3</v>
      </c>
      <c r="N5" s="19">
        <f>COUNTIFS(OPI_11[ESTADO],N$3)</f>
        <v>1</v>
      </c>
    </row>
    <row r="9" ht="22.5" customHeight="1">
      <c r="A9" s="21"/>
      <c r="B9" s="22" t="s">
        <v>35</v>
      </c>
      <c r="C9" s="23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5"/>
      <c r="C10" s="27">
        <v>46261.0</v>
      </c>
      <c r="D10" s="29" t="s">
        <v>52</v>
      </c>
      <c r="E10" s="31">
        <v>46262.0</v>
      </c>
      <c r="F10" s="32">
        <v>46268.0</v>
      </c>
      <c r="G10" s="34" t="s">
        <v>56</v>
      </c>
      <c r="H10" s="35" t="s">
        <v>61</v>
      </c>
      <c r="I10" s="37" t="s">
        <v>63</v>
      </c>
      <c r="J10" s="39" t="s">
        <v>19</v>
      </c>
      <c r="K10" s="40">
        <v>58950.0</v>
      </c>
      <c r="L10" s="41" t="s">
        <v>67</v>
      </c>
      <c r="M10" s="43"/>
      <c r="N10" s="45"/>
      <c r="O10" s="47"/>
      <c r="P10" s="47"/>
      <c r="Q10" s="45"/>
    </row>
    <row r="11" ht="22.5" customHeight="1">
      <c r="B11" s="25"/>
      <c r="C11" s="27">
        <v>46261.0</v>
      </c>
      <c r="D11" s="29" t="s">
        <v>52</v>
      </c>
      <c r="E11" s="31">
        <v>46267.0</v>
      </c>
      <c r="F11" s="32"/>
      <c r="G11" s="34" t="s">
        <v>75</v>
      </c>
      <c r="H11" s="35" t="s">
        <v>76</v>
      </c>
      <c r="I11" s="37" t="s">
        <v>63</v>
      </c>
      <c r="J11" s="39" t="s">
        <v>19</v>
      </c>
      <c r="K11" s="49">
        <v>92350.0</v>
      </c>
      <c r="L11" s="37" t="s">
        <v>80</v>
      </c>
      <c r="M11" s="43"/>
      <c r="N11" s="45"/>
      <c r="O11" s="47"/>
      <c r="P11" s="47"/>
      <c r="Q11" s="50"/>
    </row>
    <row r="12" ht="22.5" customHeight="1">
      <c r="B12" s="25"/>
      <c r="C12" s="27">
        <v>46266.0</v>
      </c>
      <c r="D12" s="52" t="s">
        <v>54</v>
      </c>
      <c r="E12" s="53"/>
      <c r="F12" s="54"/>
      <c r="G12" s="34" t="s">
        <v>87</v>
      </c>
      <c r="H12" s="35" t="s">
        <v>88</v>
      </c>
      <c r="I12" s="37" t="s">
        <v>63</v>
      </c>
      <c r="J12" s="55" t="s">
        <v>24</v>
      </c>
      <c r="K12" s="49">
        <v>73400.0</v>
      </c>
      <c r="L12" s="56" t="s">
        <v>80</v>
      </c>
      <c r="M12" s="47"/>
      <c r="N12" s="45"/>
      <c r="O12" s="47"/>
      <c r="P12" s="47"/>
      <c r="Q12" s="45"/>
    </row>
    <row r="13" ht="22.5" customHeight="1">
      <c r="B13" s="57"/>
      <c r="C13" s="58">
        <v>46266.0</v>
      </c>
      <c r="D13" s="52" t="s">
        <v>52</v>
      </c>
      <c r="E13" s="53"/>
      <c r="F13" s="53"/>
      <c r="G13" s="34" t="s">
        <v>101</v>
      </c>
      <c r="H13" s="35" t="s">
        <v>102</v>
      </c>
      <c r="I13" s="37" t="s">
        <v>63</v>
      </c>
      <c r="J13" s="55" t="s">
        <v>19</v>
      </c>
      <c r="K13" s="59">
        <v>68000.0</v>
      </c>
      <c r="L13" s="50" t="s">
        <v>104</v>
      </c>
      <c r="M13" s="47"/>
      <c r="N13" s="45"/>
      <c r="O13" s="47"/>
      <c r="P13" s="47"/>
      <c r="Q13" s="50"/>
    </row>
    <row r="14" ht="22.5" customHeight="1">
      <c r="B14" s="57"/>
      <c r="C14" s="58">
        <v>46260.0</v>
      </c>
      <c r="D14" s="52" t="s">
        <v>52</v>
      </c>
      <c r="E14" s="53"/>
      <c r="F14" s="62"/>
      <c r="G14" s="34" t="s">
        <v>113</v>
      </c>
      <c r="H14" s="63" t="s">
        <v>114</v>
      </c>
      <c r="I14" s="50" t="s">
        <v>65</v>
      </c>
      <c r="J14" s="55" t="s">
        <v>27</v>
      </c>
      <c r="K14" s="49">
        <v>83100.0</v>
      </c>
      <c r="L14" s="50" t="s">
        <v>115</v>
      </c>
      <c r="M14" s="64"/>
      <c r="N14" s="45"/>
      <c r="O14" s="47"/>
      <c r="P14" s="47"/>
      <c r="Q14" s="50" t="s">
        <v>116</v>
      </c>
    </row>
    <row r="15" ht="22.5" customHeight="1">
      <c r="B15" s="57"/>
      <c r="C15" s="58">
        <v>46266.0</v>
      </c>
      <c r="D15" s="52" t="s">
        <v>52</v>
      </c>
      <c r="E15" s="54"/>
      <c r="F15" s="54"/>
      <c r="G15" s="66" t="s">
        <v>121</v>
      </c>
      <c r="H15" s="67" t="s">
        <v>124</v>
      </c>
      <c r="I15" s="68" t="s">
        <v>65</v>
      </c>
      <c r="J15" s="55" t="s">
        <v>24</v>
      </c>
      <c r="K15" s="49">
        <v>40000.0</v>
      </c>
      <c r="L15" s="50" t="s">
        <v>67</v>
      </c>
      <c r="M15" s="64"/>
      <c r="N15" s="45"/>
      <c r="O15" s="47"/>
      <c r="P15" s="47"/>
      <c r="Q15" s="45"/>
    </row>
    <row r="16" ht="22.5" customHeight="1">
      <c r="B16" s="57"/>
      <c r="C16" s="58">
        <v>46268.0</v>
      </c>
      <c r="D16" s="52" t="s">
        <v>54</v>
      </c>
      <c r="E16" s="54"/>
      <c r="F16" s="69"/>
      <c r="G16" s="70" t="s">
        <v>132</v>
      </c>
      <c r="H16" s="71" t="s">
        <v>133</v>
      </c>
      <c r="I16" s="50" t="s">
        <v>63</v>
      </c>
      <c r="J16" s="55" t="s">
        <v>21</v>
      </c>
      <c r="K16" s="49">
        <v>81050.0</v>
      </c>
      <c r="L16" s="50" t="s">
        <v>67</v>
      </c>
      <c r="M16" s="47"/>
      <c r="N16" s="45"/>
      <c r="O16" s="47"/>
      <c r="P16" s="47"/>
      <c r="Q16" s="50"/>
    </row>
    <row r="17" ht="22.5" customHeight="1">
      <c r="B17" s="57"/>
      <c r="C17" s="57" t="s">
        <v>142</v>
      </c>
      <c r="D17" s="52" t="s">
        <v>54</v>
      </c>
      <c r="E17" s="54"/>
      <c r="F17" s="69"/>
      <c r="G17" s="70" t="s">
        <v>143</v>
      </c>
      <c r="H17" s="72" t="s">
        <v>144</v>
      </c>
      <c r="I17" s="50" t="s">
        <v>63</v>
      </c>
      <c r="J17" s="55" t="s">
        <v>24</v>
      </c>
      <c r="K17" s="49">
        <v>55000.0</v>
      </c>
      <c r="L17" s="50" t="s">
        <v>67</v>
      </c>
      <c r="M17" s="47"/>
      <c r="N17" s="45"/>
      <c r="O17" s="47"/>
      <c r="P17" s="47"/>
      <c r="Q17" s="50"/>
    </row>
    <row r="18" ht="22.5" customHeight="1">
      <c r="B18" s="25"/>
      <c r="C18" s="27">
        <v>46269.0</v>
      </c>
      <c r="D18" s="29" t="s">
        <v>54</v>
      </c>
      <c r="E18" s="31"/>
      <c r="F18" s="32"/>
      <c r="G18" s="70" t="s">
        <v>152</v>
      </c>
      <c r="H18" s="72" t="s">
        <v>154</v>
      </c>
      <c r="I18" s="37" t="s">
        <v>65</v>
      </c>
      <c r="J18" s="80" t="s">
        <v>26</v>
      </c>
      <c r="K18" s="49">
        <v>82200.0</v>
      </c>
      <c r="L18" s="37" t="s">
        <v>67</v>
      </c>
      <c r="M18" s="43"/>
      <c r="N18" s="45"/>
      <c r="O18" s="47"/>
      <c r="P18" s="47"/>
      <c r="Q18" s="45"/>
    </row>
    <row r="19" ht="22.5" customHeight="1">
      <c r="B19" s="57"/>
      <c r="C19" s="84">
        <v>46269.0</v>
      </c>
      <c r="D19" s="52" t="s">
        <v>54</v>
      </c>
      <c r="E19" s="53"/>
      <c r="F19" s="69"/>
      <c r="G19" s="70" t="s">
        <v>160</v>
      </c>
      <c r="H19" s="71" t="s">
        <v>161</v>
      </c>
      <c r="I19" s="50" t="s">
        <v>65</v>
      </c>
      <c r="J19" s="55" t="s">
        <v>24</v>
      </c>
      <c r="K19" s="49">
        <v>74100.0</v>
      </c>
      <c r="L19" s="50" t="s">
        <v>164</v>
      </c>
      <c r="M19" s="47"/>
      <c r="N19" s="45"/>
      <c r="O19" s="47"/>
      <c r="P19" s="47"/>
      <c r="Q19" s="45"/>
    </row>
    <row r="20" ht="22.5" customHeight="1">
      <c r="B20" s="57"/>
      <c r="C20" s="84">
        <v>46269.0</v>
      </c>
      <c r="D20" s="52" t="s">
        <v>54</v>
      </c>
      <c r="E20" s="53"/>
      <c r="F20" s="62"/>
      <c r="G20" s="70" t="s">
        <v>171</v>
      </c>
      <c r="H20" s="72" t="s">
        <v>172</v>
      </c>
      <c r="I20" s="50" t="s">
        <v>65</v>
      </c>
      <c r="J20" s="55" t="s">
        <v>24</v>
      </c>
      <c r="K20" s="49">
        <v>47000.0</v>
      </c>
      <c r="L20" s="50" t="s">
        <v>174</v>
      </c>
      <c r="M20" s="47"/>
      <c r="N20" s="45"/>
      <c r="O20" s="47"/>
      <c r="P20" s="47"/>
      <c r="Q20" s="50"/>
    </row>
    <row r="21" ht="22.5" customHeight="1">
      <c r="B21" s="57"/>
      <c r="C21" s="84">
        <v>46269.0</v>
      </c>
      <c r="D21" s="52" t="s">
        <v>54</v>
      </c>
      <c r="E21" s="53"/>
      <c r="F21" s="62"/>
      <c r="G21" s="70" t="s">
        <v>180</v>
      </c>
      <c r="H21" s="72" t="s">
        <v>181</v>
      </c>
      <c r="I21" s="50" t="s">
        <v>65</v>
      </c>
      <c r="J21" s="55" t="s">
        <v>24</v>
      </c>
      <c r="K21" s="49" t="s">
        <v>182</v>
      </c>
      <c r="L21" s="50" t="s">
        <v>183</v>
      </c>
      <c r="M21" s="47"/>
      <c r="N21" s="45"/>
      <c r="O21" s="47"/>
      <c r="P21" s="47"/>
      <c r="Q21" s="50"/>
    </row>
    <row r="22" ht="22.5" customHeight="1">
      <c r="B22" s="87"/>
      <c r="C22" s="58">
        <v>46269.0</v>
      </c>
      <c r="D22" s="52" t="s">
        <v>54</v>
      </c>
      <c r="E22" s="62"/>
      <c r="F22" s="62"/>
      <c r="G22" s="70" t="s">
        <v>188</v>
      </c>
      <c r="H22" s="71" t="s">
        <v>189</v>
      </c>
      <c r="I22" s="50" t="s">
        <v>65</v>
      </c>
      <c r="J22" s="55" t="s">
        <v>26</v>
      </c>
      <c r="K22" s="49">
        <v>82250.0</v>
      </c>
      <c r="L22" s="88" t="s">
        <v>67</v>
      </c>
      <c r="M22" s="47"/>
      <c r="N22" s="45"/>
      <c r="O22" s="47"/>
      <c r="P22" s="47"/>
      <c r="Q22" s="45"/>
    </row>
    <row r="23" ht="22.5" customHeight="1">
      <c r="B23" s="87"/>
      <c r="C23" s="58">
        <v>46269.0</v>
      </c>
      <c r="D23" s="52" t="s">
        <v>54</v>
      </c>
      <c r="E23" s="62"/>
      <c r="F23" s="62"/>
      <c r="G23" s="70" t="s">
        <v>193</v>
      </c>
      <c r="H23" s="71" t="s">
        <v>194</v>
      </c>
      <c r="I23" s="50" t="s">
        <v>65</v>
      </c>
      <c r="J23" s="55" t="s">
        <v>21</v>
      </c>
      <c r="K23" s="49">
        <v>10000.0</v>
      </c>
      <c r="L23" s="50" t="s">
        <v>104</v>
      </c>
      <c r="M23" s="47"/>
      <c r="N23" s="45"/>
      <c r="O23" s="47"/>
      <c r="P23" s="47"/>
      <c r="Q23" s="50"/>
    </row>
    <row r="24" ht="22.5" customHeight="1">
      <c r="B24" s="25"/>
      <c r="C24" s="28">
        <v>46269.0</v>
      </c>
      <c r="D24" s="52" t="s">
        <v>54</v>
      </c>
      <c r="E24" s="53"/>
      <c r="F24" s="54"/>
      <c r="G24" s="70" t="s">
        <v>199</v>
      </c>
      <c r="H24" s="71" t="s">
        <v>200</v>
      </c>
      <c r="I24" s="68" t="s">
        <v>65</v>
      </c>
      <c r="J24" s="55" t="s">
        <v>21</v>
      </c>
      <c r="K24" s="49">
        <v>57617.0</v>
      </c>
      <c r="L24" s="68" t="s">
        <v>183</v>
      </c>
      <c r="M24" s="47"/>
      <c r="N24" s="45"/>
      <c r="O24" s="47"/>
      <c r="P24" s="47"/>
      <c r="Q24" s="50"/>
    </row>
    <row r="25" ht="22.5" customHeight="1">
      <c r="B25" s="25"/>
      <c r="C25" s="58">
        <v>46269.0</v>
      </c>
      <c r="D25" s="52" t="s">
        <v>54</v>
      </c>
      <c r="E25" s="53"/>
      <c r="F25" s="53"/>
      <c r="G25" s="70" t="s">
        <v>203</v>
      </c>
      <c r="H25" s="72" t="s">
        <v>204</v>
      </c>
      <c r="I25" s="50" t="s">
        <v>63</v>
      </c>
      <c r="J25" s="55" t="s">
        <v>22</v>
      </c>
      <c r="K25" s="49">
        <v>103510.0</v>
      </c>
      <c r="L25" s="50" t="s">
        <v>80</v>
      </c>
      <c r="M25" s="47"/>
      <c r="N25" s="45"/>
      <c r="O25" s="47"/>
      <c r="P25" s="47"/>
      <c r="Q25" s="50"/>
    </row>
    <row r="26" ht="22.5" customHeight="1">
      <c r="B26" s="57"/>
      <c r="C26" s="58">
        <v>46269.0</v>
      </c>
      <c r="D26" s="52" t="s">
        <v>54</v>
      </c>
      <c r="E26" s="69"/>
      <c r="F26" s="68"/>
      <c r="G26" s="70" t="s">
        <v>208</v>
      </c>
      <c r="H26" s="71" t="s">
        <v>209</v>
      </c>
      <c r="I26" s="50" t="s">
        <v>63</v>
      </c>
      <c r="J26" s="55" t="s">
        <v>26</v>
      </c>
      <c r="K26" s="49">
        <v>83800.0</v>
      </c>
      <c r="L26" s="50" t="s">
        <v>67</v>
      </c>
      <c r="M26" s="47"/>
      <c r="N26" s="45"/>
      <c r="O26" s="47"/>
      <c r="P26" s="47"/>
      <c r="Q26" s="50"/>
    </row>
    <row r="27" ht="22.5" customHeight="1">
      <c r="B27" s="57"/>
      <c r="C27" s="58"/>
      <c r="D27" s="52" t="s">
        <v>54</v>
      </c>
      <c r="E27" s="69"/>
      <c r="F27" s="69"/>
      <c r="G27" s="89" t="s">
        <v>212</v>
      </c>
      <c r="H27" s="67" t="s">
        <v>214</v>
      </c>
      <c r="I27" s="68" t="s">
        <v>65</v>
      </c>
      <c r="J27" s="55" t="s">
        <v>21</v>
      </c>
      <c r="K27" s="49">
        <v>60000.0</v>
      </c>
      <c r="L27" s="50" t="s">
        <v>183</v>
      </c>
      <c r="M27" s="90"/>
      <c r="N27" s="45"/>
      <c r="O27" s="47"/>
      <c r="P27" s="47"/>
      <c r="Q27" s="50"/>
    </row>
    <row r="28" ht="22.5" customHeight="1">
      <c r="B28" s="57"/>
      <c r="C28" s="91"/>
      <c r="D28" s="52" t="s">
        <v>54</v>
      </c>
      <c r="E28" s="54"/>
      <c r="F28" s="69"/>
      <c r="G28" s="66" t="s">
        <v>216</v>
      </c>
      <c r="H28" s="92" t="s">
        <v>217</v>
      </c>
      <c r="I28" s="68" t="s">
        <v>63</v>
      </c>
      <c r="J28" s="55" t="s">
        <v>21</v>
      </c>
      <c r="K28" s="49">
        <v>94550.0</v>
      </c>
      <c r="L28" s="50" t="s">
        <v>104</v>
      </c>
      <c r="M28" s="93"/>
      <c r="N28" s="94"/>
      <c r="O28" s="95"/>
      <c r="P28" s="95"/>
      <c r="Q28" s="96"/>
    </row>
    <row r="29" ht="22.5" customHeight="1">
      <c r="B29" s="57"/>
      <c r="C29" s="97"/>
      <c r="D29" s="98"/>
      <c r="E29" s="99"/>
      <c r="F29" s="100"/>
      <c r="G29" s="101" t="s">
        <v>218</v>
      </c>
      <c r="H29" s="102" t="s">
        <v>219</v>
      </c>
      <c r="I29" s="96" t="s">
        <v>63</v>
      </c>
      <c r="J29" s="98" t="s">
        <v>22</v>
      </c>
      <c r="K29" s="103" t="s">
        <v>220</v>
      </c>
      <c r="L29" s="96" t="s">
        <v>80</v>
      </c>
      <c r="M29" s="104"/>
      <c r="N29" s="87"/>
      <c r="O29" s="104"/>
      <c r="P29" s="104"/>
      <c r="Q29" s="57"/>
    </row>
    <row r="30" ht="22.5" customHeight="1">
      <c r="B30" s="87"/>
      <c r="C30" s="97"/>
      <c r="D30" s="98"/>
      <c r="E30" s="58"/>
      <c r="F30" s="105"/>
      <c r="G30" s="106"/>
      <c r="H30" s="107"/>
      <c r="I30" s="57"/>
      <c r="J30" s="98"/>
      <c r="K30" s="108"/>
      <c r="L30" s="57"/>
      <c r="M30" s="104"/>
      <c r="N30" s="87"/>
      <c r="O30" s="104"/>
      <c r="P30" s="104"/>
      <c r="Q30" s="87"/>
    </row>
    <row r="31" ht="22.5" customHeight="1">
      <c r="B31" s="87"/>
      <c r="C31" s="58"/>
      <c r="D31" s="98"/>
      <c r="E31" s="105"/>
      <c r="F31" s="105"/>
      <c r="G31" s="109"/>
      <c r="H31" s="110"/>
      <c r="I31" s="111"/>
      <c r="J31" s="98"/>
      <c r="K31" s="108"/>
      <c r="L31" s="57"/>
      <c r="M31" s="104"/>
      <c r="N31" s="87"/>
      <c r="O31" s="104"/>
      <c r="P31" s="104"/>
      <c r="Q31" s="57"/>
    </row>
    <row r="32" ht="22.5" customHeight="1">
      <c r="B32" s="87"/>
      <c r="C32" s="58"/>
      <c r="D32" s="98"/>
      <c r="E32" s="105"/>
      <c r="F32" s="105"/>
      <c r="G32" s="112"/>
      <c r="H32" s="113"/>
      <c r="I32" s="111"/>
      <c r="J32" s="98"/>
      <c r="K32" s="108"/>
      <c r="L32" s="57"/>
      <c r="M32" s="104"/>
      <c r="N32" s="87"/>
      <c r="O32" s="104"/>
      <c r="P32" s="104"/>
      <c r="Q32" s="87"/>
    </row>
    <row r="33" ht="22.5" customHeight="1">
      <c r="B33" s="87"/>
      <c r="C33" s="58"/>
      <c r="D33" s="98"/>
      <c r="E33" s="105"/>
      <c r="F33" s="105"/>
      <c r="G33" s="106"/>
      <c r="H33" s="107"/>
      <c r="I33" s="57"/>
      <c r="J33" s="98"/>
      <c r="K33" s="108"/>
      <c r="L33" s="57"/>
      <c r="M33" s="104"/>
      <c r="N33" s="87"/>
      <c r="O33" s="104"/>
      <c r="P33" s="104"/>
      <c r="Q33" s="57"/>
    </row>
    <row r="34" ht="22.5" customHeight="1">
      <c r="B34" s="87"/>
      <c r="C34" s="58"/>
      <c r="D34" s="98"/>
      <c r="E34" s="105"/>
      <c r="F34" s="105"/>
      <c r="G34" s="106"/>
      <c r="H34" s="107"/>
      <c r="I34" s="57"/>
      <c r="J34" s="98"/>
      <c r="K34" s="108"/>
      <c r="L34" s="57"/>
      <c r="M34" s="104"/>
      <c r="N34" s="87"/>
      <c r="O34" s="104"/>
      <c r="P34" s="104"/>
      <c r="Q34" s="87"/>
    </row>
    <row r="35" ht="22.5" customHeight="1">
      <c r="B35" s="87"/>
      <c r="C35" s="58"/>
      <c r="D35" s="98"/>
      <c r="E35" s="105"/>
      <c r="F35" s="105"/>
      <c r="G35" s="106"/>
      <c r="H35" s="107"/>
      <c r="I35" s="57"/>
      <c r="J35" s="98"/>
      <c r="K35" s="116"/>
      <c r="L35" s="57"/>
      <c r="M35" s="104"/>
      <c r="N35" s="87"/>
      <c r="O35" s="104"/>
      <c r="P35" s="104"/>
      <c r="Q35" s="57"/>
    </row>
    <row r="36" ht="22.5" customHeight="1">
      <c r="B36" s="25"/>
      <c r="C36" s="27"/>
      <c r="D36" s="117"/>
      <c r="E36" s="27"/>
      <c r="F36" s="118"/>
      <c r="G36" s="109"/>
      <c r="H36" s="110"/>
      <c r="I36" s="119"/>
      <c r="J36" s="120"/>
      <c r="K36" s="121"/>
      <c r="L36" s="119"/>
      <c r="M36" s="122"/>
      <c r="N36" s="87"/>
      <c r="O36" s="104"/>
      <c r="P36" s="104"/>
      <c r="Q36" s="57"/>
    </row>
    <row r="37" ht="22.5" customHeight="1">
      <c r="B37" s="25"/>
      <c r="C37" s="28"/>
      <c r="D37" s="98"/>
      <c r="E37" s="58"/>
      <c r="F37" s="123"/>
      <c r="G37" s="109"/>
      <c r="H37" s="110"/>
      <c r="I37" s="111"/>
      <c r="J37" s="98"/>
      <c r="K37" s="124"/>
      <c r="L37" s="57"/>
      <c r="M37" s="104"/>
      <c r="N37" s="87"/>
      <c r="O37" s="104"/>
      <c r="P37" s="104"/>
      <c r="Q37" s="87"/>
    </row>
    <row r="38" ht="22.5" customHeight="1">
      <c r="B38" s="57"/>
      <c r="C38" s="58"/>
      <c r="D38" s="98"/>
      <c r="E38" s="58"/>
      <c r="F38" s="58"/>
      <c r="G38" s="125"/>
      <c r="H38" s="126"/>
      <c r="I38" s="111"/>
      <c r="J38" s="98"/>
      <c r="K38" s="127"/>
      <c r="L38" s="128"/>
      <c r="M38" s="104"/>
      <c r="N38" s="87"/>
      <c r="O38" s="104"/>
      <c r="P38" s="104"/>
      <c r="Q38" s="87"/>
    </row>
    <row r="39" ht="22.5" customHeight="1">
      <c r="B39" s="25"/>
      <c r="C39" s="27"/>
      <c r="D39" s="117"/>
      <c r="E39" s="27"/>
      <c r="F39" s="118"/>
      <c r="G39" s="129"/>
      <c r="H39" s="130"/>
      <c r="I39" s="131"/>
      <c r="J39" s="120"/>
      <c r="K39" s="132"/>
      <c r="L39" s="133"/>
      <c r="M39" s="134"/>
      <c r="N39" s="87"/>
      <c r="O39" s="104"/>
      <c r="P39" s="104"/>
      <c r="Q39" s="57"/>
    </row>
    <row r="40" ht="22.5" customHeight="1">
      <c r="B40" s="25"/>
      <c r="C40" s="28"/>
      <c r="D40" s="98"/>
      <c r="E40" s="58"/>
      <c r="F40" s="58"/>
      <c r="G40" s="135"/>
      <c r="H40" s="136"/>
      <c r="I40" s="57"/>
      <c r="J40" s="98"/>
      <c r="K40" s="124"/>
      <c r="L40" s="57"/>
      <c r="M40" s="98"/>
      <c r="N40" s="87"/>
      <c r="O40" s="104"/>
      <c r="P40" s="104"/>
      <c r="Q40" s="57"/>
    </row>
    <row r="41" ht="22.5" customHeight="1">
      <c r="B41" s="25"/>
      <c r="C41" s="28"/>
      <c r="D41" s="98"/>
      <c r="E41" s="58"/>
      <c r="F41" s="58"/>
      <c r="G41" s="135"/>
      <c r="H41" s="110"/>
      <c r="I41" s="111"/>
      <c r="J41" s="98"/>
      <c r="K41" s="124"/>
      <c r="L41" s="57"/>
      <c r="M41" s="104"/>
      <c r="N41" s="87"/>
      <c r="O41" s="104"/>
      <c r="P41" s="104"/>
      <c r="Q41" s="57"/>
    </row>
    <row r="42" ht="22.5" customHeight="1">
      <c r="B42" s="57"/>
      <c r="C42" s="58"/>
      <c r="D42" s="98"/>
      <c r="E42" s="123"/>
      <c r="F42" s="138"/>
      <c r="G42" s="135"/>
      <c r="H42" s="110"/>
      <c r="I42" s="57"/>
      <c r="J42" s="98"/>
      <c r="K42" s="124"/>
      <c r="L42" s="57"/>
      <c r="M42" s="104"/>
      <c r="N42" s="87"/>
      <c r="O42" s="104"/>
      <c r="P42" s="104"/>
      <c r="Q42" s="57"/>
    </row>
    <row r="43" ht="22.5" customHeight="1">
      <c r="B43" s="57"/>
      <c r="C43" s="58"/>
      <c r="D43" s="98"/>
      <c r="E43" s="138"/>
      <c r="F43" s="138"/>
      <c r="G43" s="139"/>
      <c r="H43" s="140"/>
      <c r="I43" s="141"/>
      <c r="J43" s="98"/>
      <c r="K43" s="127"/>
      <c r="L43" s="57"/>
      <c r="M43" s="104"/>
      <c r="N43" s="87"/>
      <c r="O43" s="104"/>
      <c r="P43" s="104"/>
      <c r="Q43" s="57"/>
    </row>
    <row r="44" ht="22.5" customHeight="1">
      <c r="B44" s="87"/>
      <c r="C44" s="58"/>
      <c r="D44" s="98"/>
      <c r="E44" s="105"/>
      <c r="F44" s="105"/>
      <c r="G44" s="106"/>
      <c r="H44" s="107"/>
      <c r="I44" s="57"/>
      <c r="J44" s="98"/>
      <c r="K44" s="108"/>
      <c r="L44" s="57"/>
      <c r="M44" s="104"/>
      <c r="N44" s="87"/>
      <c r="O44" s="104"/>
      <c r="P44" s="104"/>
      <c r="Q44" s="87"/>
    </row>
    <row r="45" ht="22.5" customHeight="1">
      <c r="B45" s="87"/>
      <c r="C45" s="58"/>
      <c r="D45" s="98"/>
      <c r="E45" s="105"/>
      <c r="F45" s="105"/>
      <c r="G45" s="106"/>
      <c r="H45" s="107"/>
      <c r="I45" s="57"/>
      <c r="J45" s="98"/>
      <c r="K45" s="108"/>
      <c r="L45" s="57"/>
      <c r="M45" s="104"/>
      <c r="N45" s="87"/>
      <c r="O45" s="104"/>
      <c r="P45" s="104"/>
      <c r="Q45" s="57"/>
    </row>
    <row r="46" ht="22.5" customHeight="1">
      <c r="B46" s="87"/>
      <c r="C46" s="58"/>
      <c r="D46" s="98"/>
      <c r="E46" s="105"/>
      <c r="F46" s="105"/>
      <c r="G46" s="106"/>
      <c r="H46" s="142"/>
      <c r="I46" s="57"/>
      <c r="J46" s="98"/>
      <c r="K46" s="108"/>
      <c r="L46" s="57"/>
      <c r="M46" s="104"/>
      <c r="N46" s="87"/>
      <c r="O46" s="104"/>
      <c r="P46" s="104"/>
      <c r="Q46" s="87"/>
    </row>
    <row r="47" ht="22.5" customHeight="1">
      <c r="B47" s="87"/>
      <c r="C47" s="58"/>
      <c r="D47" s="98"/>
      <c r="E47" s="105"/>
      <c r="F47" s="105"/>
      <c r="G47" s="106"/>
      <c r="H47" s="107"/>
      <c r="I47" s="57"/>
      <c r="J47" s="98"/>
      <c r="K47" s="116"/>
      <c r="L47" s="57"/>
      <c r="M47" s="104"/>
      <c r="N47" s="87"/>
      <c r="O47" s="104"/>
      <c r="P47" s="104"/>
      <c r="Q47" s="87"/>
    </row>
    <row r="48" ht="22.5" customHeight="1">
      <c r="B48" s="25"/>
      <c r="C48" s="27"/>
      <c r="D48" s="117"/>
      <c r="E48" s="143"/>
      <c r="F48" s="144"/>
      <c r="G48" s="145"/>
      <c r="H48" s="146"/>
      <c r="I48" s="131"/>
      <c r="J48" s="117"/>
      <c r="K48" s="147"/>
      <c r="L48" s="148"/>
      <c r="M48" s="134"/>
      <c r="N48" s="87"/>
      <c r="O48" s="104"/>
      <c r="P48" s="104"/>
      <c r="Q48" s="57"/>
    </row>
    <row r="49" ht="22.5" customHeight="1">
      <c r="B49" s="25"/>
      <c r="C49" s="27"/>
      <c r="D49" s="117"/>
      <c r="E49" s="27"/>
      <c r="F49" s="118"/>
      <c r="G49" s="145"/>
      <c r="H49" s="146"/>
      <c r="I49" s="131"/>
      <c r="J49" s="117"/>
      <c r="K49" s="132"/>
      <c r="L49" s="133"/>
      <c r="M49" s="134"/>
      <c r="N49" s="87"/>
      <c r="O49" s="104"/>
      <c r="P49" s="104"/>
      <c r="Q49" s="87"/>
    </row>
    <row r="50" ht="22.5" customHeight="1">
      <c r="B50" s="87"/>
      <c r="C50" s="105"/>
      <c r="D50" s="98"/>
      <c r="E50" s="105"/>
      <c r="F50" s="105"/>
      <c r="G50" s="106"/>
      <c r="H50" s="142"/>
      <c r="I50" s="57"/>
      <c r="J50" s="98"/>
      <c r="K50" s="116"/>
      <c r="L50" s="57"/>
      <c r="M50" s="104"/>
      <c r="N50" s="87"/>
      <c r="O50" s="104"/>
      <c r="P50" s="104"/>
      <c r="Q50" s="57"/>
    </row>
    <row r="51" ht="22.5" customHeight="1">
      <c r="B51" s="87"/>
      <c r="C51" s="105"/>
      <c r="D51" s="149"/>
      <c r="E51" s="105"/>
      <c r="F51" s="105"/>
      <c r="G51" s="150"/>
      <c r="H51" s="151"/>
      <c r="I51" s="57"/>
      <c r="J51" s="98"/>
      <c r="K51" s="116"/>
      <c r="L51" s="87"/>
      <c r="M51" s="104"/>
      <c r="N51" s="87"/>
      <c r="O51" s="104"/>
      <c r="P51" s="104"/>
      <c r="Q51" s="87"/>
    </row>
    <row r="52" ht="22.5" customHeight="1">
      <c r="B52" s="87"/>
      <c r="C52" s="105"/>
      <c r="D52" s="149"/>
      <c r="E52" s="105"/>
      <c r="F52" s="105"/>
      <c r="G52" s="152"/>
      <c r="H52" s="152"/>
      <c r="I52" s="57"/>
      <c r="J52" s="98"/>
      <c r="K52" s="153"/>
      <c r="L52" s="87"/>
      <c r="M52" s="104"/>
      <c r="N52" s="87"/>
      <c r="O52" s="104"/>
      <c r="P52" s="104"/>
      <c r="Q52" s="87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SUMIFS(OPI_14[MAF NETO],OPI_14[ESTADO],"Desembolsado")</f>
        <v>83800</v>
      </c>
      <c r="G4" s="15">
        <f>F4-E4</f>
        <v>-916200</v>
      </c>
      <c r="H4" s="16">
        <f>SUMIFS(OPI_14[MAF NETO],OPI_14[ESTADO],H$3)</f>
        <v>48850</v>
      </c>
      <c r="I4" s="16">
        <f>SUMIFS(OPI_14[MAF NETO],OPI_14[ESTADO],I$3)</f>
        <v>82000</v>
      </c>
      <c r="J4" s="16">
        <f>SUMIFS(OPI_14[MAF NETO],OPI_14[ESTADO],J$3)</f>
        <v>252050</v>
      </c>
      <c r="K4" s="16">
        <f>SUMIFS(OPI_14[MAF NETO],OPI_14[ESTADO],K$3)</f>
        <v>773320</v>
      </c>
      <c r="L4" s="16">
        <f>SUMIFS(OPI_14[MAF NETO],OPI_14[ESTADO],L$3)</f>
        <v>0</v>
      </c>
      <c r="M4" s="16">
        <f>SUMIFS(OPI_14[MAF NETO],OPI_14[ESTADO],M$3)</f>
        <v>70600</v>
      </c>
      <c r="N4" s="16">
        <f>SUMIFS(OPI_14[MAF NETO],OPI_14[ESTADO],N$3)</f>
        <v>85500</v>
      </c>
    </row>
    <row r="5" ht="26.25" customHeight="1">
      <c r="D5" s="17" t="s">
        <v>31</v>
      </c>
      <c r="E5" s="18" t="s">
        <v>32</v>
      </c>
      <c r="F5" s="19">
        <f>COUNTIFS(OPI_14[ESTADO],"Desembolsado")</f>
        <v>1</v>
      </c>
      <c r="G5" s="20">
        <f>IFERROR(F4/E4,"")</f>
        <v>0.0838</v>
      </c>
      <c r="H5" s="19">
        <f>COUNTIFS(OPI_14[ESTADO],H$3)</f>
        <v>2</v>
      </c>
      <c r="I5" s="19">
        <f>COUNTIFS(OPI_14[ESTADO],I$3)</f>
        <v>1</v>
      </c>
      <c r="J5" s="19">
        <f>COUNTIFS(OPI_14[ESTADO],J$3)</f>
        <v>3</v>
      </c>
      <c r="K5" s="19">
        <f>COUNTIFS(OPI_14[ESTADO],K$3)</f>
        <v>10</v>
      </c>
      <c r="L5" s="19">
        <f>COUNTIFS(OPI_14[ESTADO],L$3)</f>
        <v>0</v>
      </c>
      <c r="M5" s="19">
        <f>COUNTIFS(OPI_14[ESTADO],M$3)</f>
        <v>1</v>
      </c>
      <c r="N5" s="19">
        <f>COUNTIFS(OPI_14[ESTADO],N$3)</f>
        <v>1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17</v>
      </c>
      <c r="C10" s="28">
        <v>46260.0</v>
      </c>
      <c r="D10" s="30" t="s">
        <v>52</v>
      </c>
      <c r="E10" s="28"/>
      <c r="F10" s="28"/>
      <c r="G10" s="33" t="s">
        <v>55</v>
      </c>
      <c r="H10" s="33" t="s">
        <v>57</v>
      </c>
      <c r="I10" s="26" t="s">
        <v>59</v>
      </c>
      <c r="J10" s="30" t="s">
        <v>19</v>
      </c>
      <c r="K10" s="36">
        <v>83800.0</v>
      </c>
      <c r="L10" s="26" t="s">
        <v>64</v>
      </c>
      <c r="M10" s="30"/>
      <c r="N10" s="42"/>
      <c r="O10" s="30"/>
      <c r="P10" s="44"/>
      <c r="Q10" s="26" t="s">
        <v>69</v>
      </c>
    </row>
    <row r="11" ht="22.5" customHeight="1">
      <c r="B11" s="26" t="s">
        <v>17</v>
      </c>
      <c r="C11" s="28">
        <v>46260.0</v>
      </c>
      <c r="D11" s="30" t="s">
        <v>52</v>
      </c>
      <c r="E11" s="28"/>
      <c r="F11" s="28"/>
      <c r="G11" s="33" t="s">
        <v>72</v>
      </c>
      <c r="H11" s="33" t="s">
        <v>73</v>
      </c>
      <c r="I11" s="26" t="s">
        <v>59</v>
      </c>
      <c r="J11" s="30" t="s">
        <v>74</v>
      </c>
      <c r="K11" s="36">
        <v>72350.0</v>
      </c>
      <c r="L11" s="26" t="s">
        <v>64</v>
      </c>
      <c r="M11" s="30"/>
      <c r="N11" s="42"/>
      <c r="O11" s="30"/>
      <c r="P11" s="44"/>
      <c r="Q11" s="26" t="s">
        <v>77</v>
      </c>
    </row>
    <row r="12" ht="22.5" customHeight="1">
      <c r="B12" s="26" t="s">
        <v>17</v>
      </c>
      <c r="C12" s="28">
        <v>46267.0</v>
      </c>
      <c r="D12" s="30" t="s">
        <v>54</v>
      </c>
      <c r="E12" s="28"/>
      <c r="F12" s="28"/>
      <c r="G12" s="33" t="s">
        <v>82</v>
      </c>
      <c r="H12" s="33" t="s">
        <v>83</v>
      </c>
      <c r="I12" s="26" t="s">
        <v>84</v>
      </c>
      <c r="J12" s="30" t="s">
        <v>24</v>
      </c>
      <c r="K12" s="36">
        <v>66750.0</v>
      </c>
      <c r="L12" s="26" t="s">
        <v>64</v>
      </c>
      <c r="M12" s="30"/>
      <c r="N12" s="42"/>
      <c r="O12" s="30"/>
      <c r="P12" s="44"/>
      <c r="Q12" s="26" t="s">
        <v>86</v>
      </c>
    </row>
    <row r="13" ht="22.5" customHeight="1">
      <c r="B13" s="26" t="s">
        <v>17</v>
      </c>
      <c r="C13" s="28">
        <v>46267.0</v>
      </c>
      <c r="D13" s="30" t="s">
        <v>52</v>
      </c>
      <c r="E13" s="28"/>
      <c r="F13" s="28"/>
      <c r="G13" s="33" t="s">
        <v>89</v>
      </c>
      <c r="H13" s="33" t="s">
        <v>90</v>
      </c>
      <c r="I13" s="26" t="s">
        <v>91</v>
      </c>
      <c r="J13" s="30" t="s">
        <v>74</v>
      </c>
      <c r="K13" s="36">
        <v>110700.0</v>
      </c>
      <c r="L13" s="26" t="s">
        <v>64</v>
      </c>
      <c r="M13" s="30"/>
      <c r="N13" s="42"/>
      <c r="O13" s="30"/>
      <c r="P13" s="44"/>
      <c r="Q13" s="26" t="s">
        <v>95</v>
      </c>
    </row>
    <row r="14" ht="22.5" customHeight="1">
      <c r="B14" s="26" t="s">
        <v>17</v>
      </c>
      <c r="C14" s="28">
        <v>46268.0</v>
      </c>
      <c r="D14" s="30" t="s">
        <v>54</v>
      </c>
      <c r="E14" s="28"/>
      <c r="F14" s="28"/>
      <c r="G14" s="33" t="s">
        <v>97</v>
      </c>
      <c r="H14" s="33" t="s">
        <v>98</v>
      </c>
      <c r="I14" s="26" t="s">
        <v>100</v>
      </c>
      <c r="J14" s="30" t="s">
        <v>24</v>
      </c>
      <c r="K14" s="36">
        <v>47750.0</v>
      </c>
      <c r="L14" s="26" t="s">
        <v>64</v>
      </c>
      <c r="M14" s="30"/>
      <c r="N14" s="42"/>
      <c r="O14" s="44"/>
      <c r="P14" s="44"/>
      <c r="Q14" s="26" t="s">
        <v>103</v>
      </c>
    </row>
    <row r="15" ht="22.5" customHeight="1">
      <c r="B15" s="26" t="s">
        <v>17</v>
      </c>
      <c r="C15" s="28">
        <v>46267.0</v>
      </c>
      <c r="D15" s="30" t="s">
        <v>54</v>
      </c>
      <c r="E15" s="60"/>
      <c r="F15" s="60"/>
      <c r="G15" s="33" t="s">
        <v>106</v>
      </c>
      <c r="H15" s="33" t="s">
        <v>107</v>
      </c>
      <c r="I15" s="26" t="s">
        <v>100</v>
      </c>
      <c r="J15" s="30" t="s">
        <v>24</v>
      </c>
      <c r="K15" s="36">
        <v>54800.0</v>
      </c>
      <c r="L15" s="26" t="s">
        <v>64</v>
      </c>
      <c r="M15" s="30"/>
      <c r="N15" s="42"/>
      <c r="O15" s="44"/>
      <c r="P15" s="44"/>
      <c r="Q15" s="26" t="s">
        <v>112</v>
      </c>
    </row>
    <row r="16" ht="22.5" customHeight="1">
      <c r="B16" s="26" t="s">
        <v>17</v>
      </c>
      <c r="C16" s="28">
        <v>46267.0</v>
      </c>
      <c r="D16" s="30" t="s">
        <v>52</v>
      </c>
      <c r="E16" s="28">
        <v>46269.0</v>
      </c>
      <c r="F16" s="28"/>
      <c r="G16" s="33" t="s">
        <v>118</v>
      </c>
      <c r="H16" s="65" t="s">
        <v>119</v>
      </c>
      <c r="I16" s="26" t="s">
        <v>65</v>
      </c>
      <c r="J16" s="30" t="s">
        <v>26</v>
      </c>
      <c r="K16" s="36">
        <v>70600.0</v>
      </c>
      <c r="L16" s="26" t="s">
        <v>64</v>
      </c>
      <c r="M16" s="30"/>
      <c r="N16" s="42"/>
      <c r="O16" s="44"/>
      <c r="P16" s="44"/>
      <c r="Q16" s="26" t="s">
        <v>120</v>
      </c>
    </row>
    <row r="17" ht="22.5" customHeight="1">
      <c r="B17" s="26" t="s">
        <v>17</v>
      </c>
      <c r="C17" s="28">
        <v>46268.0</v>
      </c>
      <c r="D17" s="30" t="s">
        <v>52</v>
      </c>
      <c r="E17" s="28">
        <v>46269.0</v>
      </c>
      <c r="F17" s="60"/>
      <c r="G17" s="33" t="s">
        <v>128</v>
      </c>
      <c r="H17" s="65" t="s">
        <v>129</v>
      </c>
      <c r="I17" s="26" t="s">
        <v>65</v>
      </c>
      <c r="J17" s="30" t="s">
        <v>24</v>
      </c>
      <c r="K17" s="36">
        <v>85920.0</v>
      </c>
      <c r="L17" s="26" t="s">
        <v>64</v>
      </c>
      <c r="M17" s="30"/>
      <c r="N17" s="42"/>
      <c r="O17" s="44"/>
      <c r="P17" s="44"/>
      <c r="Q17" s="26" t="s">
        <v>131</v>
      </c>
    </row>
    <row r="18" ht="22.5" customHeight="1">
      <c r="B18" s="26" t="s">
        <v>17</v>
      </c>
      <c r="C18" s="28">
        <v>46269.0</v>
      </c>
      <c r="D18" s="30" t="s">
        <v>54</v>
      </c>
      <c r="E18" s="28">
        <v>46269.0</v>
      </c>
      <c r="F18" s="60"/>
      <c r="G18" s="33" t="s">
        <v>135</v>
      </c>
      <c r="H18" s="65" t="s">
        <v>137</v>
      </c>
      <c r="I18" s="26" t="s">
        <v>65</v>
      </c>
      <c r="J18" s="30" t="s">
        <v>74</v>
      </c>
      <c r="K18" s="36">
        <v>69000.0</v>
      </c>
      <c r="L18" s="26" t="s">
        <v>64</v>
      </c>
      <c r="M18" s="30"/>
      <c r="N18" s="42"/>
      <c r="O18" s="44"/>
      <c r="P18" s="44"/>
      <c r="Q18" s="26" t="s">
        <v>141</v>
      </c>
    </row>
    <row r="19" ht="22.5" customHeight="1">
      <c r="B19" s="26" t="s">
        <v>17</v>
      </c>
      <c r="C19" s="28">
        <v>46265.0</v>
      </c>
      <c r="D19" s="30" t="s">
        <v>54</v>
      </c>
      <c r="E19" s="60"/>
      <c r="F19" s="60"/>
      <c r="G19" s="33" t="s">
        <v>146</v>
      </c>
      <c r="H19" s="65" t="s">
        <v>148</v>
      </c>
      <c r="I19" s="26" t="s">
        <v>149</v>
      </c>
      <c r="J19" s="30" t="s">
        <v>27</v>
      </c>
      <c r="K19" s="36">
        <v>85500.0</v>
      </c>
      <c r="L19" s="26" t="s">
        <v>64</v>
      </c>
      <c r="M19" s="30"/>
      <c r="N19" s="42"/>
      <c r="O19" s="44"/>
      <c r="P19" s="44"/>
      <c r="Q19" s="26" t="s">
        <v>153</v>
      </c>
    </row>
    <row r="20" ht="22.5" customHeight="1">
      <c r="B20" s="26" t="s">
        <v>17</v>
      </c>
      <c r="C20" s="28">
        <v>46265.0</v>
      </c>
      <c r="D20" s="30" t="s">
        <v>52</v>
      </c>
      <c r="E20" s="60"/>
      <c r="F20" s="28"/>
      <c r="G20" s="33" t="s">
        <v>156</v>
      </c>
      <c r="H20" s="65" t="s">
        <v>157</v>
      </c>
      <c r="I20" s="26" t="s">
        <v>65</v>
      </c>
      <c r="J20" s="30" t="s">
        <v>24</v>
      </c>
      <c r="K20" s="36">
        <v>80400.0</v>
      </c>
      <c r="L20" s="26" t="s">
        <v>64</v>
      </c>
      <c r="M20" s="30"/>
      <c r="N20" s="42"/>
      <c r="O20" s="44"/>
      <c r="P20" s="44"/>
      <c r="Q20" s="26" t="s">
        <v>159</v>
      </c>
    </row>
    <row r="21" ht="22.5" customHeight="1">
      <c r="B21" s="26" t="s">
        <v>17</v>
      </c>
      <c r="C21" s="28">
        <v>46269.0</v>
      </c>
      <c r="D21" s="30" t="s">
        <v>54</v>
      </c>
      <c r="E21" s="60"/>
      <c r="F21" s="28"/>
      <c r="G21" s="33" t="s">
        <v>167</v>
      </c>
      <c r="H21" s="33" t="s">
        <v>168</v>
      </c>
      <c r="I21" s="26" t="s">
        <v>100</v>
      </c>
      <c r="J21" s="30" t="s">
        <v>24</v>
      </c>
      <c r="K21" s="36">
        <v>42000.0</v>
      </c>
      <c r="L21" s="26" t="s">
        <v>64</v>
      </c>
      <c r="M21" s="30"/>
      <c r="N21" s="42"/>
      <c r="O21" s="44"/>
      <c r="P21" s="44"/>
      <c r="Q21" s="26" t="s">
        <v>170</v>
      </c>
    </row>
    <row r="22" ht="22.5" customHeight="1">
      <c r="B22" s="26" t="s">
        <v>17</v>
      </c>
      <c r="C22" s="28">
        <v>46272.0</v>
      </c>
      <c r="D22" s="30" t="s">
        <v>54</v>
      </c>
      <c r="E22" s="60"/>
      <c r="F22" s="28"/>
      <c r="G22" s="33" t="s">
        <v>175</v>
      </c>
      <c r="H22" s="33" t="s">
        <v>176</v>
      </c>
      <c r="I22" s="26" t="s">
        <v>65</v>
      </c>
      <c r="J22" s="30" t="s">
        <v>24</v>
      </c>
      <c r="K22" s="36">
        <v>79000.0</v>
      </c>
      <c r="L22" s="26" t="s">
        <v>64</v>
      </c>
      <c r="M22" s="30"/>
      <c r="N22" s="42"/>
      <c r="O22" s="44"/>
      <c r="P22" s="44"/>
      <c r="Q22" s="26" t="s">
        <v>178</v>
      </c>
    </row>
    <row r="23" ht="22.5" customHeight="1">
      <c r="B23" s="26" t="s">
        <v>17</v>
      </c>
      <c r="C23" s="28">
        <v>46272.0</v>
      </c>
      <c r="D23" s="30" t="s">
        <v>54</v>
      </c>
      <c r="E23" s="60"/>
      <c r="F23" s="60"/>
      <c r="G23" s="33" t="s">
        <v>184</v>
      </c>
      <c r="H23" s="33" t="s">
        <v>185</v>
      </c>
      <c r="I23" s="26" t="s">
        <v>186</v>
      </c>
      <c r="J23" s="30" t="s">
        <v>24</v>
      </c>
      <c r="K23" s="36">
        <v>115600.0</v>
      </c>
      <c r="L23" s="26" t="s">
        <v>64</v>
      </c>
      <c r="M23" s="44"/>
      <c r="N23" s="42"/>
      <c r="O23" s="44"/>
      <c r="P23" s="44"/>
      <c r="Q23" s="26" t="s">
        <v>187</v>
      </c>
    </row>
    <row r="24" ht="22.5" customHeight="1">
      <c r="B24" s="26" t="s">
        <v>17</v>
      </c>
      <c r="C24" s="28"/>
      <c r="D24" s="30"/>
      <c r="E24" s="60"/>
      <c r="F24" s="60"/>
      <c r="G24" s="33" t="s">
        <v>190</v>
      </c>
      <c r="H24" s="33" t="s">
        <v>191</v>
      </c>
      <c r="I24" s="26" t="s">
        <v>149</v>
      </c>
      <c r="J24" s="30" t="s">
        <v>21</v>
      </c>
      <c r="K24" s="36">
        <v>16850.0</v>
      </c>
      <c r="L24" s="26" t="s">
        <v>64</v>
      </c>
      <c r="M24" s="44"/>
      <c r="N24" s="42"/>
      <c r="O24" s="44"/>
      <c r="P24" s="44"/>
      <c r="Q24" s="26" t="s">
        <v>192</v>
      </c>
    </row>
    <row r="25" ht="22.5" customHeight="1">
      <c r="B25" s="26" t="s">
        <v>17</v>
      </c>
      <c r="C25" s="28">
        <v>46272.0</v>
      </c>
      <c r="D25" s="30" t="s">
        <v>54</v>
      </c>
      <c r="E25" s="60"/>
      <c r="F25" s="28"/>
      <c r="G25" s="33" t="s">
        <v>195</v>
      </c>
      <c r="H25" s="65" t="s">
        <v>196</v>
      </c>
      <c r="I25" s="26" t="s">
        <v>197</v>
      </c>
      <c r="J25" s="30" t="s">
        <v>24</v>
      </c>
      <c r="K25" s="36">
        <v>163600.0</v>
      </c>
      <c r="L25" s="26"/>
      <c r="M25" s="44"/>
      <c r="N25" s="42"/>
      <c r="O25" s="44"/>
      <c r="P25" s="44"/>
      <c r="Q25" s="26" t="s">
        <v>198</v>
      </c>
    </row>
    <row r="26" ht="22.5" customHeight="1">
      <c r="B26" s="26" t="s">
        <v>17</v>
      </c>
      <c r="C26" s="28"/>
      <c r="D26" s="30"/>
      <c r="E26" s="60"/>
      <c r="F26" s="28"/>
      <c r="G26" s="33" t="s">
        <v>201</v>
      </c>
      <c r="H26" s="33" t="s">
        <v>202</v>
      </c>
      <c r="I26" s="26" t="s">
        <v>65</v>
      </c>
      <c r="J26" s="30" t="s">
        <v>21</v>
      </c>
      <c r="K26" s="36">
        <v>32000.0</v>
      </c>
      <c r="L26" s="26"/>
      <c r="M26" s="44"/>
      <c r="N26" s="42"/>
      <c r="O26" s="44"/>
      <c r="P26" s="44"/>
      <c r="Q26" s="26" t="s">
        <v>205</v>
      </c>
    </row>
    <row r="27" ht="22.5" customHeight="1">
      <c r="B27" s="26" t="s">
        <v>17</v>
      </c>
      <c r="C27" s="28">
        <v>46272.0</v>
      </c>
      <c r="D27" s="30" t="s">
        <v>54</v>
      </c>
      <c r="E27" s="60"/>
      <c r="F27" s="28"/>
      <c r="G27" s="33" t="s">
        <v>206</v>
      </c>
      <c r="H27" s="33" t="s">
        <v>207</v>
      </c>
      <c r="I27" s="26" t="s">
        <v>100</v>
      </c>
      <c r="J27" s="30" t="s">
        <v>24</v>
      </c>
      <c r="K27" s="36">
        <v>37500.0</v>
      </c>
      <c r="L27" s="26" t="s">
        <v>64</v>
      </c>
      <c r="M27" s="44"/>
      <c r="N27" s="42"/>
      <c r="O27" s="44"/>
      <c r="P27" s="44"/>
      <c r="Q27" s="26" t="s">
        <v>210</v>
      </c>
    </row>
    <row r="28" ht="22.5" customHeight="1">
      <c r="B28" s="26" t="s">
        <v>17</v>
      </c>
      <c r="C28" s="28">
        <v>46272.0</v>
      </c>
      <c r="D28" s="30" t="s">
        <v>54</v>
      </c>
      <c r="E28" s="28">
        <v>46272.0</v>
      </c>
      <c r="F28" s="60"/>
      <c r="G28" s="33" t="s">
        <v>211</v>
      </c>
      <c r="H28" s="33" t="s">
        <v>213</v>
      </c>
      <c r="I28" s="26" t="s">
        <v>149</v>
      </c>
      <c r="J28" s="30" t="s">
        <v>22</v>
      </c>
      <c r="K28" s="36">
        <v>82000.0</v>
      </c>
      <c r="L28" s="26"/>
      <c r="M28" s="44"/>
      <c r="N28" s="42"/>
      <c r="O28" s="44"/>
      <c r="P28" s="44"/>
      <c r="Q28" s="26" t="s">
        <v>215</v>
      </c>
    </row>
    <row r="29" ht="22.5" customHeight="1">
      <c r="B29" s="26"/>
      <c r="C29" s="28"/>
      <c r="D29" s="30"/>
      <c r="E29" s="60"/>
      <c r="F29" s="60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26"/>
      <c r="C30" s="28"/>
      <c r="D30" s="30"/>
      <c r="E30" s="60"/>
      <c r="F30" s="28"/>
      <c r="G30" s="33"/>
      <c r="H30" s="33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26"/>
      <c r="C31" s="28"/>
      <c r="D31" s="30"/>
      <c r="E31" s="60"/>
      <c r="F31" s="60"/>
      <c r="G31" s="33"/>
      <c r="H31" s="33"/>
      <c r="I31" s="26"/>
      <c r="J31" s="30"/>
      <c r="K31" s="36"/>
      <c r="L31" s="26"/>
      <c r="M31" s="44"/>
      <c r="N31" s="42"/>
      <c r="O31" s="44"/>
      <c r="P31" s="44"/>
      <c r="Q31" s="26"/>
    </row>
    <row r="32" ht="22.5" customHeight="1">
      <c r="B32" s="26"/>
      <c r="C32" s="28"/>
      <c r="D32" s="30"/>
      <c r="E32" s="60"/>
      <c r="F32" s="60"/>
      <c r="G32" s="33"/>
      <c r="H32" s="33"/>
      <c r="I32" s="26"/>
      <c r="J32" s="30"/>
      <c r="K32" s="36"/>
      <c r="L32" s="26"/>
      <c r="M32" s="44"/>
      <c r="N32" s="42"/>
      <c r="O32" s="44"/>
      <c r="P32" s="44"/>
      <c r="Q32" s="26"/>
    </row>
    <row r="33" ht="22.5" customHeight="1">
      <c r="B33" s="26"/>
      <c r="C33" s="28"/>
      <c r="D33" s="30"/>
      <c r="E33" s="60"/>
      <c r="F33" s="60"/>
      <c r="G33" s="33"/>
      <c r="H33" s="33"/>
      <c r="I33" s="26"/>
      <c r="J33" s="30"/>
      <c r="K33" s="36"/>
      <c r="L33" s="26"/>
      <c r="M33" s="44"/>
      <c r="N33" s="42"/>
      <c r="O33" s="44"/>
      <c r="P33" s="44"/>
      <c r="Q33" s="26"/>
    </row>
    <row r="34" ht="22.5" customHeight="1">
      <c r="B34" s="26"/>
      <c r="C34" s="28"/>
      <c r="D34" s="30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SUMIFS(OPI_5[MAF NETO],OPI_5[ESTADO],"Desembolsado")</f>
        <v>74700</v>
      </c>
      <c r="G4" s="15">
        <f>F4-E4</f>
        <v>-925300</v>
      </c>
      <c r="H4" s="16">
        <f>SUMIFS(OPI_5[MAF NETO],OPI_5[ESTADO],H$3)</f>
        <v>0</v>
      </c>
      <c r="I4" s="16">
        <f>SUMIFS(OPI_5[MAF NETO],OPI_5[ESTADO],I$3)</f>
        <v>941800</v>
      </c>
      <c r="J4" s="16">
        <f>SUMIFS(OPI_5[MAF NETO],OPI_5[ESTADO],J$3)</f>
        <v>0</v>
      </c>
      <c r="K4" s="16">
        <f>SUMIFS(OPI_5[MAF NETO],OPI_5[ESTADO],K$3)</f>
        <v>89600</v>
      </c>
      <c r="L4" s="16">
        <f>SUMIFS(OPI_5[MAF NETO],OPI_5[ESTADO],L$3)</f>
        <v>0</v>
      </c>
      <c r="M4" s="16">
        <f>SUMIFS(OPI_5[MAF NETO],OPI_5[ESTADO],M$3)</f>
        <v>0</v>
      </c>
      <c r="N4" s="16">
        <f>SUMIFS(OPI_5[MAF NETO],OPI_5[ESTADO],N$3)</f>
        <v>0</v>
      </c>
    </row>
    <row r="5" ht="26.25" customHeight="1">
      <c r="D5" s="17" t="s">
        <v>31</v>
      </c>
      <c r="E5" s="18" t="s">
        <v>32</v>
      </c>
      <c r="F5" s="19">
        <f>COUNTIFS(OPI_5[ESTADO],"Desembolsado")</f>
        <v>2</v>
      </c>
      <c r="G5" s="20">
        <f>IFERROR(F4/E4,"")</f>
        <v>0.0747</v>
      </c>
      <c r="H5" s="19">
        <f>COUNTIFS(OPI_5[ESTADO],H$3)</f>
        <v>0</v>
      </c>
      <c r="I5" s="19">
        <f>COUNTIFS(OPI_5[ESTADO],I$3)</f>
        <v>12</v>
      </c>
      <c r="J5" s="19">
        <f>COUNTIFS(OPI_5[ESTADO],J$3)</f>
        <v>0</v>
      </c>
      <c r="K5" s="19">
        <f>COUNTIFS(OPI_5[ESTADO],K$3)</f>
        <v>1</v>
      </c>
      <c r="L5" s="19">
        <f>COUNTIFS(OPI_5[ESTADO],L$3)</f>
        <v>0</v>
      </c>
      <c r="M5" s="19">
        <f>COUNTIFS(OPI_5[ESTADO],M$3)</f>
        <v>0</v>
      </c>
      <c r="N5" s="19">
        <f>COUNTIFS(OPI_5[ESTADO],N$3)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221</v>
      </c>
      <c r="C10" s="28">
        <v>46258.0</v>
      </c>
      <c r="D10" s="30" t="s">
        <v>52</v>
      </c>
      <c r="E10" s="28">
        <v>46267.0</v>
      </c>
      <c r="F10" s="28"/>
      <c r="G10" s="33" t="s">
        <v>222</v>
      </c>
      <c r="H10" s="33" t="s">
        <v>223</v>
      </c>
      <c r="I10" s="26" t="s">
        <v>149</v>
      </c>
      <c r="J10" s="30" t="s">
        <v>19</v>
      </c>
      <c r="K10" s="36">
        <v>23700.0</v>
      </c>
      <c r="L10" s="26" t="s">
        <v>224</v>
      </c>
      <c r="M10" s="30"/>
      <c r="N10" s="26"/>
      <c r="O10" s="30"/>
      <c r="P10" s="30"/>
      <c r="Q10" s="26"/>
    </row>
    <row r="11" ht="22.5" customHeight="1">
      <c r="B11" s="26" t="s">
        <v>221</v>
      </c>
      <c r="C11" s="28">
        <v>46259.0</v>
      </c>
      <c r="D11" s="30" t="s">
        <v>52</v>
      </c>
      <c r="E11" s="28">
        <v>46263.0</v>
      </c>
      <c r="F11" s="28">
        <v>46267.0</v>
      </c>
      <c r="G11" s="33" t="s">
        <v>225</v>
      </c>
      <c r="H11" s="33" t="s">
        <v>226</v>
      </c>
      <c r="I11" s="26" t="s">
        <v>227</v>
      </c>
      <c r="J11" s="30" t="s">
        <v>19</v>
      </c>
      <c r="K11" s="36">
        <v>51000.0</v>
      </c>
      <c r="L11" s="26" t="s">
        <v>228</v>
      </c>
      <c r="M11" s="30"/>
      <c r="N11" s="46"/>
      <c r="O11" s="30"/>
      <c r="P11" s="30"/>
      <c r="Q11" s="26"/>
    </row>
    <row r="12" ht="22.5" customHeight="1">
      <c r="B12" s="26" t="s">
        <v>221</v>
      </c>
      <c r="C12" s="28">
        <v>46260.0</v>
      </c>
      <c r="D12" s="30" t="s">
        <v>52</v>
      </c>
      <c r="E12" s="28">
        <v>46265.0</v>
      </c>
      <c r="F12" s="28"/>
      <c r="G12" s="33" t="s">
        <v>229</v>
      </c>
      <c r="H12" s="33" t="s">
        <v>230</v>
      </c>
      <c r="I12" s="26" t="s">
        <v>149</v>
      </c>
      <c r="J12" s="30" t="s">
        <v>24</v>
      </c>
      <c r="K12" s="36">
        <v>89600.0</v>
      </c>
      <c r="L12" s="26" t="s">
        <v>224</v>
      </c>
      <c r="M12" s="30"/>
      <c r="N12" s="46"/>
      <c r="O12" s="30"/>
      <c r="P12" s="30"/>
      <c r="Q12" s="26"/>
    </row>
    <row r="13" ht="22.5" customHeight="1">
      <c r="B13" s="26" t="s">
        <v>221</v>
      </c>
      <c r="C13" s="28">
        <v>46268.0</v>
      </c>
      <c r="D13" s="30" t="s">
        <v>54</v>
      </c>
      <c r="E13" s="28"/>
      <c r="F13" s="28"/>
      <c r="G13" s="33" t="s">
        <v>231</v>
      </c>
      <c r="H13" s="33" t="s">
        <v>232</v>
      </c>
      <c r="I13" s="26" t="s">
        <v>227</v>
      </c>
      <c r="J13" s="30" t="s">
        <v>22</v>
      </c>
      <c r="K13" s="36">
        <v>30000.0</v>
      </c>
      <c r="L13" s="26" t="s">
        <v>233</v>
      </c>
      <c r="M13" s="30"/>
      <c r="N13" s="46"/>
      <c r="O13" s="30"/>
      <c r="P13" s="30"/>
      <c r="Q13" s="26"/>
    </row>
    <row r="14" ht="22.5" customHeight="1">
      <c r="B14" s="26" t="s">
        <v>221</v>
      </c>
      <c r="C14" s="28">
        <v>46269.0</v>
      </c>
      <c r="D14" s="30" t="s">
        <v>54</v>
      </c>
      <c r="E14" s="26"/>
      <c r="F14" s="26"/>
      <c r="G14" s="33" t="s">
        <v>234</v>
      </c>
      <c r="H14" s="33" t="s">
        <v>235</v>
      </c>
      <c r="I14" s="26" t="s">
        <v>236</v>
      </c>
      <c r="J14" s="30" t="s">
        <v>22</v>
      </c>
      <c r="K14" s="36">
        <v>73800.0</v>
      </c>
      <c r="L14" s="26" t="s">
        <v>237</v>
      </c>
      <c r="M14" s="30"/>
      <c r="N14" s="26"/>
      <c r="O14" s="30"/>
      <c r="P14" s="30"/>
      <c r="Q14" s="26"/>
    </row>
    <row r="15" ht="22.5" customHeight="1">
      <c r="B15" s="26" t="s">
        <v>221</v>
      </c>
      <c r="C15" s="28">
        <v>46269.0</v>
      </c>
      <c r="D15" s="30" t="s">
        <v>54</v>
      </c>
      <c r="E15" s="28"/>
      <c r="F15" s="28"/>
      <c r="G15" s="33" t="s">
        <v>238</v>
      </c>
      <c r="H15" s="33" t="s">
        <v>239</v>
      </c>
      <c r="I15" s="26" t="s">
        <v>240</v>
      </c>
      <c r="J15" s="30" t="s">
        <v>22</v>
      </c>
      <c r="K15" s="36">
        <v>123500.0</v>
      </c>
      <c r="L15" s="26" t="s">
        <v>241</v>
      </c>
      <c r="M15" s="30"/>
      <c r="N15" s="46"/>
      <c r="O15" s="30"/>
      <c r="P15" s="30"/>
      <c r="Q15" s="42"/>
    </row>
    <row r="16" ht="22.5" customHeight="1">
      <c r="B16" s="26" t="s">
        <v>221</v>
      </c>
      <c r="C16" s="28">
        <v>46269.0</v>
      </c>
      <c r="D16" s="30" t="s">
        <v>54</v>
      </c>
      <c r="E16" s="28"/>
      <c r="F16" s="28"/>
      <c r="G16" s="33" t="s">
        <v>242</v>
      </c>
      <c r="H16" s="33" t="s">
        <v>243</v>
      </c>
      <c r="I16" s="26" t="s">
        <v>240</v>
      </c>
      <c r="J16" s="30" t="s">
        <v>22</v>
      </c>
      <c r="K16" s="36">
        <v>53500.0</v>
      </c>
      <c r="L16" s="26" t="s">
        <v>237</v>
      </c>
      <c r="M16" s="44"/>
      <c r="N16" s="46"/>
      <c r="O16" s="30"/>
      <c r="P16" s="30"/>
      <c r="Q16" s="42"/>
    </row>
    <row r="17" ht="22.5" customHeight="1">
      <c r="B17" s="26" t="s">
        <v>221</v>
      </c>
      <c r="C17" s="28">
        <v>46269.0</v>
      </c>
      <c r="D17" s="30" t="s">
        <v>54</v>
      </c>
      <c r="E17" s="28"/>
      <c r="F17" s="28"/>
      <c r="G17" s="33" t="s">
        <v>244</v>
      </c>
      <c r="H17" s="33" t="s">
        <v>245</v>
      </c>
      <c r="I17" s="26" t="s">
        <v>149</v>
      </c>
      <c r="J17" s="30" t="s">
        <v>22</v>
      </c>
      <c r="K17" s="36">
        <v>97400.0</v>
      </c>
      <c r="L17" s="26" t="s">
        <v>246</v>
      </c>
      <c r="M17" s="44"/>
      <c r="N17" s="42"/>
      <c r="O17" s="44"/>
      <c r="P17" s="44"/>
      <c r="Q17" s="26"/>
    </row>
    <row r="18" ht="22.5" customHeight="1">
      <c r="B18" s="26" t="s">
        <v>221</v>
      </c>
      <c r="C18" s="28">
        <v>46269.0</v>
      </c>
      <c r="D18" s="30" t="s">
        <v>54</v>
      </c>
      <c r="E18" s="28"/>
      <c r="F18" s="28"/>
      <c r="G18" s="33" t="s">
        <v>247</v>
      </c>
      <c r="H18" s="33" t="s">
        <v>248</v>
      </c>
      <c r="I18" s="26" t="s">
        <v>227</v>
      </c>
      <c r="J18" s="30" t="s">
        <v>22</v>
      </c>
      <c r="K18" s="36">
        <v>97900.0</v>
      </c>
      <c r="L18" s="26" t="s">
        <v>233</v>
      </c>
      <c r="M18" s="44"/>
      <c r="N18" s="42"/>
      <c r="O18" s="44"/>
      <c r="P18" s="44"/>
      <c r="Q18" s="26"/>
    </row>
    <row r="19" ht="22.5" customHeight="1">
      <c r="B19" s="26" t="s">
        <v>221</v>
      </c>
      <c r="C19" s="28">
        <v>46272.0</v>
      </c>
      <c r="D19" s="30" t="s">
        <v>54</v>
      </c>
      <c r="E19" s="28"/>
      <c r="F19" s="28"/>
      <c r="G19" s="33" t="s">
        <v>249</v>
      </c>
      <c r="H19" s="33" t="s">
        <v>250</v>
      </c>
      <c r="I19" s="26" t="s">
        <v>236</v>
      </c>
      <c r="J19" s="30" t="s">
        <v>22</v>
      </c>
      <c r="K19" s="36">
        <v>84200.0</v>
      </c>
      <c r="L19" s="26" t="s">
        <v>237</v>
      </c>
      <c r="M19" s="44"/>
      <c r="N19" s="42"/>
      <c r="O19" s="44"/>
      <c r="P19" s="44"/>
      <c r="Q19" s="26"/>
    </row>
    <row r="20" ht="22.5" customHeight="1">
      <c r="B20" s="26" t="s">
        <v>221</v>
      </c>
      <c r="C20" s="28">
        <v>46272.0</v>
      </c>
      <c r="D20" s="30" t="s">
        <v>54</v>
      </c>
      <c r="E20" s="26"/>
      <c r="F20" s="26"/>
      <c r="G20" s="33" t="s">
        <v>251</v>
      </c>
      <c r="H20" s="33" t="s">
        <v>252</v>
      </c>
      <c r="I20" s="26" t="s">
        <v>149</v>
      </c>
      <c r="J20" s="30" t="s">
        <v>22</v>
      </c>
      <c r="K20" s="36">
        <v>95900.0</v>
      </c>
      <c r="L20" s="26" t="s">
        <v>237</v>
      </c>
      <c r="M20" s="30"/>
      <c r="N20" s="26"/>
      <c r="O20" s="30"/>
      <c r="P20" s="30"/>
      <c r="Q20" s="26"/>
    </row>
    <row r="21" ht="22.5" customHeight="1">
      <c r="B21" s="26" t="s">
        <v>221</v>
      </c>
      <c r="C21" s="28">
        <v>46272.0</v>
      </c>
      <c r="D21" s="30" t="s">
        <v>54</v>
      </c>
      <c r="E21" s="28"/>
      <c r="F21" s="28"/>
      <c r="G21" s="33" t="s">
        <v>253</v>
      </c>
      <c r="H21" s="33" t="s">
        <v>254</v>
      </c>
      <c r="I21" s="26" t="s">
        <v>149</v>
      </c>
      <c r="J21" s="30" t="s">
        <v>22</v>
      </c>
      <c r="K21" s="36">
        <v>34500.0</v>
      </c>
      <c r="L21" s="26" t="s">
        <v>237</v>
      </c>
      <c r="M21" s="44"/>
      <c r="N21" s="42"/>
      <c r="O21" s="44"/>
      <c r="P21" s="44"/>
      <c r="Q21" s="26"/>
    </row>
    <row r="22" ht="22.5" customHeight="1">
      <c r="B22" s="26" t="s">
        <v>221</v>
      </c>
      <c r="C22" s="28">
        <v>46272.0</v>
      </c>
      <c r="D22" s="30" t="s">
        <v>54</v>
      </c>
      <c r="E22" s="26"/>
      <c r="F22" s="26"/>
      <c r="G22" s="33" t="s">
        <v>255</v>
      </c>
      <c r="H22" s="33" t="s">
        <v>256</v>
      </c>
      <c r="I22" s="26" t="s">
        <v>149</v>
      </c>
      <c r="J22" s="30" t="s">
        <v>22</v>
      </c>
      <c r="K22" s="36">
        <v>80000.0</v>
      </c>
      <c r="L22" s="26" t="s">
        <v>257</v>
      </c>
      <c r="M22" s="30"/>
      <c r="N22" s="26"/>
      <c r="O22" s="30"/>
      <c r="P22" s="30"/>
      <c r="Q22" s="26"/>
    </row>
    <row r="23" ht="22.5" customHeight="1">
      <c r="B23" s="26" t="s">
        <v>221</v>
      </c>
      <c r="C23" s="28">
        <v>46272.0</v>
      </c>
      <c r="D23" s="30" t="s">
        <v>54</v>
      </c>
      <c r="E23" s="28"/>
      <c r="F23" s="28"/>
      <c r="G23" s="33" t="s">
        <v>258</v>
      </c>
      <c r="H23" s="33" t="s">
        <v>259</v>
      </c>
      <c r="I23" s="26" t="s">
        <v>149</v>
      </c>
      <c r="J23" s="30" t="s">
        <v>22</v>
      </c>
      <c r="K23" s="36">
        <v>89200.0</v>
      </c>
      <c r="L23" s="26" t="s">
        <v>260</v>
      </c>
      <c r="M23" s="44"/>
      <c r="N23" s="42"/>
      <c r="O23" s="44"/>
      <c r="P23" s="44"/>
      <c r="Q23" s="26"/>
    </row>
    <row r="24" ht="22.5" customHeight="1">
      <c r="B24" s="26" t="s">
        <v>221</v>
      </c>
      <c r="C24" s="28">
        <v>46272.0</v>
      </c>
      <c r="D24" s="30" t="s">
        <v>54</v>
      </c>
      <c r="E24" s="26"/>
      <c r="F24" s="26"/>
      <c r="G24" s="33" t="s">
        <v>261</v>
      </c>
      <c r="H24" s="33" t="s">
        <v>262</v>
      </c>
      <c r="I24" s="26" t="s">
        <v>149</v>
      </c>
      <c r="J24" s="30" t="s">
        <v>22</v>
      </c>
      <c r="K24" s="36">
        <v>81900.0</v>
      </c>
      <c r="L24" s="26" t="s">
        <v>237</v>
      </c>
      <c r="M24" s="30"/>
      <c r="N24" s="26"/>
      <c r="O24" s="30"/>
      <c r="P24" s="30"/>
      <c r="Q24" s="26"/>
    </row>
    <row r="25" ht="22.5" customHeight="1">
      <c r="B25" s="26"/>
      <c r="C25" s="28"/>
      <c r="D25" s="30"/>
      <c r="E25" s="28"/>
      <c r="F25" s="28"/>
      <c r="G25" s="33"/>
      <c r="H25" s="33"/>
      <c r="I25" s="26"/>
      <c r="J25" s="30"/>
      <c r="K25" s="36"/>
      <c r="L25" s="26"/>
      <c r="M25" s="30"/>
      <c r="N25" s="26"/>
      <c r="O25" s="30"/>
      <c r="P25" s="30"/>
      <c r="Q25" s="26"/>
    </row>
    <row r="26" ht="22.5" customHeight="1">
      <c r="B26" s="26"/>
      <c r="C26" s="28"/>
      <c r="D26" s="30"/>
      <c r="E26" s="28"/>
      <c r="F26" s="28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26"/>
      <c r="C27" s="28"/>
      <c r="D27" s="30"/>
      <c r="E27" s="28"/>
      <c r="F27" s="28"/>
      <c r="G27" s="33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26"/>
      <c r="C28" s="28"/>
      <c r="D28" s="30"/>
      <c r="E28" s="28"/>
      <c r="F28" s="60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26"/>
      <c r="C29" s="28"/>
      <c r="D29" s="30"/>
      <c r="E29" s="28"/>
      <c r="F29" s="28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26"/>
      <c r="C30" s="28"/>
      <c r="D30" s="30"/>
      <c r="E30" s="28"/>
      <c r="F30" s="26"/>
      <c r="G30" s="33"/>
      <c r="H30" s="33"/>
      <c r="I30" s="26"/>
      <c r="J30" s="30"/>
      <c r="K30" s="36"/>
      <c r="L30" s="26"/>
      <c r="M30" s="30"/>
      <c r="N30" s="26"/>
      <c r="O30" s="30"/>
      <c r="P30" s="30"/>
      <c r="Q30" s="26"/>
    </row>
    <row r="31" ht="22.5" customHeight="1">
      <c r="B31" s="26"/>
      <c r="C31" s="28"/>
      <c r="D31" s="30"/>
      <c r="E31" s="28"/>
      <c r="F31" s="26"/>
      <c r="G31" s="33"/>
      <c r="H31" s="33"/>
      <c r="I31" s="26"/>
      <c r="J31" s="30"/>
      <c r="K31" s="36"/>
      <c r="L31" s="26"/>
      <c r="M31" s="30"/>
      <c r="N31" s="26"/>
      <c r="O31" s="30"/>
      <c r="P31" s="30"/>
      <c r="Q31" s="42"/>
    </row>
    <row r="32" ht="22.5" customHeight="1">
      <c r="B32" s="26"/>
      <c r="C32" s="28"/>
      <c r="D32" s="30"/>
      <c r="E32" s="28"/>
      <c r="F32" s="60"/>
      <c r="G32" s="33"/>
      <c r="H32" s="33"/>
      <c r="I32" s="26"/>
      <c r="J32" s="30"/>
      <c r="K32" s="36"/>
      <c r="L32" s="26"/>
      <c r="M32" s="44"/>
      <c r="N32" s="42"/>
      <c r="O32" s="44"/>
      <c r="P32" s="44"/>
      <c r="Q32" s="42"/>
    </row>
    <row r="33" ht="22.5" customHeight="1">
      <c r="B33" s="26"/>
      <c r="C33" s="28"/>
      <c r="D33" s="30"/>
      <c r="E33" s="28"/>
      <c r="F33" s="60"/>
      <c r="G33" s="33"/>
      <c r="H33" s="33"/>
      <c r="I33" s="26"/>
      <c r="J33" s="30"/>
      <c r="K33" s="36"/>
      <c r="L33" s="26"/>
      <c r="M33" s="44"/>
      <c r="N33" s="42"/>
      <c r="O33" s="44"/>
      <c r="P33" s="44"/>
      <c r="Q33" s="42"/>
    </row>
    <row r="34" ht="22.5" customHeight="1">
      <c r="B34" s="26"/>
      <c r="C34" s="28"/>
      <c r="D34" s="30"/>
      <c r="E34" s="60"/>
      <c r="F34" s="60"/>
      <c r="G34" s="33"/>
      <c r="H34" s="33"/>
      <c r="I34" s="26"/>
      <c r="J34" s="30"/>
      <c r="K34" s="36"/>
      <c r="L34" s="26"/>
      <c r="M34" s="44"/>
      <c r="N34" s="42"/>
      <c r="O34" s="44"/>
      <c r="P34" s="44"/>
      <c r="Q34" s="42"/>
    </row>
    <row r="35" ht="22.5" customHeight="1">
      <c r="B35" s="26"/>
      <c r="C35" s="28"/>
      <c r="D35" s="30"/>
      <c r="E35" s="60"/>
      <c r="F35" s="60"/>
      <c r="G35" s="33"/>
      <c r="H35" s="33"/>
      <c r="I35" s="26"/>
      <c r="J35" s="30"/>
      <c r="K35" s="36"/>
      <c r="L35" s="26"/>
      <c r="M35" s="44"/>
      <c r="N35" s="42"/>
      <c r="O35" s="44"/>
      <c r="P35" s="44"/>
      <c r="Q35" s="42"/>
    </row>
    <row r="36" ht="22.5" customHeight="1">
      <c r="B36" s="26"/>
      <c r="C36" s="28"/>
      <c r="D36" s="30"/>
      <c r="E36" s="60"/>
      <c r="F36" s="60"/>
      <c r="G36" s="33"/>
      <c r="H36" s="33"/>
      <c r="I36" s="26"/>
      <c r="J36" s="30"/>
      <c r="K36" s="36"/>
      <c r="L36" s="26"/>
      <c r="M36" s="44"/>
      <c r="N36" s="42"/>
      <c r="O36" s="44"/>
      <c r="P36" s="44"/>
      <c r="Q36" s="42"/>
    </row>
    <row r="37" ht="22.5" customHeight="1">
      <c r="B37" s="26"/>
      <c r="C37" s="28"/>
      <c r="D37" s="30"/>
      <c r="E37" s="60"/>
      <c r="F37" s="60"/>
      <c r="G37" s="33"/>
      <c r="H37" s="33"/>
      <c r="I37" s="26"/>
      <c r="J37" s="30"/>
      <c r="K37" s="36"/>
      <c r="L37" s="26"/>
      <c r="M37" s="44"/>
      <c r="N37" s="42"/>
      <c r="O37" s="44"/>
      <c r="P37" s="44"/>
      <c r="Q37" s="42"/>
    </row>
    <row r="38" ht="22.5" customHeight="1">
      <c r="B38" s="26"/>
      <c r="C38" s="28"/>
      <c r="D38" s="30"/>
      <c r="E38" s="60"/>
      <c r="F38" s="60"/>
      <c r="G38" s="33"/>
      <c r="H38" s="33"/>
      <c r="I38" s="26"/>
      <c r="J38" s="30"/>
      <c r="K38" s="36"/>
      <c r="L38" s="26"/>
      <c r="M38" s="44"/>
      <c r="N38" s="42"/>
      <c r="O38" s="44"/>
      <c r="P38" s="44"/>
      <c r="Q38" s="42"/>
    </row>
    <row r="39" ht="22.5" customHeight="1">
      <c r="B39" s="26"/>
      <c r="C39" s="28"/>
      <c r="D39" s="30"/>
      <c r="E39" s="60"/>
      <c r="F39" s="60"/>
      <c r="G39" s="33"/>
      <c r="H39" s="33"/>
      <c r="I39" s="26"/>
      <c r="J39" s="30"/>
      <c r="K39" s="36"/>
      <c r="L39" s="26"/>
      <c r="M39" s="44"/>
      <c r="N39" s="42"/>
      <c r="O39" s="44"/>
      <c r="P39" s="44"/>
      <c r="Q39" s="42"/>
    </row>
    <row r="40" ht="22.5" customHeight="1">
      <c r="B40" s="26"/>
      <c r="C40" s="28"/>
      <c r="D40" s="30"/>
      <c r="E40" s="26"/>
      <c r="F40" s="26"/>
      <c r="G40" s="33"/>
      <c r="H40" s="33"/>
      <c r="I40" s="26"/>
      <c r="J40" s="30"/>
      <c r="K40" s="36"/>
      <c r="L40" s="26"/>
      <c r="M40" s="44"/>
      <c r="N40" s="42"/>
      <c r="O40" s="44"/>
      <c r="P40" s="44"/>
      <c r="Q40" s="42"/>
    </row>
    <row r="41" ht="22.5" customHeight="1">
      <c r="B41" s="26"/>
      <c r="C41" s="28"/>
      <c r="D41" s="30"/>
      <c r="E41" s="60"/>
      <c r="F41" s="60"/>
      <c r="G41" s="33"/>
      <c r="H41" s="33"/>
      <c r="I41" s="26"/>
      <c r="J41" s="30"/>
      <c r="K41" s="36"/>
      <c r="L41" s="26"/>
      <c r="M41" s="44"/>
      <c r="N41" s="42"/>
      <c r="O41" s="44"/>
      <c r="P41" s="44"/>
      <c r="Q41" s="42"/>
    </row>
    <row r="42" ht="22.5" customHeight="1">
      <c r="B42" s="26"/>
      <c r="C42" s="28"/>
      <c r="D42" s="30"/>
      <c r="E42" s="60"/>
      <c r="F42" s="60"/>
      <c r="G42" s="33"/>
      <c r="H42" s="33"/>
      <c r="I42" s="26"/>
      <c r="J42" s="30"/>
      <c r="K42" s="36"/>
      <c r="L42" s="26"/>
      <c r="M42" s="44"/>
      <c r="N42" s="42"/>
      <c r="O42" s="44"/>
      <c r="P42" s="44"/>
      <c r="Q42" s="42"/>
    </row>
    <row r="43" ht="22.5" customHeight="1">
      <c r="B43" s="26"/>
      <c r="C43" s="60"/>
      <c r="D43" s="30"/>
      <c r="E43" s="60"/>
      <c r="F43" s="60"/>
      <c r="G43" s="33"/>
      <c r="H43" s="33"/>
      <c r="I43" s="26"/>
      <c r="J43" s="30"/>
      <c r="K43" s="36"/>
      <c r="L43" s="26"/>
      <c r="M43" s="44"/>
      <c r="N43" s="42"/>
      <c r="O43" s="44"/>
      <c r="P43" s="44"/>
      <c r="Q43" s="42"/>
    </row>
    <row r="44" ht="22.5" customHeight="1">
      <c r="B44" s="26"/>
      <c r="C44" s="60"/>
      <c r="D44" s="30"/>
      <c r="E44" s="60"/>
      <c r="F44" s="60"/>
      <c r="G44" s="33"/>
      <c r="H44" s="33"/>
      <c r="I44" s="26"/>
      <c r="J44" s="30"/>
      <c r="K44" s="36"/>
      <c r="L44" s="26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SUMIFS(OPI_3[MAF NETO],OPI_3[ESTADO],"Desembolsado")</f>
        <v>83130</v>
      </c>
      <c r="G4" s="15">
        <f>F4-E4</f>
        <v>-916870</v>
      </c>
      <c r="H4" s="16">
        <f>SUMIFS(OPI_3[MAF NETO],OPI_3[ESTADO],H$3)</f>
        <v>0</v>
      </c>
      <c r="I4" s="16">
        <f>SUMIFS(OPI_3[MAF NETO],OPI_3[ESTADO],I$3)</f>
        <v>240400</v>
      </c>
      <c r="J4" s="16">
        <f>SUMIFS(OPI_3[MAF NETO],OPI_3[ESTADO],J$3)</f>
        <v>0</v>
      </c>
      <c r="K4" s="16">
        <f>SUMIFS(OPI_3[MAF NETO],OPI_3[ESTADO],K$3)</f>
        <v>0</v>
      </c>
      <c r="L4" s="16">
        <f>SUMIFS(OPI_3[MAF NETO],OPI_3[ESTADO],L$3)</f>
        <v>0</v>
      </c>
      <c r="M4" s="16">
        <f>SUMIFS(OPI_3[MAF NETO],OPI_3[ESTADO],M$3)</f>
        <v>0</v>
      </c>
      <c r="N4" s="16">
        <f>SUMIFS(OPI_3[MAF NETO],OPI_3[ESTADO],N$3)</f>
        <v>0</v>
      </c>
    </row>
    <row r="5" ht="26.25" customHeight="1">
      <c r="D5" s="17" t="s">
        <v>31</v>
      </c>
      <c r="E5" s="18" t="s">
        <v>32</v>
      </c>
      <c r="F5" s="19">
        <f>COUNTIFS(OPI_3[ESTADO],"Desembolsado")</f>
        <v>1</v>
      </c>
      <c r="G5" s="20">
        <f>IFERROR(F4/E4,"")</f>
        <v>0.08313</v>
      </c>
      <c r="H5" s="19">
        <f>COUNTIFS(OPI_3[ESTADO],H$3)</f>
        <v>0</v>
      </c>
      <c r="I5" s="19">
        <f>COUNTIFS(OPI_3[ESTADO],I$3)</f>
        <v>3</v>
      </c>
      <c r="J5" s="19">
        <f>COUNTIFS(OPI_3[ESTADO],J$3)</f>
        <v>0</v>
      </c>
      <c r="K5" s="19">
        <f>COUNTIFS(OPI_3[ESTADO],K$3)</f>
        <v>0</v>
      </c>
      <c r="L5" s="19">
        <f>COUNTIFS(OPI_3[ESTADO],L$3)</f>
        <v>0</v>
      </c>
      <c r="M5" s="19">
        <f>COUNTIFS(OPI_3[ESTADO],M$3)</f>
        <v>0</v>
      </c>
      <c r="N5" s="19">
        <f>COUNTIFS(OPI_3[ESTADO],N$3)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5" t="s">
        <v>15</v>
      </c>
      <c r="C10" s="27">
        <v>46266.0</v>
      </c>
      <c r="D10" s="117" t="s">
        <v>52</v>
      </c>
      <c r="E10" s="27">
        <v>46267.0</v>
      </c>
      <c r="F10" s="154">
        <v>46268.0</v>
      </c>
      <c r="G10" s="155" t="s">
        <v>263</v>
      </c>
      <c r="H10" s="155" t="s">
        <v>264</v>
      </c>
      <c r="I10" s="156" t="s">
        <v>65</v>
      </c>
      <c r="J10" s="120" t="s">
        <v>19</v>
      </c>
      <c r="K10" s="121">
        <v>83130.0</v>
      </c>
      <c r="L10" s="119" t="s">
        <v>265</v>
      </c>
      <c r="M10" s="122"/>
      <c r="N10" s="87"/>
      <c r="O10" s="104"/>
      <c r="P10" s="30"/>
      <c r="Q10" s="26"/>
    </row>
    <row r="11" ht="22.5" customHeight="1">
      <c r="B11" s="25" t="s">
        <v>15</v>
      </c>
      <c r="C11" s="27">
        <v>46266.0</v>
      </c>
      <c r="D11" s="117" t="s">
        <v>54</v>
      </c>
      <c r="E11" s="27"/>
      <c r="F11" s="154"/>
      <c r="G11" s="155" t="s">
        <v>266</v>
      </c>
      <c r="H11" s="155" t="s">
        <v>267</v>
      </c>
      <c r="I11" s="156" t="s">
        <v>65</v>
      </c>
      <c r="J11" s="120" t="s">
        <v>22</v>
      </c>
      <c r="K11" s="121">
        <v>78140.0</v>
      </c>
      <c r="L11" s="119" t="s">
        <v>265</v>
      </c>
      <c r="M11" s="134"/>
      <c r="N11" s="87"/>
      <c r="O11" s="104"/>
      <c r="P11" s="44"/>
      <c r="Q11" s="26"/>
    </row>
    <row r="12" ht="22.5" customHeight="1">
      <c r="B12" s="25" t="s">
        <v>15</v>
      </c>
      <c r="C12" s="27">
        <v>46269.0</v>
      </c>
      <c r="D12" s="117" t="s">
        <v>54</v>
      </c>
      <c r="E12" s="27"/>
      <c r="F12" s="157"/>
      <c r="G12" s="158" t="s">
        <v>269</v>
      </c>
      <c r="H12" s="158" t="s">
        <v>270</v>
      </c>
      <c r="I12" s="159" t="s">
        <v>65</v>
      </c>
      <c r="J12" s="120" t="s">
        <v>22</v>
      </c>
      <c r="K12" s="121">
        <v>81760.0</v>
      </c>
      <c r="L12" s="119" t="s">
        <v>271</v>
      </c>
      <c r="M12" s="134"/>
      <c r="N12" s="87"/>
      <c r="O12" s="104"/>
      <c r="P12" s="44"/>
      <c r="Q12" s="26"/>
    </row>
    <row r="13" ht="22.5" customHeight="1">
      <c r="B13" s="25" t="s">
        <v>15</v>
      </c>
      <c r="C13" s="28">
        <v>46272.0</v>
      </c>
      <c r="D13" s="30" t="s">
        <v>54</v>
      </c>
      <c r="E13" s="28"/>
      <c r="F13" s="28"/>
      <c r="G13" s="162" t="s">
        <v>275</v>
      </c>
      <c r="H13" s="162" t="s">
        <v>276</v>
      </c>
      <c r="I13" s="159" t="s">
        <v>65</v>
      </c>
      <c r="J13" s="117" t="s">
        <v>22</v>
      </c>
      <c r="K13" s="163">
        <v>80500.0</v>
      </c>
      <c r="L13" s="119" t="s">
        <v>265</v>
      </c>
      <c r="M13" s="134"/>
      <c r="N13" s="87"/>
      <c r="O13" s="104"/>
      <c r="P13" s="30"/>
      <c r="Q13" s="42"/>
    </row>
    <row r="14" ht="22.5" customHeight="1">
      <c r="B14" s="25"/>
      <c r="C14" s="28"/>
      <c r="D14" s="30"/>
      <c r="E14" s="28"/>
      <c r="F14" s="28"/>
      <c r="G14" s="162"/>
      <c r="H14" s="162"/>
      <c r="I14" s="159"/>
      <c r="J14" s="117"/>
      <c r="K14" s="163"/>
      <c r="L14" s="119"/>
      <c r="M14" s="134"/>
      <c r="N14" s="87"/>
      <c r="O14" s="104"/>
      <c r="P14" s="44"/>
      <c r="Q14" s="26"/>
    </row>
    <row r="15" ht="22.5" customHeight="1">
      <c r="B15" s="25"/>
      <c r="C15" s="28"/>
      <c r="D15" s="30"/>
      <c r="E15" s="28"/>
      <c r="F15" s="28"/>
      <c r="G15" s="162"/>
      <c r="H15" s="162"/>
      <c r="I15" s="159"/>
      <c r="J15" s="117"/>
      <c r="K15" s="163"/>
      <c r="L15" s="119"/>
      <c r="M15" s="134"/>
      <c r="N15" s="87"/>
      <c r="O15" s="104"/>
      <c r="P15" s="30"/>
      <c r="Q15" s="42"/>
    </row>
    <row r="16" ht="22.5" customHeight="1">
      <c r="B16" s="25"/>
      <c r="C16" s="28"/>
      <c r="D16" s="30"/>
      <c r="E16" s="28"/>
      <c r="F16" s="28"/>
      <c r="G16" s="162"/>
      <c r="H16" s="162"/>
      <c r="I16" s="159"/>
      <c r="J16" s="98"/>
      <c r="K16" s="163"/>
      <c r="L16" s="119"/>
      <c r="M16" s="134"/>
      <c r="N16" s="87"/>
      <c r="O16" s="104"/>
      <c r="P16" s="44"/>
      <c r="Q16" s="42"/>
    </row>
    <row r="17" ht="22.5" customHeight="1">
      <c r="B17" s="25"/>
      <c r="C17" s="28"/>
      <c r="D17" s="30"/>
      <c r="E17" s="28"/>
      <c r="F17" s="60"/>
      <c r="G17" s="33"/>
      <c r="H17" s="33"/>
      <c r="I17" s="26"/>
      <c r="J17" s="30"/>
      <c r="K17" s="167"/>
      <c r="L17" s="26"/>
      <c r="M17" s="104"/>
      <c r="N17" s="87"/>
      <c r="O17" s="104"/>
      <c r="P17" s="44"/>
      <c r="Q17" s="26"/>
    </row>
    <row r="18" ht="22.5" customHeight="1">
      <c r="B18" s="26"/>
      <c r="C18" s="28"/>
      <c r="D18" s="30"/>
      <c r="E18" s="28"/>
      <c r="F18" s="28"/>
      <c r="G18" s="109"/>
      <c r="H18" s="109"/>
      <c r="I18" s="57"/>
      <c r="J18" s="98"/>
      <c r="K18" s="124"/>
      <c r="L18" s="111"/>
      <c r="M18" s="104"/>
      <c r="N18" s="87"/>
      <c r="O18" s="104"/>
      <c r="P18" s="44"/>
      <c r="Q18" s="26"/>
    </row>
    <row r="19" ht="22.5" customHeight="1">
      <c r="B19" s="26"/>
      <c r="C19" s="28"/>
      <c r="D19" s="30"/>
      <c r="E19" s="28"/>
      <c r="F19" s="28"/>
      <c r="G19" s="162"/>
      <c r="H19" s="162"/>
      <c r="I19" s="26"/>
      <c r="J19" s="30"/>
      <c r="K19" s="36"/>
      <c r="L19" s="26"/>
      <c r="M19" s="44"/>
      <c r="N19" s="42"/>
      <c r="O19" s="169"/>
      <c r="P19" s="44"/>
      <c r="Q19" s="26"/>
    </row>
    <row r="20" ht="22.5" customHeight="1">
      <c r="B20" s="26"/>
      <c r="C20" s="28"/>
      <c r="D20" s="30"/>
      <c r="E20" s="28"/>
      <c r="F20" s="28"/>
      <c r="G20" s="162"/>
      <c r="H20" s="162"/>
      <c r="I20" s="26"/>
      <c r="J20" s="30"/>
      <c r="K20" s="36"/>
      <c r="L20" s="26"/>
      <c r="M20" s="44"/>
      <c r="N20" s="42"/>
      <c r="O20" s="169"/>
      <c r="P20" s="44"/>
      <c r="Q20" s="42"/>
    </row>
    <row r="21" ht="22.5" customHeight="1">
      <c r="B21" s="26"/>
      <c r="C21" s="28"/>
      <c r="D21" s="30"/>
      <c r="E21" s="28"/>
      <c r="F21" s="28"/>
      <c r="G21" s="162"/>
      <c r="H21" s="162"/>
      <c r="I21" s="26"/>
      <c r="J21" s="30"/>
      <c r="K21" s="36"/>
      <c r="L21" s="26"/>
      <c r="M21" s="44"/>
      <c r="N21" s="42"/>
      <c r="O21" s="169"/>
      <c r="P21" s="44"/>
      <c r="Q21" s="42"/>
    </row>
    <row r="22" ht="22.5" customHeight="1">
      <c r="B22" s="26"/>
      <c r="C22" s="28"/>
      <c r="D22" s="30"/>
      <c r="E22" s="28"/>
      <c r="F22" s="28"/>
      <c r="G22" s="171"/>
      <c r="H22" s="171"/>
      <c r="I22" s="26"/>
      <c r="J22" s="30"/>
      <c r="K22" s="36"/>
      <c r="L22" s="26"/>
      <c r="M22" s="44"/>
      <c r="N22" s="42"/>
      <c r="O22" s="169"/>
      <c r="P22" s="44"/>
      <c r="Q22" s="42"/>
    </row>
    <row r="23" ht="22.5" customHeight="1">
      <c r="B23" s="26"/>
      <c r="C23" s="28"/>
      <c r="D23" s="30"/>
      <c r="E23" s="28"/>
      <c r="F23" s="60"/>
      <c r="G23" s="173"/>
      <c r="H23" s="173"/>
      <c r="I23" s="26"/>
      <c r="J23" s="30"/>
      <c r="K23" s="36"/>
      <c r="L23" s="26"/>
      <c r="M23" s="44"/>
      <c r="N23" s="42"/>
      <c r="O23" s="169"/>
      <c r="P23" s="44"/>
      <c r="Q23" s="42"/>
    </row>
    <row r="24" ht="22.5" customHeight="1">
      <c r="B24" s="26"/>
      <c r="C24" s="28"/>
      <c r="D24" s="30"/>
      <c r="E24" s="28"/>
      <c r="F24" s="28"/>
      <c r="G24" s="171"/>
      <c r="H24" s="171"/>
      <c r="I24" s="26"/>
      <c r="J24" s="30"/>
      <c r="K24" s="36"/>
      <c r="L24" s="26"/>
      <c r="M24" s="44"/>
      <c r="N24" s="42"/>
      <c r="O24" s="169"/>
      <c r="P24" s="44"/>
      <c r="Q24" s="42"/>
    </row>
    <row r="25" ht="22.5" customHeight="1">
      <c r="B25" s="26"/>
      <c r="C25" s="28"/>
      <c r="D25" s="30"/>
      <c r="E25" s="28"/>
      <c r="F25" s="60"/>
      <c r="G25" s="171"/>
      <c r="H25" s="171"/>
      <c r="I25" s="26"/>
      <c r="J25" s="30"/>
      <c r="K25" s="124"/>
      <c r="L25" s="26"/>
      <c r="M25" s="44"/>
      <c r="N25" s="42"/>
      <c r="O25" s="169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169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174"/>
      <c r="J27" s="44"/>
      <c r="K27" s="115"/>
      <c r="L27" s="42"/>
      <c r="M27" s="44"/>
      <c r="N27" s="42"/>
      <c r="O27" s="169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169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169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169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169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169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169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169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169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169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169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169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169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169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169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169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169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169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169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169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169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169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169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169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169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169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158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500000.0</v>
      </c>
      <c r="F4" s="15">
        <f>SUMIFS(OPI_12[MAF NETO],OPI_12[ESTADO],"Desembolsado")</f>
        <v>224850</v>
      </c>
      <c r="G4" s="15">
        <f>F4-E4</f>
        <v>-275150</v>
      </c>
      <c r="H4" s="16">
        <f>SUMIFS(OPI_12[MAF NETO],OPI_12[ESTADO],H$3)</f>
        <v>99400</v>
      </c>
      <c r="I4" s="16">
        <f>SUMIFS(OPI_12[MAF NETO],OPI_12[ESTADO],I$3)</f>
        <v>336100</v>
      </c>
      <c r="J4" s="16">
        <f>SUMIFS(OPI_12[MAF NETO],OPI_12[ESTADO],J$3)</f>
        <v>135750</v>
      </c>
      <c r="K4" s="16">
        <f>SUMIFS(OPI_12[MAF NETO],OPI_12[ESTADO],K$3)</f>
        <v>111250</v>
      </c>
      <c r="L4" s="16">
        <f>SUMIFS(OPI_12[MAF NETO],OPI_12[ESTADO],L$3)</f>
        <v>0</v>
      </c>
      <c r="M4" s="16">
        <f>SUMIFS(OPI_12[MAF NETO],OPI_12[ESTADO],M$3)</f>
        <v>0</v>
      </c>
      <c r="N4" s="16">
        <f>SUMIFS(OPI_12[MAF NETO],OPI_12[ESTADO],N$3)</f>
        <v>0</v>
      </c>
    </row>
    <row r="5" ht="26.25" customHeight="1">
      <c r="D5" s="17" t="s">
        <v>31</v>
      </c>
      <c r="E5" s="18" t="s">
        <v>32</v>
      </c>
      <c r="F5" s="19">
        <f>COUNTIFS(OPI_12[ESTADO],"Desembolsado")</f>
        <v>3</v>
      </c>
      <c r="G5" s="20">
        <f>IFERROR(F4/E4,"")</f>
        <v>0.4497</v>
      </c>
      <c r="H5" s="19">
        <f>COUNTIFS(OPI_12[ESTADO],H$3)</f>
        <v>2</v>
      </c>
      <c r="I5" s="19">
        <f>COUNTIFS(OPI_12[ESTADO],I$3)</f>
        <v>4</v>
      </c>
      <c r="J5" s="19">
        <f>COUNTIFS(OPI_12[ESTADO],J$3)</f>
        <v>3</v>
      </c>
      <c r="K5" s="19">
        <f>COUNTIFS(OPI_12[ESTADO],K$3)</f>
        <v>2</v>
      </c>
      <c r="L5" s="19">
        <f>COUNTIFS(OPI_12[ESTADO],L$3)</f>
        <v>0</v>
      </c>
      <c r="M5" s="19">
        <f>COUNTIFS(OPI_12[ESTADO],M$3)</f>
        <v>0</v>
      </c>
      <c r="N5" s="19">
        <f>COUNTIFS(OPI_12[ESTADO],N$3)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268</v>
      </c>
      <c r="C10" s="28">
        <v>46259.0</v>
      </c>
      <c r="D10" s="160" t="s">
        <v>52</v>
      </c>
      <c r="E10" s="28">
        <v>46261.0</v>
      </c>
      <c r="F10" s="28">
        <v>46266.0</v>
      </c>
      <c r="G10" s="33" t="s">
        <v>272</v>
      </c>
      <c r="H10" s="33" t="s">
        <v>273</v>
      </c>
      <c r="I10" s="26" t="s">
        <v>65</v>
      </c>
      <c r="J10" s="161" t="s">
        <v>19</v>
      </c>
      <c r="K10" s="36">
        <v>84200.0</v>
      </c>
      <c r="L10" s="26" t="s">
        <v>274</v>
      </c>
      <c r="M10" s="51"/>
      <c r="N10" s="46"/>
      <c r="O10" s="30"/>
      <c r="P10" s="30"/>
      <c r="Q10" s="42"/>
    </row>
    <row r="11" ht="22.5" customHeight="1">
      <c r="B11" s="26" t="s">
        <v>277</v>
      </c>
      <c r="C11" s="28">
        <v>46262.0</v>
      </c>
      <c r="D11" s="160" t="s">
        <v>52</v>
      </c>
      <c r="E11" s="28">
        <v>46265.0</v>
      </c>
      <c r="F11" s="28">
        <v>46266.0</v>
      </c>
      <c r="G11" s="33" t="s">
        <v>278</v>
      </c>
      <c r="H11" s="33" t="s">
        <v>279</v>
      </c>
      <c r="I11" s="26" t="s">
        <v>65</v>
      </c>
      <c r="J11" s="161" t="s">
        <v>19</v>
      </c>
      <c r="K11" s="36">
        <v>66050.0</v>
      </c>
      <c r="L11" s="26" t="s">
        <v>280</v>
      </c>
      <c r="M11" s="51"/>
      <c r="N11" s="46"/>
      <c r="O11" s="30"/>
      <c r="P11" s="30"/>
      <c r="Q11" s="42"/>
    </row>
    <row r="12" ht="22.5" customHeight="1">
      <c r="B12" s="26" t="s">
        <v>277</v>
      </c>
      <c r="C12" s="28">
        <v>46261.0</v>
      </c>
      <c r="D12" s="160" t="s">
        <v>52</v>
      </c>
      <c r="E12" s="28">
        <v>46262.0</v>
      </c>
      <c r="F12" s="28">
        <v>46268.0</v>
      </c>
      <c r="G12" s="33" t="s">
        <v>281</v>
      </c>
      <c r="H12" s="33" t="s">
        <v>282</v>
      </c>
      <c r="I12" s="26" t="s">
        <v>65</v>
      </c>
      <c r="J12" s="164" t="s">
        <v>19</v>
      </c>
      <c r="K12" s="36">
        <v>74600.0</v>
      </c>
      <c r="L12" s="26" t="s">
        <v>283</v>
      </c>
      <c r="M12" s="51"/>
      <c r="N12" s="46"/>
      <c r="O12" s="30"/>
      <c r="P12" s="30"/>
      <c r="Q12" s="42"/>
    </row>
    <row r="13" ht="22.5" customHeight="1">
      <c r="B13" s="26" t="s">
        <v>277</v>
      </c>
      <c r="C13" s="28">
        <v>46268.0</v>
      </c>
      <c r="D13" s="165" t="s">
        <v>54</v>
      </c>
      <c r="E13" s="28"/>
      <c r="F13" s="28"/>
      <c r="G13" s="33" t="s">
        <v>284</v>
      </c>
      <c r="H13" s="33" t="s">
        <v>285</v>
      </c>
      <c r="I13" s="26" t="s">
        <v>111</v>
      </c>
      <c r="J13" s="166" t="s">
        <v>22</v>
      </c>
      <c r="K13" s="36">
        <v>99000.0</v>
      </c>
      <c r="L13" s="26" t="s">
        <v>274</v>
      </c>
      <c r="M13" s="51"/>
      <c r="N13" s="46"/>
      <c r="O13" s="30"/>
      <c r="P13" s="30"/>
      <c r="Q13" s="42"/>
    </row>
    <row r="14" ht="22.5" customHeight="1">
      <c r="B14" s="26" t="s">
        <v>179</v>
      </c>
      <c r="C14" s="28">
        <v>46266.0</v>
      </c>
      <c r="D14" s="165" t="s">
        <v>52</v>
      </c>
      <c r="E14" s="28">
        <v>46267.0</v>
      </c>
      <c r="F14" s="28"/>
      <c r="G14" s="33" t="s">
        <v>286</v>
      </c>
      <c r="H14" s="33" t="s">
        <v>287</v>
      </c>
      <c r="I14" s="26" t="s">
        <v>65</v>
      </c>
      <c r="J14" s="168" t="s">
        <v>24</v>
      </c>
      <c r="K14" s="36">
        <v>34800.0</v>
      </c>
      <c r="L14" s="26" t="s">
        <v>274</v>
      </c>
      <c r="M14" s="51"/>
      <c r="N14" s="46"/>
      <c r="O14" s="30"/>
      <c r="P14" s="30"/>
      <c r="Q14" s="42"/>
    </row>
    <row r="15" ht="22.5" customHeight="1">
      <c r="B15" s="26" t="s">
        <v>277</v>
      </c>
      <c r="C15" s="28">
        <v>46266.0</v>
      </c>
      <c r="D15" s="165" t="s">
        <v>52</v>
      </c>
      <c r="E15" s="28">
        <v>46269.0</v>
      </c>
      <c r="F15" s="28"/>
      <c r="G15" s="33" t="s">
        <v>288</v>
      </c>
      <c r="H15" s="33" t="s">
        <v>289</v>
      </c>
      <c r="I15" s="26" t="s">
        <v>290</v>
      </c>
      <c r="J15" s="168" t="s">
        <v>74</v>
      </c>
      <c r="K15" s="36">
        <v>54400.0</v>
      </c>
      <c r="L15" s="26" t="s">
        <v>280</v>
      </c>
      <c r="M15" s="30"/>
      <c r="N15" s="46"/>
      <c r="O15" s="30"/>
      <c r="P15" s="30"/>
      <c r="Q15" s="42"/>
    </row>
    <row r="16" ht="22.5" customHeight="1">
      <c r="B16" s="26" t="s">
        <v>291</v>
      </c>
      <c r="C16" s="28">
        <v>46268.0</v>
      </c>
      <c r="D16" s="170" t="s">
        <v>52</v>
      </c>
      <c r="E16" s="28">
        <v>46269.0</v>
      </c>
      <c r="F16" s="28"/>
      <c r="G16" s="33" t="s">
        <v>292</v>
      </c>
      <c r="H16" s="33" t="s">
        <v>293</v>
      </c>
      <c r="I16" s="26" t="s">
        <v>65</v>
      </c>
      <c r="J16" s="168" t="s">
        <v>24</v>
      </c>
      <c r="K16" s="36">
        <v>76450.0</v>
      </c>
      <c r="L16" s="26" t="s">
        <v>274</v>
      </c>
      <c r="M16" s="51"/>
      <c r="N16" s="42"/>
      <c r="O16" s="44"/>
      <c r="P16" s="44"/>
      <c r="Q16" s="42"/>
    </row>
    <row r="17" ht="22.5" customHeight="1">
      <c r="B17" s="26" t="s">
        <v>294</v>
      </c>
      <c r="C17" s="28">
        <v>46267.0</v>
      </c>
      <c r="D17" s="170" t="s">
        <v>52</v>
      </c>
      <c r="E17" s="28">
        <v>46269.0</v>
      </c>
      <c r="F17" s="28"/>
      <c r="G17" s="33" t="s">
        <v>295</v>
      </c>
      <c r="H17" s="33" t="s">
        <v>296</v>
      </c>
      <c r="I17" s="26" t="s">
        <v>65</v>
      </c>
      <c r="J17" s="168" t="s">
        <v>74</v>
      </c>
      <c r="K17" s="36">
        <v>47250.0</v>
      </c>
      <c r="L17" s="26" t="s">
        <v>274</v>
      </c>
      <c r="M17" s="51"/>
      <c r="N17" s="42"/>
      <c r="O17" s="44"/>
      <c r="P17" s="44"/>
      <c r="Q17" s="42"/>
    </row>
    <row r="18" ht="22.5" customHeight="1">
      <c r="B18" s="26" t="s">
        <v>277</v>
      </c>
      <c r="C18" s="28">
        <v>46267.0</v>
      </c>
      <c r="D18" s="165" t="s">
        <v>52</v>
      </c>
      <c r="E18" s="28"/>
      <c r="F18" s="28"/>
      <c r="G18" s="33" t="s">
        <v>297</v>
      </c>
      <c r="H18" s="33" t="s">
        <v>298</v>
      </c>
      <c r="I18" s="26" t="s">
        <v>149</v>
      </c>
      <c r="J18" s="172" t="s">
        <v>21</v>
      </c>
      <c r="K18" s="36">
        <v>99400.0</v>
      </c>
      <c r="L18" s="26" t="s">
        <v>274</v>
      </c>
      <c r="M18" s="44"/>
      <c r="N18" s="46"/>
      <c r="O18" s="44"/>
      <c r="P18" s="44"/>
      <c r="Q18" s="42"/>
    </row>
    <row r="19" ht="22.5" customHeight="1">
      <c r="B19" s="26" t="s">
        <v>277</v>
      </c>
      <c r="C19" s="28">
        <v>46268.0</v>
      </c>
      <c r="D19" s="170" t="s">
        <v>52</v>
      </c>
      <c r="E19" s="28">
        <v>46269.0</v>
      </c>
      <c r="F19" s="28"/>
      <c r="G19" s="33" t="s">
        <v>299</v>
      </c>
      <c r="H19" s="33" t="s">
        <v>300</v>
      </c>
      <c r="I19" s="26" t="s">
        <v>65</v>
      </c>
      <c r="J19" s="30" t="s">
        <v>74</v>
      </c>
      <c r="K19" s="36">
        <v>34100.0</v>
      </c>
      <c r="L19" s="26" t="s">
        <v>283</v>
      </c>
      <c r="M19" s="44"/>
      <c r="N19" s="46"/>
      <c r="O19" s="44"/>
      <c r="P19" s="44"/>
      <c r="Q19" s="42"/>
    </row>
    <row r="20" ht="22.5" customHeight="1">
      <c r="B20" s="26" t="s">
        <v>277</v>
      </c>
      <c r="C20" s="28">
        <v>46268.0</v>
      </c>
      <c r="D20" s="170" t="s">
        <v>54</v>
      </c>
      <c r="E20" s="28"/>
      <c r="F20" s="28"/>
      <c r="G20" s="33" t="s">
        <v>301</v>
      </c>
      <c r="H20" s="33" t="s">
        <v>302</v>
      </c>
      <c r="I20" s="26" t="s">
        <v>149</v>
      </c>
      <c r="J20" s="30" t="s">
        <v>21</v>
      </c>
      <c r="K20" s="36"/>
      <c r="L20" s="26" t="s">
        <v>280</v>
      </c>
      <c r="M20" s="44"/>
      <c r="N20" s="46"/>
      <c r="O20" s="44"/>
      <c r="P20" s="44"/>
      <c r="Q20" s="42"/>
    </row>
    <row r="21" ht="22.5" customHeight="1">
      <c r="B21" s="26" t="s">
        <v>268</v>
      </c>
      <c r="C21" s="28"/>
      <c r="D21" s="170"/>
      <c r="E21" s="28"/>
      <c r="F21" s="28"/>
      <c r="G21" s="33" t="s">
        <v>303</v>
      </c>
      <c r="H21" s="33" t="s">
        <v>304</v>
      </c>
      <c r="I21" s="26" t="s">
        <v>65</v>
      </c>
      <c r="J21" s="30" t="s">
        <v>22</v>
      </c>
      <c r="K21" s="36">
        <v>79300.0</v>
      </c>
      <c r="L21" s="26" t="s">
        <v>274</v>
      </c>
      <c r="M21" s="44"/>
      <c r="N21" s="46"/>
      <c r="O21" s="44"/>
      <c r="P21" s="44"/>
      <c r="Q21" s="42"/>
    </row>
    <row r="22" ht="22.5" customHeight="1">
      <c r="B22" s="26"/>
      <c r="C22" s="28">
        <v>46272.0</v>
      </c>
      <c r="D22" s="170" t="s">
        <v>54</v>
      </c>
      <c r="E22" s="28"/>
      <c r="F22" s="28"/>
      <c r="G22" s="33" t="s">
        <v>305</v>
      </c>
      <c r="H22" s="33" t="s">
        <v>306</v>
      </c>
      <c r="I22" s="26" t="s">
        <v>149</v>
      </c>
      <c r="J22" s="30" t="s">
        <v>22</v>
      </c>
      <c r="K22" s="36">
        <v>78900.0</v>
      </c>
      <c r="L22" s="26" t="s">
        <v>274</v>
      </c>
      <c r="M22" s="44"/>
      <c r="N22" s="46"/>
      <c r="O22" s="44"/>
      <c r="P22" s="44"/>
      <c r="Q22" s="26"/>
    </row>
    <row r="23" ht="22.5" customHeight="1">
      <c r="B23" s="26" t="s">
        <v>277</v>
      </c>
      <c r="C23" s="28"/>
      <c r="D23" s="170"/>
      <c r="E23" s="28"/>
      <c r="F23" s="28"/>
      <c r="G23" s="33" t="s">
        <v>307</v>
      </c>
      <c r="H23" s="33" t="s">
        <v>308</v>
      </c>
      <c r="I23" s="26" t="s">
        <v>111</v>
      </c>
      <c r="J23" s="30" t="s">
        <v>22</v>
      </c>
      <c r="K23" s="36">
        <v>78900.0</v>
      </c>
      <c r="L23" s="26" t="s">
        <v>274</v>
      </c>
      <c r="M23" s="44"/>
      <c r="N23" s="42"/>
      <c r="O23" s="44"/>
      <c r="P23" s="44"/>
      <c r="Q23" s="42"/>
    </row>
    <row r="24" ht="22.5" customHeight="1">
      <c r="B24" s="26"/>
      <c r="C24" s="28"/>
      <c r="D24" s="170"/>
      <c r="E24" s="28"/>
      <c r="F24" s="28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42"/>
    </row>
    <row r="25" ht="22.5" customHeight="1">
      <c r="B25" s="26"/>
      <c r="C25" s="28"/>
      <c r="D25" s="170"/>
      <c r="E25" s="28"/>
      <c r="F25" s="28"/>
      <c r="G25" s="33"/>
      <c r="H25" s="33"/>
      <c r="I25" s="26"/>
      <c r="J25" s="30"/>
      <c r="K25" s="36"/>
      <c r="L25" s="26"/>
      <c r="M25" s="44"/>
      <c r="N25" s="42"/>
      <c r="O25" s="44"/>
      <c r="P25" s="44"/>
      <c r="Q25" s="42"/>
    </row>
    <row r="26" ht="22.5" customHeight="1">
      <c r="B26" s="26"/>
      <c r="C26" s="28"/>
      <c r="D26" s="170"/>
      <c r="E26" s="28"/>
      <c r="F26" s="28"/>
      <c r="G26" s="33"/>
      <c r="H26" s="33"/>
      <c r="I26" s="26"/>
      <c r="J26" s="30"/>
      <c r="K26" s="36"/>
      <c r="L26" s="26"/>
      <c r="M26" s="44"/>
      <c r="N26" s="46"/>
      <c r="O26" s="44"/>
      <c r="P26" s="44"/>
      <c r="Q26" s="42"/>
    </row>
    <row r="27" ht="22.5" customHeight="1">
      <c r="B27" s="26"/>
      <c r="C27" s="28"/>
      <c r="D27" s="170"/>
      <c r="E27" s="28"/>
      <c r="F27" s="28"/>
      <c r="G27" s="33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26"/>
      <c r="C28" s="28"/>
      <c r="D28" s="170"/>
      <c r="E28" s="28"/>
      <c r="F28" s="28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26"/>
      <c r="C29" s="28"/>
      <c r="D29" s="170"/>
      <c r="E29" s="28"/>
      <c r="F29" s="28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26"/>
    </row>
    <row r="30" ht="22.5" customHeight="1">
      <c r="B30" s="26"/>
      <c r="C30" s="60"/>
      <c r="D30" s="180"/>
      <c r="E30" s="60"/>
      <c r="F30" s="28"/>
      <c r="G30" s="33"/>
      <c r="H30" s="33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26"/>
      <c r="C31" s="28"/>
      <c r="D31" s="170"/>
      <c r="E31" s="28"/>
      <c r="F31" s="28"/>
      <c r="G31" s="33"/>
      <c r="H31" s="33"/>
      <c r="I31" s="26"/>
      <c r="J31" s="30"/>
      <c r="K31" s="36"/>
      <c r="L31" s="26"/>
      <c r="M31" s="44"/>
      <c r="N31" s="46"/>
      <c r="O31" s="44"/>
      <c r="P31" s="44"/>
      <c r="Q31" s="26"/>
    </row>
    <row r="32" ht="22.5" customHeight="1">
      <c r="B32" s="26"/>
      <c r="C32" s="28"/>
      <c r="D32" s="170"/>
      <c r="E32" s="28"/>
      <c r="F32" s="28"/>
      <c r="G32" s="33"/>
      <c r="H32" s="33"/>
      <c r="I32" s="26"/>
      <c r="J32" s="30"/>
      <c r="K32" s="36"/>
      <c r="L32" s="26"/>
      <c r="M32" s="44"/>
      <c r="N32" s="46"/>
      <c r="O32" s="44"/>
      <c r="P32" s="44"/>
      <c r="Q32" s="42"/>
    </row>
    <row r="33" ht="22.5" customHeight="1">
      <c r="B33" s="26"/>
      <c r="C33" s="28"/>
      <c r="D33" s="170"/>
      <c r="E33" s="60"/>
      <c r="F33" s="60"/>
      <c r="G33" s="33"/>
      <c r="H33" s="33"/>
      <c r="I33" s="26"/>
      <c r="J33" s="30"/>
      <c r="K33" s="36"/>
      <c r="L33" s="26"/>
      <c r="M33" s="44"/>
      <c r="N33" s="42"/>
      <c r="O33" s="44"/>
      <c r="P33" s="44"/>
      <c r="Q33" s="42"/>
    </row>
    <row r="34" ht="22.5" customHeight="1">
      <c r="B34" s="26"/>
      <c r="C34" s="28"/>
      <c r="D34" s="170"/>
      <c r="E34" s="28"/>
      <c r="F34" s="60"/>
      <c r="G34" s="33"/>
      <c r="H34" s="33"/>
      <c r="I34" s="26"/>
      <c r="J34" s="30"/>
      <c r="K34" s="36"/>
      <c r="L34" s="26"/>
      <c r="M34" s="44"/>
      <c r="N34" s="42"/>
      <c r="O34" s="44"/>
      <c r="P34" s="44"/>
      <c r="Q34" s="42"/>
    </row>
    <row r="35" ht="22.5" customHeight="1">
      <c r="B35" s="26"/>
      <c r="C35" s="28"/>
      <c r="D35" s="170"/>
      <c r="E35" s="60"/>
      <c r="F35" s="60"/>
      <c r="G35" s="33"/>
      <c r="H35" s="33"/>
      <c r="I35" s="26"/>
      <c r="J35" s="30"/>
      <c r="K35" s="36"/>
      <c r="L35" s="26"/>
      <c r="M35" s="44"/>
      <c r="N35" s="42"/>
      <c r="O35" s="44"/>
      <c r="P35" s="44"/>
      <c r="Q35" s="42"/>
    </row>
    <row r="36" ht="22.5" customHeight="1">
      <c r="B36" s="26"/>
      <c r="C36" s="28"/>
      <c r="D36" s="170"/>
      <c r="E36" s="28"/>
      <c r="F36" s="60"/>
      <c r="G36" s="33"/>
      <c r="H36" s="33"/>
      <c r="I36" s="26"/>
      <c r="J36" s="30"/>
      <c r="K36" s="36"/>
      <c r="L36" s="26"/>
      <c r="M36" s="44"/>
      <c r="N36" s="42"/>
      <c r="O36" s="44"/>
      <c r="P36" s="44"/>
      <c r="Q36" s="42"/>
    </row>
    <row r="37" ht="22.5" customHeight="1">
      <c r="B37" s="26"/>
      <c r="C37" s="60"/>
      <c r="D37" s="180"/>
      <c r="E37" s="60"/>
      <c r="F37" s="60"/>
      <c r="G37" s="33"/>
      <c r="H37" s="33"/>
      <c r="I37" s="26"/>
      <c r="J37" s="44"/>
      <c r="K37" s="36"/>
      <c r="L37" s="26"/>
      <c r="M37" s="44"/>
      <c r="N37" s="42"/>
      <c r="O37" s="44"/>
      <c r="P37" s="44"/>
      <c r="Q37" s="42"/>
    </row>
    <row r="38" ht="22.5" customHeight="1">
      <c r="B38" s="42"/>
      <c r="C38" s="60"/>
      <c r="D38" s="180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180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180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180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180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180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180"/>
      <c r="E44" s="60"/>
      <c r="F44" s="60"/>
      <c r="G44" s="33"/>
      <c r="H44" s="33"/>
      <c r="I44" s="26"/>
      <c r="J44" s="30"/>
      <c r="K44" s="36"/>
      <c r="L44" s="26"/>
      <c r="M44" s="44"/>
      <c r="N44" s="42"/>
      <c r="O44" s="44"/>
      <c r="P44" s="44"/>
      <c r="Q44" s="42"/>
    </row>
    <row r="45" ht="22.5" customHeight="1">
      <c r="B45" s="42"/>
      <c r="C45" s="60"/>
      <c r="D45" s="180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180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180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180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180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180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180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180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158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2000000.0</v>
      </c>
      <c r="F4" s="15">
        <f>SUMIFS(OPI_7[MAF NETO],OPI_7[ESTADO],"Desembolsado")</f>
        <v>0</v>
      </c>
      <c r="G4" s="15">
        <f>F4-E4</f>
        <v>-2000000</v>
      </c>
      <c r="H4" s="16">
        <f>SUMIFS(OPI_7[MAF NETO],OPI_7[ESTADO],H$3)</f>
        <v>0</v>
      </c>
      <c r="I4" s="16">
        <f>SUMIFS(OPI_7[MAF NETO],OPI_7[ESTADO],I$3)</f>
        <v>0</v>
      </c>
      <c r="J4" s="16">
        <f>SUMIFS(OPI_7[MAF NETO],OPI_7[ESTADO],J$3)</f>
        <v>0</v>
      </c>
      <c r="K4" s="16">
        <f>SUMIFS(OPI_7[MAF NETO],OPI_7[ESTADO],K$3)</f>
        <v>0</v>
      </c>
      <c r="L4" s="16">
        <f>SUMIFS(OPI_7[MAF NETO],OPI_7[ESTADO],L$3)</f>
        <v>0</v>
      </c>
      <c r="M4" s="16">
        <f>SUMIFS(OPI_7[MAF NETO],OPI_7[ESTADO],M$3)</f>
        <v>0</v>
      </c>
      <c r="N4" s="16">
        <f>SUMIFS(OPI_7[MAF NETO],OPI_7[ESTADO],N$3)</f>
        <v>0</v>
      </c>
    </row>
    <row r="5" ht="26.25" customHeight="1">
      <c r="D5" s="17" t="s">
        <v>31</v>
      </c>
      <c r="E5" s="18" t="s">
        <v>32</v>
      </c>
      <c r="F5" s="19">
        <f>COUNTIFS(OPI_7[ESTADO],"Desembolsado")</f>
        <v>0</v>
      </c>
      <c r="G5" s="20">
        <f>IFERROR(F4/E4,"")</f>
        <v>0</v>
      </c>
      <c r="H5" s="19">
        <f>COUNTIFS(OPI_7[ESTADO],H$3)</f>
        <v>0</v>
      </c>
      <c r="I5" s="19">
        <f>COUNTIFS(OPI_7[ESTADO],I$3)</f>
        <v>0</v>
      </c>
      <c r="J5" s="19">
        <f>COUNTIFS(OPI_7[ESTADO],J$3)</f>
        <v>0</v>
      </c>
      <c r="K5" s="19">
        <f>COUNTIFS(OPI_7[ESTADO],K$3)</f>
        <v>0</v>
      </c>
      <c r="L5" s="19">
        <f>COUNTIFS(OPI_7[ESTADO],L$3)</f>
        <v>0</v>
      </c>
      <c r="M5" s="19">
        <f>COUNTIFS(OPI_7[ESTADO],M$3)</f>
        <v>0</v>
      </c>
      <c r="N5" s="19">
        <f>COUNTIFS(OPI_7[ESTADO],N$3)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61"/>
      <c r="E10" s="28"/>
      <c r="F10" s="28"/>
      <c r="G10" s="33"/>
      <c r="H10" s="33"/>
      <c r="I10" s="28"/>
      <c r="J10" s="61"/>
      <c r="K10" s="36"/>
      <c r="L10" s="26"/>
      <c r="M10" s="30"/>
      <c r="N10" s="26"/>
      <c r="O10" s="51"/>
      <c r="P10" s="51"/>
      <c r="Q10" s="26"/>
    </row>
    <row r="11" ht="22.5" customHeight="1">
      <c r="B11" s="26"/>
      <c r="C11" s="28"/>
      <c r="D11" s="61"/>
      <c r="E11" s="28"/>
      <c r="F11" s="28"/>
      <c r="G11" s="33"/>
      <c r="H11" s="33"/>
      <c r="I11" s="28"/>
      <c r="J11" s="175"/>
      <c r="K11" s="36"/>
      <c r="L11" s="26"/>
      <c r="M11" s="30"/>
      <c r="N11" s="26"/>
      <c r="O11" s="51"/>
      <c r="P11" s="51"/>
      <c r="Q11" s="26"/>
    </row>
    <row r="12" ht="22.5" customHeight="1">
      <c r="B12" s="26"/>
      <c r="C12" s="28"/>
      <c r="D12" s="176"/>
      <c r="E12" s="28"/>
      <c r="F12" s="28"/>
      <c r="G12" s="33"/>
      <c r="H12" s="33"/>
      <c r="I12" s="28"/>
      <c r="J12" s="177"/>
      <c r="K12" s="36"/>
      <c r="L12" s="26"/>
      <c r="M12" s="51"/>
      <c r="N12" s="26"/>
      <c r="O12" s="51"/>
      <c r="P12" s="51"/>
      <c r="Q12" s="26"/>
    </row>
    <row r="13" ht="22.5" customHeight="1">
      <c r="B13" s="26"/>
      <c r="C13" s="28"/>
      <c r="D13" s="61"/>
      <c r="E13" s="28"/>
      <c r="F13" s="28"/>
      <c r="G13" s="33"/>
      <c r="H13" s="33"/>
      <c r="I13" s="28"/>
      <c r="J13" s="61"/>
      <c r="K13" s="36"/>
      <c r="L13" s="26"/>
      <c r="M13" s="30"/>
      <c r="N13" s="26"/>
      <c r="O13" s="51"/>
      <c r="P13" s="51"/>
      <c r="Q13" s="26"/>
    </row>
    <row r="14" ht="22.5" customHeight="1">
      <c r="B14" s="26"/>
      <c r="C14" s="28"/>
      <c r="D14" s="176"/>
      <c r="E14" s="28"/>
      <c r="F14" s="28"/>
      <c r="G14" s="33"/>
      <c r="H14" s="33"/>
      <c r="I14" s="28"/>
      <c r="J14" s="177"/>
      <c r="K14" s="167"/>
      <c r="L14" s="26"/>
      <c r="M14" s="51"/>
      <c r="N14" s="26"/>
      <c r="O14" s="51"/>
      <c r="P14" s="51"/>
      <c r="Q14" s="26"/>
    </row>
    <row r="15" ht="22.5" customHeight="1">
      <c r="B15" s="26"/>
      <c r="C15" s="28"/>
      <c r="D15" s="61"/>
      <c r="E15" s="28"/>
      <c r="F15" s="28"/>
      <c r="G15" s="33"/>
      <c r="H15" s="33"/>
      <c r="I15" s="28"/>
      <c r="J15" s="178"/>
      <c r="K15" s="36"/>
      <c r="L15" s="26"/>
      <c r="M15" s="51"/>
      <c r="N15" s="26"/>
      <c r="O15" s="51"/>
      <c r="P15" s="51"/>
      <c r="Q15" s="26"/>
    </row>
    <row r="16" ht="22.5" customHeight="1">
      <c r="B16" s="26"/>
      <c r="C16" s="28"/>
      <c r="D16" s="176"/>
      <c r="E16" s="28"/>
      <c r="F16" s="28"/>
      <c r="G16" s="33"/>
      <c r="H16" s="33"/>
      <c r="I16" s="28"/>
      <c r="J16" s="175"/>
      <c r="K16" s="36"/>
      <c r="L16" s="26"/>
      <c r="M16" s="30"/>
      <c r="N16" s="26"/>
      <c r="O16" s="51"/>
      <c r="P16" s="51"/>
      <c r="Q16" s="26"/>
    </row>
    <row r="17" ht="22.5" customHeight="1">
      <c r="B17" s="26"/>
      <c r="C17" s="28"/>
      <c r="D17" s="61"/>
      <c r="E17" s="28"/>
      <c r="F17" s="28"/>
      <c r="G17" s="33"/>
      <c r="H17" s="33"/>
      <c r="I17" s="28"/>
      <c r="J17" s="178"/>
      <c r="K17" s="36"/>
      <c r="L17" s="26"/>
      <c r="M17" s="30"/>
      <c r="N17" s="26"/>
      <c r="O17" s="51"/>
      <c r="P17" s="51"/>
      <c r="Q17" s="26"/>
    </row>
    <row r="18" ht="22.5" customHeight="1">
      <c r="B18" s="26"/>
      <c r="C18" s="28"/>
      <c r="D18" s="30"/>
      <c r="E18" s="28"/>
      <c r="F18" s="137"/>
      <c r="G18" s="33"/>
      <c r="H18" s="33"/>
      <c r="I18" s="26"/>
      <c r="J18" s="30"/>
      <c r="K18" s="36"/>
      <c r="L18" s="26"/>
      <c r="M18" s="30"/>
      <c r="N18" s="42"/>
      <c r="O18" s="44"/>
      <c r="P18" s="44"/>
      <c r="Q18" s="42"/>
    </row>
    <row r="19" ht="22.5" customHeight="1">
      <c r="B19" s="26"/>
      <c r="C19" s="28"/>
      <c r="D19" s="30"/>
      <c r="E19" s="28"/>
      <c r="F19" s="60"/>
      <c r="G19" s="33"/>
      <c r="H19" s="33"/>
      <c r="I19" s="26"/>
      <c r="J19" s="30"/>
      <c r="K19" s="36"/>
      <c r="L19" s="26"/>
      <c r="M19" s="30"/>
      <c r="N19" s="26"/>
      <c r="O19" s="44"/>
      <c r="P19" s="44"/>
      <c r="Q19" s="42"/>
    </row>
    <row r="20" ht="22.5" customHeight="1">
      <c r="B20" s="26"/>
      <c r="C20" s="28"/>
      <c r="D20" s="30"/>
      <c r="E20" s="28"/>
      <c r="F20" s="60"/>
      <c r="G20" s="33"/>
      <c r="H20" s="33"/>
      <c r="I20" s="26"/>
      <c r="J20" s="30"/>
      <c r="K20" s="36"/>
      <c r="L20" s="26"/>
      <c r="M20" s="30"/>
      <c r="N20" s="26"/>
      <c r="O20" s="44"/>
      <c r="P20" s="44"/>
      <c r="Q20" s="42"/>
    </row>
    <row r="21" ht="22.5" customHeight="1">
      <c r="B21" s="26"/>
      <c r="C21" s="28"/>
      <c r="D21" s="30"/>
      <c r="E21" s="28"/>
      <c r="F21" s="28"/>
      <c r="G21" s="33"/>
      <c r="H21" s="33"/>
      <c r="I21" s="26"/>
      <c r="J21" s="30"/>
      <c r="K21" s="36"/>
      <c r="L21" s="181"/>
      <c r="M21" s="30"/>
      <c r="N21" s="26"/>
      <c r="O21" s="44"/>
      <c r="P21" s="44"/>
      <c r="Q21" s="42"/>
    </row>
    <row r="22" ht="22.5" customHeight="1">
      <c r="B22" s="26"/>
      <c r="C22" s="28"/>
      <c r="D22" s="30"/>
      <c r="E22" s="60"/>
      <c r="F22" s="28"/>
      <c r="G22" s="33"/>
      <c r="H22" s="33"/>
      <c r="I22" s="26"/>
      <c r="J22" s="30"/>
      <c r="K22" s="36"/>
      <c r="L22" s="26"/>
      <c r="M22" s="30"/>
      <c r="N22" s="26"/>
      <c r="O22" s="44"/>
      <c r="P22" s="44"/>
      <c r="Q22" s="42"/>
    </row>
    <row r="23" ht="22.5" customHeight="1">
      <c r="B23" s="26"/>
      <c r="C23" s="28"/>
      <c r="D23" s="30"/>
      <c r="E23" s="28"/>
      <c r="F23" s="28"/>
      <c r="G23" s="33"/>
      <c r="H23" s="33"/>
      <c r="I23" s="26"/>
      <c r="J23" s="30"/>
      <c r="K23" s="36"/>
      <c r="L23" s="26"/>
      <c r="M23" s="30"/>
      <c r="N23" s="42"/>
      <c r="O23" s="44"/>
      <c r="P23" s="44"/>
      <c r="Q23" s="42"/>
    </row>
    <row r="24" ht="22.5" customHeight="1">
      <c r="B24" s="26"/>
      <c r="C24" s="28"/>
      <c r="D24" s="30"/>
      <c r="E24" s="28"/>
      <c r="F24" s="60"/>
      <c r="G24" s="33"/>
      <c r="H24" s="33"/>
      <c r="I24" s="26"/>
      <c r="J24" s="30"/>
      <c r="K24" s="36"/>
      <c r="L24" s="26"/>
      <c r="M24" s="30"/>
      <c r="N24" s="26"/>
      <c r="O24" s="44"/>
      <c r="P24" s="44"/>
      <c r="Q24" s="42"/>
    </row>
    <row r="25" ht="22.5" customHeight="1">
      <c r="B25" s="26"/>
      <c r="C25" s="28"/>
      <c r="D25" s="30"/>
      <c r="E25" s="28"/>
      <c r="F25" s="28"/>
      <c r="G25" s="33"/>
      <c r="H25" s="33"/>
      <c r="I25" s="26"/>
      <c r="J25" s="30"/>
      <c r="K25" s="36"/>
      <c r="L25" s="181"/>
      <c r="M25" s="44"/>
      <c r="N25" s="26"/>
      <c r="O25" s="44"/>
      <c r="P25" s="44"/>
      <c r="Q25" s="42"/>
    </row>
    <row r="26" ht="22.5" customHeight="1">
      <c r="B26" s="26"/>
      <c r="C26" s="28"/>
      <c r="D26" s="30"/>
      <c r="E26" s="28"/>
      <c r="F26" s="28"/>
      <c r="G26" s="33"/>
      <c r="H26" s="33"/>
      <c r="I26" s="26"/>
      <c r="J26" s="30"/>
      <c r="K26" s="36"/>
      <c r="L26" s="26"/>
      <c r="M26" s="44"/>
      <c r="N26" s="26"/>
      <c r="O26" s="44"/>
      <c r="P26" s="44"/>
      <c r="Q26" s="42"/>
    </row>
    <row r="27" ht="22.5" customHeight="1">
      <c r="B27" s="26"/>
      <c r="C27" s="28"/>
      <c r="D27" s="30"/>
      <c r="E27" s="28"/>
      <c r="F27" s="60"/>
      <c r="G27" s="33"/>
      <c r="H27" s="33"/>
      <c r="I27" s="26"/>
      <c r="J27" s="30"/>
      <c r="K27" s="36"/>
      <c r="L27" s="26"/>
      <c r="M27" s="30"/>
      <c r="N27" s="42"/>
      <c r="O27" s="44"/>
      <c r="P27" s="44"/>
      <c r="Q27" s="42"/>
    </row>
    <row r="28" ht="22.5" customHeight="1">
      <c r="B28" s="26"/>
      <c r="C28" s="28"/>
      <c r="D28" s="30"/>
      <c r="E28" s="28"/>
      <c r="F28" s="28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26"/>
      <c r="C29" s="28"/>
      <c r="D29" s="30"/>
      <c r="E29" s="28"/>
      <c r="F29" s="60"/>
      <c r="G29" s="33"/>
      <c r="H29" s="33"/>
      <c r="I29" s="26"/>
      <c r="J29" s="30"/>
      <c r="K29" s="36"/>
      <c r="L29" s="26"/>
      <c r="M29" s="44"/>
      <c r="N29" s="42"/>
      <c r="O29" s="30"/>
      <c r="P29" s="44"/>
      <c r="Q29" s="42"/>
    </row>
    <row r="30" ht="22.5" customHeight="1">
      <c r="B30" s="26"/>
      <c r="C30" s="28"/>
      <c r="D30" s="30"/>
      <c r="E30" s="28"/>
      <c r="F30" s="60"/>
      <c r="G30" s="33"/>
      <c r="H30" s="33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26"/>
      <c r="C31" s="28"/>
      <c r="D31" s="30"/>
      <c r="E31" s="28"/>
      <c r="F31" s="60"/>
      <c r="G31" s="33"/>
      <c r="H31" s="114"/>
      <c r="I31" s="26"/>
      <c r="J31" s="30"/>
      <c r="K31" s="36"/>
      <c r="L31" s="26"/>
      <c r="M31" s="44"/>
      <c r="N31" s="42"/>
      <c r="O31" s="44"/>
      <c r="P31" s="44"/>
      <c r="Q31" s="42"/>
    </row>
    <row r="32" ht="22.5" customHeight="1">
      <c r="B32" s="26"/>
      <c r="C32" s="28"/>
      <c r="D32" s="30"/>
      <c r="E32" s="28"/>
      <c r="F32" s="60"/>
      <c r="G32" s="33"/>
      <c r="H32" s="114"/>
      <c r="I32" s="26"/>
      <c r="J32" s="30"/>
      <c r="K32" s="36"/>
      <c r="L32" s="26"/>
      <c r="M32" s="44"/>
      <c r="N32" s="26"/>
      <c r="O32" s="44"/>
      <c r="P32" s="44"/>
      <c r="Q32" s="42"/>
    </row>
    <row r="33" ht="22.5" customHeight="1">
      <c r="B33" s="26"/>
      <c r="C33" s="28"/>
      <c r="D33" s="30"/>
      <c r="E33" s="28"/>
      <c r="F33" s="28"/>
      <c r="G33" s="114"/>
      <c r="H33" s="33"/>
      <c r="I33" s="26"/>
      <c r="J33" s="30"/>
      <c r="K33" s="36"/>
      <c r="L33" s="26"/>
      <c r="M33" s="44"/>
      <c r="N33" s="26"/>
      <c r="O33" s="44"/>
      <c r="P33" s="44"/>
      <c r="Q33" s="42"/>
    </row>
    <row r="34" ht="22.5" customHeight="1">
      <c r="B34" s="26"/>
      <c r="C34" s="28"/>
      <c r="D34" s="30"/>
      <c r="E34" s="28"/>
      <c r="F34" s="28"/>
      <c r="G34" s="33"/>
      <c r="H34" s="33"/>
      <c r="I34" s="26"/>
      <c r="J34" s="30"/>
      <c r="K34" s="36"/>
      <c r="L34" s="26"/>
      <c r="M34" s="44"/>
      <c r="N34" s="26"/>
      <c r="O34" s="44"/>
      <c r="P34" s="44"/>
      <c r="Q34" s="42"/>
    </row>
    <row r="35" ht="22.5" customHeight="1">
      <c r="B35" s="26"/>
      <c r="C35" s="28"/>
      <c r="D35" s="30"/>
      <c r="E35" s="28"/>
      <c r="F35" s="60"/>
      <c r="G35" s="33"/>
      <c r="H35" s="33"/>
      <c r="I35" s="26"/>
      <c r="J35" s="30"/>
      <c r="K35" s="36"/>
      <c r="L35" s="26"/>
      <c r="M35" s="44"/>
      <c r="N35" s="42"/>
      <c r="O35" s="44"/>
      <c r="P35" s="44"/>
      <c r="Q35" s="42"/>
    </row>
    <row r="36" ht="22.5" customHeight="1">
      <c r="B36" s="26"/>
      <c r="C36" s="28"/>
      <c r="D36" s="30"/>
      <c r="E36" s="28"/>
      <c r="F36" s="28"/>
      <c r="G36" s="33"/>
      <c r="H36" s="33"/>
      <c r="I36" s="26"/>
      <c r="J36" s="30"/>
      <c r="K36" s="36"/>
      <c r="L36" s="26"/>
      <c r="M36" s="30"/>
      <c r="N36" s="26"/>
      <c r="O36" s="44"/>
      <c r="P36" s="44"/>
      <c r="Q36" s="42"/>
    </row>
    <row r="37" ht="22.5" customHeight="1">
      <c r="B37" s="26"/>
      <c r="C37" s="28"/>
      <c r="D37" s="30"/>
      <c r="E37" s="60"/>
      <c r="F37" s="28"/>
      <c r="G37" s="33"/>
      <c r="H37" s="33"/>
      <c r="I37" s="26"/>
      <c r="J37" s="30"/>
      <c r="K37" s="36"/>
      <c r="L37" s="26"/>
      <c r="M37" s="44"/>
      <c r="N37" s="42"/>
      <c r="O37" s="44"/>
      <c r="P37" s="44"/>
      <c r="Q37" s="42"/>
    </row>
    <row r="38" ht="22.5" customHeight="1">
      <c r="B38" s="26"/>
      <c r="C38" s="28"/>
      <c r="D38" s="30"/>
      <c r="E38" s="28"/>
      <c r="F38" s="28"/>
      <c r="G38" s="33"/>
      <c r="H38" s="33"/>
      <c r="I38" s="26"/>
      <c r="J38" s="30"/>
      <c r="K38" s="36"/>
      <c r="L38" s="26"/>
      <c r="M38" s="30"/>
      <c r="N38" s="26"/>
      <c r="O38" s="44"/>
      <c r="P38" s="44"/>
      <c r="Q38" s="42"/>
    </row>
    <row r="39" ht="22.5" customHeight="1">
      <c r="B39" s="26"/>
      <c r="C39" s="28"/>
      <c r="D39" s="30"/>
      <c r="E39" s="60"/>
      <c r="F39" s="60"/>
      <c r="G39" s="33"/>
      <c r="H39" s="33"/>
      <c r="I39" s="26"/>
      <c r="J39" s="30"/>
      <c r="K39" s="36"/>
      <c r="L39" s="26"/>
      <c r="M39" s="44"/>
      <c r="N39" s="42"/>
      <c r="O39" s="44"/>
      <c r="P39" s="44"/>
      <c r="Q39" s="42"/>
    </row>
    <row r="40" ht="22.5" customHeight="1">
      <c r="B40" s="26"/>
      <c r="C40" s="28"/>
      <c r="D40" s="30"/>
      <c r="E40" s="60"/>
      <c r="F40" s="28"/>
      <c r="G40" s="33"/>
      <c r="H40" s="33"/>
      <c r="I40" s="26"/>
      <c r="J40" s="30"/>
      <c r="K40" s="36"/>
      <c r="L40" s="26"/>
      <c r="M40" s="44"/>
      <c r="N40" s="42"/>
      <c r="O40" s="44"/>
      <c r="P40" s="44"/>
      <c r="Q40" s="42"/>
    </row>
    <row r="41" ht="22.5" customHeight="1">
      <c r="B41" s="26"/>
      <c r="C41" s="28"/>
      <c r="D41" s="30"/>
      <c r="E41" s="60"/>
      <c r="F41" s="60"/>
      <c r="G41" s="33"/>
      <c r="H41" s="33"/>
      <c r="I41" s="26"/>
      <c r="J41" s="30"/>
      <c r="K41" s="36"/>
      <c r="L41" s="26"/>
      <c r="M41" s="44"/>
      <c r="N41" s="26"/>
      <c r="O41" s="44"/>
      <c r="P41" s="44"/>
      <c r="Q41" s="42"/>
    </row>
    <row r="42" ht="22.5" customHeight="1">
      <c r="B42" s="26"/>
      <c r="C42" s="28"/>
      <c r="D42" s="30"/>
      <c r="E42" s="60"/>
      <c r="F42" s="28"/>
      <c r="G42" s="114"/>
      <c r="H42" s="114"/>
      <c r="I42" s="26"/>
      <c r="J42" s="30"/>
      <c r="K42" s="36"/>
      <c r="L42" s="26"/>
      <c r="M42" s="44"/>
      <c r="N42" s="42"/>
      <c r="O42" s="44"/>
      <c r="P42" s="44"/>
      <c r="Q42" s="42"/>
    </row>
    <row r="43" ht="22.5" customHeight="1">
      <c r="B43" s="26"/>
      <c r="C43" s="28"/>
      <c r="D43" s="30"/>
      <c r="E43" s="60"/>
      <c r="F43" s="60"/>
      <c r="G43" s="33"/>
      <c r="H43" s="33"/>
      <c r="I43" s="26"/>
      <c r="J43" s="30"/>
      <c r="K43" s="36"/>
      <c r="L43" s="26"/>
      <c r="M43" s="44"/>
      <c r="N43" s="42"/>
      <c r="O43" s="44"/>
      <c r="P43" s="44"/>
      <c r="Q43" s="42"/>
    </row>
    <row r="44" ht="22.5" customHeight="1">
      <c r="B44" s="26"/>
      <c r="C44" s="28"/>
      <c r="D44" s="30"/>
      <c r="E44" s="60"/>
      <c r="F44" s="60"/>
      <c r="G44" s="33"/>
      <c r="H44" s="33"/>
      <c r="I44" s="26"/>
      <c r="J44" s="30"/>
      <c r="K44" s="36"/>
      <c r="L44" s="26"/>
      <c r="M44" s="44"/>
      <c r="N44" s="26"/>
      <c r="O44" s="44"/>
      <c r="P44" s="44"/>
      <c r="Q44" s="42"/>
    </row>
    <row r="45" ht="22.5" customHeight="1">
      <c r="B45" s="26"/>
      <c r="C45" s="28"/>
      <c r="D45" s="30"/>
      <c r="E45" s="60"/>
      <c r="F45" s="60"/>
      <c r="G45" s="33"/>
      <c r="H45" s="33"/>
      <c r="I45" s="26"/>
      <c r="J45" s="30"/>
      <c r="K45" s="36"/>
      <c r="L45" s="26"/>
      <c r="M45" s="44"/>
      <c r="N45" s="42"/>
      <c r="O45" s="44"/>
      <c r="P45" s="44"/>
      <c r="Q45" s="42"/>
    </row>
    <row r="46" ht="22.5" customHeight="1">
      <c r="B46" s="26"/>
      <c r="C46" s="28"/>
      <c r="D46" s="30"/>
      <c r="E46" s="60"/>
      <c r="F46" s="60"/>
      <c r="G46" s="33"/>
      <c r="H46" s="33"/>
      <c r="I46" s="26"/>
      <c r="J46" s="30"/>
      <c r="K46" s="36"/>
      <c r="L46" s="26"/>
      <c r="M46" s="44"/>
      <c r="N46" s="26"/>
      <c r="O46" s="44"/>
      <c r="P46" s="44"/>
      <c r="Q46" s="42"/>
    </row>
    <row r="47" ht="22.5" customHeight="1">
      <c r="B47" s="26"/>
      <c r="C47" s="28"/>
      <c r="D47" s="30"/>
      <c r="E47" s="60"/>
      <c r="F47" s="28"/>
      <c r="G47" s="33"/>
      <c r="H47" s="33"/>
      <c r="I47" s="26"/>
      <c r="J47" s="30"/>
      <c r="K47" s="36"/>
      <c r="L47" s="26"/>
      <c r="M47" s="44"/>
      <c r="N47" s="26"/>
      <c r="O47" s="44"/>
      <c r="P47" s="44"/>
      <c r="Q47" s="42"/>
    </row>
    <row r="48" ht="22.5" customHeight="1">
      <c r="B48" s="26"/>
      <c r="C48" s="28"/>
      <c r="D48" s="30"/>
      <c r="E48" s="60"/>
      <c r="F48" s="28"/>
      <c r="G48" s="33"/>
      <c r="H48" s="33"/>
      <c r="I48" s="26"/>
      <c r="J48" s="30"/>
      <c r="K48" s="36"/>
      <c r="L48" s="26"/>
      <c r="M48" s="44"/>
      <c r="N48" s="26"/>
      <c r="O48" s="44"/>
      <c r="P48" s="44"/>
      <c r="Q48" s="42"/>
    </row>
    <row r="49" ht="22.5" customHeight="1">
      <c r="B49" s="26"/>
      <c r="C49" s="28"/>
      <c r="D49" s="30"/>
      <c r="E49" s="60"/>
      <c r="F49" s="26"/>
      <c r="G49" s="33"/>
      <c r="H49" s="33"/>
      <c r="I49" s="26"/>
      <c r="J49" s="30"/>
      <c r="K49" s="36"/>
      <c r="L49" s="26"/>
      <c r="M49" s="44"/>
      <c r="N49" s="42"/>
      <c r="O49" s="44"/>
      <c r="P49" s="44"/>
      <c r="Q49" s="42"/>
    </row>
    <row r="50" ht="22.5" customHeight="1">
      <c r="B50" s="26"/>
      <c r="C50" s="28"/>
      <c r="D50" s="30"/>
      <c r="E50" s="60"/>
      <c r="F50" s="60"/>
      <c r="G50" s="33"/>
      <c r="H50" s="33"/>
      <c r="I50" s="26"/>
      <c r="J50" s="30"/>
      <c r="K50" s="36"/>
      <c r="L50" s="26"/>
      <c r="M50" s="44"/>
      <c r="N50" s="26"/>
      <c r="O50" s="44"/>
      <c r="P50" s="44"/>
      <c r="Q50" s="42"/>
    </row>
    <row r="51" ht="22.5" customHeight="1">
      <c r="B51" s="26"/>
      <c r="C51" s="28"/>
      <c r="D51" s="30"/>
      <c r="E51" s="60"/>
      <c r="F51" s="28"/>
      <c r="G51" s="33"/>
      <c r="H51" s="33"/>
      <c r="I51" s="26"/>
      <c r="J51" s="30"/>
      <c r="K51" s="36"/>
      <c r="L51" s="26"/>
      <c r="M51" s="44"/>
      <c r="N51" s="26"/>
      <c r="O51" s="44"/>
      <c r="P51" s="44"/>
      <c r="Q51" s="42"/>
    </row>
    <row r="52" ht="22.5" customHeight="1">
      <c r="B52" s="26"/>
      <c r="C52" s="28"/>
      <c r="D52" s="30"/>
      <c r="E52" s="60"/>
      <c r="F52" s="60"/>
      <c r="G52" s="33"/>
      <c r="H52" s="33"/>
      <c r="I52" s="26"/>
      <c r="J52" s="30"/>
      <c r="K52" s="36"/>
      <c r="L52" s="26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SUMIFS(OPI_20[MAF NETO],OPI_20[ESTADO],"Desembolsado")</f>
        <v>160880</v>
      </c>
      <c r="G4" s="15">
        <f>F4-E4</f>
        <v>-839120</v>
      </c>
      <c r="H4" s="16">
        <f>SUMIFS(OPI_20[MAF NETO],OPI_20[ESTADO],H$3)</f>
        <v>113500</v>
      </c>
      <c r="I4" s="16">
        <f>SUMIFS(OPI_20[MAF NETO],OPI_20[ESTADO],I$3)</f>
        <v>149500</v>
      </c>
      <c r="J4" s="16">
        <f>SUMIFS(OPI_20[MAF NETO],OPI_20[ESTADO],J$3)</f>
        <v>0</v>
      </c>
      <c r="K4" s="16">
        <f>SUMIFS(OPI_20[MAF NETO],OPI_20[ESTADO],K$3)</f>
        <v>0</v>
      </c>
      <c r="L4" s="16">
        <f>SUMIFS(OPI_20[MAF NETO],OPI_20[ESTADO],L$3)</f>
        <v>0</v>
      </c>
      <c r="M4" s="16">
        <f>SUMIFS(OPI_20[MAF NETO],OPI_20[ESTADO],M$3)</f>
        <v>0</v>
      </c>
      <c r="N4" s="16">
        <f>SUMIFS(OPI_20[MAF NETO],OPI_20[ESTADO],N$3)</f>
        <v>0</v>
      </c>
    </row>
    <row r="5" ht="26.25" customHeight="1">
      <c r="D5" s="17" t="s">
        <v>31</v>
      </c>
      <c r="E5" s="18" t="s">
        <v>32</v>
      </c>
      <c r="F5" s="19">
        <f>COUNTIFS(OPI_20[ESTADO],"Desembolsado")</f>
        <v>2</v>
      </c>
      <c r="G5" s="20">
        <f>IFERROR(F4/E4,"")</f>
        <v>0.16088</v>
      </c>
      <c r="H5" s="19">
        <f>COUNTIFS(OPI_20[ESTADO],H$3)</f>
        <v>2</v>
      </c>
      <c r="I5" s="19">
        <f>COUNTIFS(OPI_20[ESTADO],I$3)</f>
        <v>2</v>
      </c>
      <c r="J5" s="19">
        <f>COUNTIFS(OPI_20[ESTADO],J$3)</f>
        <v>0</v>
      </c>
      <c r="K5" s="19">
        <f>COUNTIFS(OPI_20[ESTADO],K$3)</f>
        <v>0</v>
      </c>
      <c r="L5" s="19">
        <f>COUNTIFS(OPI_20[ESTADO],L$3)</f>
        <v>0</v>
      </c>
      <c r="M5" s="19">
        <f>COUNTIFS(OPI_20[ESTADO],M$3)</f>
        <v>0</v>
      </c>
      <c r="N5" s="19">
        <f>COUNTIFS(OPI_20[ESTADO],N$3)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30"/>
      <c r="E10" s="28"/>
      <c r="F10" s="28"/>
      <c r="G10" s="33" t="s">
        <v>309</v>
      </c>
      <c r="H10" s="33" t="s">
        <v>310</v>
      </c>
      <c r="I10" s="38" t="s">
        <v>65</v>
      </c>
      <c r="J10" s="30" t="s">
        <v>19</v>
      </c>
      <c r="K10" s="36">
        <v>105600.0</v>
      </c>
      <c r="L10" s="38" t="s">
        <v>311</v>
      </c>
      <c r="M10" s="51"/>
      <c r="N10" s="179"/>
      <c r="O10" s="44"/>
      <c r="P10" s="44"/>
      <c r="Q10" s="48"/>
    </row>
    <row r="11" ht="22.5" customHeight="1">
      <c r="B11" s="26"/>
      <c r="C11" s="28"/>
      <c r="D11" s="30"/>
      <c r="E11" s="28"/>
      <c r="F11" s="28"/>
      <c r="G11" s="33" t="s">
        <v>312</v>
      </c>
      <c r="H11" s="33" t="s">
        <v>313</v>
      </c>
      <c r="I11" s="38" t="s">
        <v>65</v>
      </c>
      <c r="J11" s="30" t="s">
        <v>22</v>
      </c>
      <c r="K11" s="36">
        <v>62000.0</v>
      </c>
      <c r="L11" s="38" t="s">
        <v>311</v>
      </c>
      <c r="M11" s="30"/>
      <c r="N11" s="179"/>
      <c r="O11" s="30"/>
      <c r="P11" s="44"/>
      <c r="Q11" s="48"/>
    </row>
    <row r="12" ht="22.5" customHeight="1">
      <c r="B12" s="26"/>
      <c r="C12" s="28"/>
      <c r="D12" s="30"/>
      <c r="E12" s="28"/>
      <c r="F12" s="26"/>
      <c r="G12" s="33" t="s">
        <v>314</v>
      </c>
      <c r="H12" s="33" t="s">
        <v>315</v>
      </c>
      <c r="I12" s="38" t="s">
        <v>316</v>
      </c>
      <c r="J12" s="30" t="s">
        <v>19</v>
      </c>
      <c r="K12" s="36">
        <v>55280.0</v>
      </c>
      <c r="L12" s="38" t="s">
        <v>311</v>
      </c>
      <c r="M12" s="51"/>
      <c r="N12" s="179"/>
      <c r="O12" s="44"/>
      <c r="P12" s="44"/>
      <c r="Q12" s="48"/>
    </row>
    <row r="13" ht="22.5" customHeight="1">
      <c r="B13" s="26"/>
      <c r="C13" s="28"/>
      <c r="D13" s="30"/>
      <c r="E13" s="28"/>
      <c r="F13" s="28"/>
      <c r="G13" s="33" t="s">
        <v>317</v>
      </c>
      <c r="H13" s="33" t="s">
        <v>318</v>
      </c>
      <c r="I13" s="38" t="s">
        <v>139</v>
      </c>
      <c r="J13" s="30" t="s">
        <v>22</v>
      </c>
      <c r="K13" s="36">
        <v>87500.0</v>
      </c>
      <c r="L13" s="38" t="s">
        <v>311</v>
      </c>
      <c r="M13" s="51"/>
      <c r="N13" s="179"/>
      <c r="O13" s="44"/>
      <c r="P13" s="44"/>
      <c r="Q13" s="48"/>
    </row>
    <row r="14" ht="22.5" customHeight="1">
      <c r="B14" s="26"/>
      <c r="C14" s="28"/>
      <c r="D14" s="30"/>
      <c r="E14" s="28"/>
      <c r="F14" s="26"/>
      <c r="G14" s="33" t="s">
        <v>319</v>
      </c>
      <c r="H14" s="33" t="s">
        <v>320</v>
      </c>
      <c r="I14" s="38" t="s">
        <v>65</v>
      </c>
      <c r="J14" s="30" t="s">
        <v>21</v>
      </c>
      <c r="K14" s="36">
        <v>40000.0</v>
      </c>
      <c r="L14" s="38" t="s">
        <v>311</v>
      </c>
      <c r="M14" s="51"/>
      <c r="N14" s="179"/>
      <c r="O14" s="44"/>
      <c r="P14" s="44"/>
      <c r="Q14" s="48"/>
    </row>
    <row r="15" ht="22.5" customHeight="1">
      <c r="B15" s="26"/>
      <c r="C15" s="28"/>
      <c r="D15" s="30"/>
      <c r="E15" s="28"/>
      <c r="F15" s="28"/>
      <c r="G15" s="33" t="s">
        <v>321</v>
      </c>
      <c r="H15" s="33" t="s">
        <v>322</v>
      </c>
      <c r="I15" s="38" t="s">
        <v>63</v>
      </c>
      <c r="J15" s="30" t="s">
        <v>21</v>
      </c>
      <c r="K15" s="36">
        <v>73500.0</v>
      </c>
      <c r="L15" s="38"/>
      <c r="M15" s="44"/>
      <c r="N15" s="179"/>
      <c r="O15" s="44"/>
      <c r="P15" s="44"/>
      <c r="Q15" s="48"/>
    </row>
    <row r="16" ht="22.5" customHeight="1">
      <c r="B16" s="26"/>
      <c r="C16" s="28"/>
      <c r="D16" s="30"/>
      <c r="E16" s="28"/>
      <c r="F16" s="28"/>
      <c r="G16" s="33"/>
      <c r="H16" s="33"/>
      <c r="I16" s="38"/>
      <c r="J16" s="30"/>
      <c r="K16" s="36"/>
      <c r="L16" s="38"/>
      <c r="M16" s="51"/>
      <c r="N16" s="179"/>
      <c r="O16" s="44"/>
      <c r="P16" s="44"/>
      <c r="Q16" s="48"/>
    </row>
    <row r="17" ht="22.5" customHeight="1">
      <c r="B17" s="26"/>
      <c r="C17" s="28"/>
      <c r="D17" s="176"/>
      <c r="E17" s="28"/>
      <c r="F17" s="28"/>
      <c r="G17" s="33"/>
      <c r="H17" s="33"/>
      <c r="I17" s="38"/>
      <c r="J17" s="30"/>
      <c r="K17" s="36"/>
      <c r="L17" s="38"/>
      <c r="M17" s="51"/>
      <c r="N17" s="179"/>
      <c r="O17" s="44"/>
      <c r="P17" s="44"/>
      <c r="Q17" s="48"/>
    </row>
    <row r="18" ht="22.5" customHeight="1">
      <c r="B18" s="26"/>
      <c r="C18" s="28"/>
      <c r="D18" s="30"/>
      <c r="E18" s="28"/>
      <c r="F18" s="28"/>
      <c r="G18" s="33"/>
      <c r="H18" s="33"/>
      <c r="I18" s="38"/>
      <c r="J18" s="30"/>
      <c r="K18" s="36"/>
      <c r="L18" s="38"/>
      <c r="M18" s="44"/>
      <c r="N18" s="179"/>
      <c r="O18" s="44"/>
      <c r="P18" s="44"/>
      <c r="Q18" s="48"/>
    </row>
    <row r="19" ht="22.5" customHeight="1">
      <c r="B19" s="26"/>
      <c r="C19" s="28"/>
      <c r="D19" s="30"/>
      <c r="E19" s="28"/>
      <c r="F19" s="26"/>
      <c r="G19" s="33"/>
      <c r="H19" s="33"/>
      <c r="I19" s="38"/>
      <c r="J19" s="30"/>
      <c r="K19" s="36"/>
      <c r="L19" s="38"/>
      <c r="M19" s="44"/>
      <c r="N19" s="179"/>
      <c r="O19" s="44"/>
      <c r="P19" s="44"/>
      <c r="Q19" s="48"/>
    </row>
    <row r="20" ht="22.5" customHeight="1">
      <c r="B20" s="26"/>
      <c r="C20" s="28"/>
      <c r="D20" s="30"/>
      <c r="E20" s="28"/>
      <c r="F20" s="28"/>
      <c r="G20" s="33"/>
      <c r="H20" s="33"/>
      <c r="I20" s="38"/>
      <c r="J20" s="30"/>
      <c r="K20" s="36"/>
      <c r="L20" s="38"/>
      <c r="M20" s="44"/>
      <c r="N20" s="179"/>
      <c r="O20" s="44"/>
      <c r="P20" s="44"/>
      <c r="Q20" s="48"/>
    </row>
    <row r="21" ht="22.5" customHeight="1">
      <c r="B21" s="26"/>
      <c r="C21" s="28"/>
      <c r="D21" s="30"/>
      <c r="E21" s="28"/>
      <c r="F21" s="28"/>
      <c r="G21" s="33"/>
      <c r="H21" s="33"/>
      <c r="I21" s="38"/>
      <c r="J21" s="30"/>
      <c r="K21" s="36"/>
      <c r="L21" s="38"/>
      <c r="M21" s="44"/>
      <c r="N21" s="179"/>
      <c r="O21" s="44"/>
      <c r="P21" s="44"/>
      <c r="Q21" s="48"/>
    </row>
    <row r="22" ht="22.5" customHeight="1">
      <c r="B22" s="26"/>
      <c r="C22" s="28"/>
      <c r="D22" s="30"/>
      <c r="E22" s="28"/>
      <c r="F22" s="26"/>
      <c r="G22" s="33"/>
      <c r="H22" s="33"/>
      <c r="I22" s="38"/>
      <c r="J22" s="30"/>
      <c r="K22" s="36"/>
      <c r="L22" s="38"/>
      <c r="M22" s="44"/>
      <c r="N22" s="179"/>
      <c r="O22" s="44"/>
      <c r="P22" s="44"/>
      <c r="Q22" s="38"/>
    </row>
    <row r="23" ht="22.5" customHeight="1">
      <c r="B23" s="26"/>
      <c r="C23" s="28"/>
      <c r="D23" s="30"/>
      <c r="E23" s="28"/>
      <c r="F23" s="28"/>
      <c r="G23" s="33"/>
      <c r="H23" s="33"/>
      <c r="I23" s="38"/>
      <c r="J23" s="30"/>
      <c r="K23" s="36"/>
      <c r="L23" s="38"/>
      <c r="M23" s="44"/>
      <c r="N23" s="179"/>
      <c r="O23" s="44"/>
      <c r="P23" s="44"/>
      <c r="Q23" s="48"/>
    </row>
    <row r="24" ht="22.5" customHeight="1">
      <c r="B24" s="26"/>
      <c r="C24" s="28"/>
      <c r="D24" s="30"/>
      <c r="E24" s="28"/>
      <c r="F24" s="28"/>
      <c r="G24" s="33"/>
      <c r="H24" s="33"/>
      <c r="I24" s="38"/>
      <c r="J24" s="30"/>
      <c r="K24" s="36"/>
      <c r="L24" s="38"/>
      <c r="M24" s="44"/>
      <c r="N24" s="179"/>
      <c r="O24" s="44"/>
      <c r="P24" s="44"/>
      <c r="Q24" s="48"/>
    </row>
    <row r="25" ht="22.5" customHeight="1">
      <c r="B25" s="26"/>
      <c r="C25" s="28"/>
      <c r="D25" s="30"/>
      <c r="E25" s="28"/>
      <c r="F25" s="28"/>
      <c r="G25" s="33"/>
      <c r="H25" s="33"/>
      <c r="I25" s="38"/>
      <c r="J25" s="30"/>
      <c r="K25" s="36"/>
      <c r="L25" s="38"/>
      <c r="M25" s="44"/>
      <c r="N25" s="179"/>
      <c r="O25" s="44"/>
      <c r="P25" s="44"/>
      <c r="Q25" s="48"/>
    </row>
    <row r="26" ht="22.5" customHeight="1">
      <c r="B26" s="26"/>
      <c r="C26" s="28"/>
      <c r="D26" s="30"/>
      <c r="E26" s="28"/>
      <c r="F26" s="28"/>
      <c r="G26" s="33"/>
      <c r="H26" s="33"/>
      <c r="I26" s="38"/>
      <c r="J26" s="30"/>
      <c r="K26" s="36"/>
      <c r="L26" s="38"/>
      <c r="M26" s="44"/>
      <c r="N26" s="179"/>
      <c r="O26" s="44"/>
      <c r="P26" s="44"/>
      <c r="Q26" s="48"/>
    </row>
    <row r="27" ht="22.5" customHeight="1">
      <c r="B27" s="26"/>
      <c r="C27" s="28"/>
      <c r="D27" s="30"/>
      <c r="E27" s="28"/>
      <c r="F27" s="28"/>
      <c r="G27" s="33"/>
      <c r="H27" s="33"/>
      <c r="I27" s="38"/>
      <c r="J27" s="30"/>
      <c r="K27" s="36"/>
      <c r="L27" s="38"/>
      <c r="M27" s="44"/>
      <c r="N27" s="179"/>
      <c r="O27" s="44"/>
      <c r="P27" s="44"/>
      <c r="Q27" s="38"/>
    </row>
    <row r="28" ht="22.5" customHeight="1">
      <c r="B28" s="26"/>
      <c r="C28" s="28"/>
      <c r="D28" s="30"/>
      <c r="E28" s="28"/>
      <c r="F28" s="28"/>
      <c r="G28" s="33"/>
      <c r="H28" s="33"/>
      <c r="I28" s="38"/>
      <c r="J28" s="30"/>
      <c r="K28" s="36"/>
      <c r="L28" s="38"/>
      <c r="M28" s="44"/>
      <c r="N28" s="179"/>
      <c r="O28" s="44"/>
      <c r="P28" s="44"/>
      <c r="Q28" s="48"/>
    </row>
    <row r="29" ht="22.5" customHeight="1">
      <c r="B29" s="26"/>
      <c r="C29" s="28"/>
      <c r="D29" s="51"/>
      <c r="E29" s="28"/>
      <c r="F29" s="28"/>
      <c r="G29" s="33"/>
      <c r="H29" s="33"/>
      <c r="I29" s="38"/>
      <c r="J29" s="51"/>
      <c r="K29" s="36"/>
      <c r="L29" s="38"/>
      <c r="M29" s="44"/>
      <c r="N29" s="179"/>
      <c r="O29" s="44"/>
      <c r="P29" s="44"/>
      <c r="Q29" s="48"/>
    </row>
    <row r="30" ht="22.5" customHeight="1">
      <c r="B30" s="26"/>
      <c r="C30" s="28"/>
      <c r="D30" s="51"/>
      <c r="E30" s="28"/>
      <c r="F30" s="28"/>
      <c r="G30" s="33"/>
      <c r="H30" s="33"/>
      <c r="I30" s="38"/>
      <c r="J30" s="51"/>
      <c r="K30" s="36"/>
      <c r="L30" s="38"/>
      <c r="M30" s="44"/>
      <c r="N30" s="179"/>
      <c r="O30" s="44"/>
      <c r="P30" s="44"/>
      <c r="Q30" s="48"/>
    </row>
    <row r="31" ht="22.5" customHeight="1">
      <c r="B31" s="26"/>
      <c r="C31" s="28"/>
      <c r="D31" s="51"/>
      <c r="E31" s="28"/>
      <c r="F31" s="28"/>
      <c r="G31" s="33"/>
      <c r="H31" s="33"/>
      <c r="I31" s="38"/>
      <c r="J31" s="51"/>
      <c r="K31" s="36"/>
      <c r="L31" s="38"/>
      <c r="M31" s="44"/>
      <c r="N31" s="179"/>
      <c r="O31" s="44"/>
      <c r="P31" s="44"/>
      <c r="Q31" s="38"/>
    </row>
    <row r="32" ht="22.5" customHeight="1">
      <c r="B32" s="26"/>
      <c r="C32" s="28"/>
      <c r="D32" s="51"/>
      <c r="E32" s="28"/>
      <c r="F32" s="28"/>
      <c r="G32" s="33"/>
      <c r="H32" s="33"/>
      <c r="I32" s="38"/>
      <c r="J32" s="51"/>
      <c r="K32" s="36"/>
      <c r="L32" s="38"/>
      <c r="M32" s="44"/>
      <c r="N32" s="179"/>
      <c r="O32" s="44"/>
      <c r="P32" s="44"/>
      <c r="Q32" s="48"/>
    </row>
    <row r="33" ht="22.5" customHeight="1">
      <c r="B33" s="26"/>
      <c r="C33" s="28"/>
      <c r="D33" s="30"/>
      <c r="E33" s="28"/>
      <c r="F33" s="28"/>
      <c r="G33" s="33"/>
      <c r="H33" s="33"/>
      <c r="I33" s="38"/>
      <c r="J33" s="30"/>
      <c r="K33" s="36"/>
      <c r="L33" s="38"/>
      <c r="M33" s="44"/>
      <c r="N33" s="179"/>
      <c r="O33" s="44"/>
      <c r="P33" s="44"/>
      <c r="Q33" s="48"/>
    </row>
    <row r="34" ht="22.5" customHeight="1">
      <c r="B34" s="26"/>
      <c r="C34" s="28"/>
      <c r="D34" s="30"/>
      <c r="E34" s="28"/>
      <c r="F34" s="28"/>
      <c r="G34" s="33"/>
      <c r="H34" s="33"/>
      <c r="I34" s="38"/>
      <c r="J34" s="30"/>
      <c r="K34" s="36"/>
      <c r="L34" s="38"/>
      <c r="M34" s="44"/>
      <c r="N34" s="179"/>
      <c r="O34" s="44"/>
      <c r="P34" s="44"/>
      <c r="Q34" s="48"/>
    </row>
    <row r="35" ht="22.5" customHeight="1">
      <c r="B35" s="26"/>
      <c r="C35" s="28"/>
      <c r="D35" s="30"/>
      <c r="E35" s="28"/>
      <c r="F35" s="28"/>
      <c r="G35" s="33"/>
      <c r="H35" s="33"/>
      <c r="I35" s="38"/>
      <c r="J35" s="30"/>
      <c r="K35" s="36"/>
      <c r="L35" s="38"/>
      <c r="M35" s="44"/>
      <c r="N35" s="179"/>
      <c r="O35" s="44"/>
      <c r="P35" s="44"/>
      <c r="Q35" s="48"/>
    </row>
    <row r="36" ht="22.5" customHeight="1">
      <c r="B36" s="26"/>
      <c r="C36" s="28"/>
      <c r="D36" s="30"/>
      <c r="E36" s="28"/>
      <c r="F36" s="28"/>
      <c r="G36" s="33"/>
      <c r="H36" s="33"/>
      <c r="I36" s="38"/>
      <c r="J36" s="30"/>
      <c r="K36" s="36"/>
      <c r="L36" s="38"/>
      <c r="M36" s="44"/>
      <c r="N36" s="179"/>
      <c r="O36" s="44"/>
      <c r="P36" s="44"/>
      <c r="Q36" s="48"/>
    </row>
    <row r="37" ht="22.5" customHeight="1">
      <c r="B37" s="26"/>
      <c r="C37" s="28"/>
      <c r="D37" s="30"/>
      <c r="E37" s="28"/>
      <c r="F37" s="28"/>
      <c r="G37" s="33"/>
      <c r="H37" s="33"/>
      <c r="I37" s="38"/>
      <c r="J37" s="30"/>
      <c r="K37" s="36"/>
      <c r="L37" s="38"/>
      <c r="M37" s="44"/>
      <c r="N37" s="179"/>
      <c r="O37" s="44"/>
      <c r="P37" s="44"/>
      <c r="Q37" s="48"/>
    </row>
    <row r="38" ht="22.5" customHeight="1">
      <c r="B38" s="26"/>
      <c r="C38" s="28"/>
      <c r="D38" s="30"/>
      <c r="E38" s="28"/>
      <c r="F38" s="28"/>
      <c r="G38" s="33"/>
      <c r="H38" s="33"/>
      <c r="I38" s="38"/>
      <c r="J38" s="30"/>
      <c r="K38" s="36"/>
      <c r="L38" s="38"/>
      <c r="M38" s="44"/>
      <c r="N38" s="179"/>
      <c r="O38" s="44"/>
      <c r="P38" s="44"/>
      <c r="Q38" s="48"/>
    </row>
    <row r="39" ht="22.5" customHeight="1">
      <c r="B39" s="42"/>
      <c r="C39" s="28"/>
      <c r="D39" s="30"/>
      <c r="E39" s="28"/>
      <c r="F39" s="28"/>
      <c r="G39" s="33"/>
      <c r="H39" s="33"/>
      <c r="I39" s="38"/>
      <c r="J39" s="30"/>
      <c r="K39" s="36"/>
      <c r="L39" s="38"/>
      <c r="M39" s="44"/>
      <c r="N39" s="179"/>
      <c r="O39" s="44"/>
      <c r="P39" s="44"/>
      <c r="Q39" s="48"/>
    </row>
    <row r="40" ht="22.5" customHeight="1">
      <c r="B40" s="42"/>
      <c r="C40" s="28"/>
      <c r="D40" s="30"/>
      <c r="E40" s="28"/>
      <c r="F40" s="28"/>
      <c r="G40" s="33"/>
      <c r="H40" s="33"/>
      <c r="I40" s="38"/>
      <c r="J40" s="30"/>
      <c r="K40" s="36"/>
      <c r="L40" s="38"/>
      <c r="M40" s="44"/>
      <c r="N40" s="179"/>
      <c r="O40" s="44"/>
      <c r="P40" s="44"/>
      <c r="Q40" s="48"/>
    </row>
    <row r="41" ht="22.5" customHeight="1">
      <c r="B41" s="42"/>
      <c r="C41" s="28"/>
      <c r="D41" s="30"/>
      <c r="E41" s="28"/>
      <c r="F41" s="28"/>
      <c r="G41" s="33"/>
      <c r="H41" s="33"/>
      <c r="I41" s="38"/>
      <c r="J41" s="30"/>
      <c r="K41" s="36"/>
      <c r="L41" s="38"/>
      <c r="M41" s="44"/>
      <c r="N41" s="179"/>
      <c r="O41" s="44"/>
      <c r="P41" s="44"/>
      <c r="Q41" s="48"/>
    </row>
    <row r="42" ht="22.5" customHeight="1">
      <c r="B42" s="42"/>
      <c r="C42" s="28"/>
      <c r="D42" s="30"/>
      <c r="E42" s="28"/>
      <c r="F42" s="28"/>
      <c r="G42" s="33"/>
      <c r="H42" s="33"/>
      <c r="I42" s="38"/>
      <c r="J42" s="30"/>
      <c r="K42" s="36"/>
      <c r="L42" s="38"/>
      <c r="M42" s="44"/>
      <c r="N42" s="179"/>
      <c r="O42" s="44"/>
      <c r="P42" s="44"/>
      <c r="Q42" s="48"/>
    </row>
    <row r="43" ht="22.5" customHeight="1">
      <c r="B43" s="42"/>
      <c r="C43" s="28"/>
      <c r="D43" s="30"/>
      <c r="E43" s="28"/>
      <c r="F43" s="28"/>
      <c r="G43" s="33"/>
      <c r="H43" s="33"/>
      <c r="I43" s="38"/>
      <c r="J43" s="30"/>
      <c r="K43" s="36"/>
      <c r="L43" s="38"/>
      <c r="M43" s="44"/>
      <c r="N43" s="179"/>
      <c r="O43" s="44"/>
      <c r="P43" s="44"/>
      <c r="Q43" s="48"/>
    </row>
    <row r="44" ht="22.5" customHeight="1">
      <c r="B44" s="26"/>
      <c r="C44" s="28"/>
      <c r="D44" s="30"/>
      <c r="E44" s="28"/>
      <c r="F44" s="28"/>
      <c r="G44" s="33"/>
      <c r="H44" s="33"/>
      <c r="I44" s="38"/>
      <c r="J44" s="30"/>
      <c r="K44" s="36"/>
      <c r="L44" s="38"/>
      <c r="M44" s="44"/>
      <c r="N44" s="179"/>
      <c r="O44" s="44"/>
      <c r="P44" s="44"/>
      <c r="Q44" s="48"/>
    </row>
    <row r="45" ht="22.5" customHeight="1">
      <c r="B45" s="26"/>
      <c r="C45" s="28"/>
      <c r="D45" s="30"/>
      <c r="E45" s="28"/>
      <c r="F45" s="28"/>
      <c r="G45" s="33"/>
      <c r="H45" s="33"/>
      <c r="I45" s="38"/>
      <c r="J45" s="30"/>
      <c r="K45" s="36"/>
      <c r="L45" s="38"/>
      <c r="M45" s="44"/>
      <c r="N45" s="179"/>
      <c r="O45" s="44"/>
      <c r="P45" s="44"/>
      <c r="Q45" s="48"/>
    </row>
    <row r="46" ht="22.5" customHeight="1">
      <c r="B46" s="42"/>
      <c r="C46" s="60"/>
      <c r="D46" s="51"/>
      <c r="E46" s="60"/>
      <c r="F46" s="60"/>
      <c r="G46" s="114"/>
      <c r="H46" s="114"/>
      <c r="I46" s="48"/>
      <c r="J46" s="44"/>
      <c r="K46" s="115"/>
      <c r="L46" s="48"/>
      <c r="M46" s="44"/>
      <c r="N46" s="179"/>
      <c r="O46" s="44"/>
      <c r="P46" s="44"/>
      <c r="Q46" s="48"/>
    </row>
    <row r="47" ht="22.5" customHeight="1">
      <c r="B47" s="42"/>
      <c r="C47" s="60"/>
      <c r="D47" s="51"/>
      <c r="E47" s="60"/>
      <c r="F47" s="60"/>
      <c r="G47" s="114"/>
      <c r="H47" s="114"/>
      <c r="I47" s="48"/>
      <c r="J47" s="44"/>
      <c r="K47" s="115"/>
      <c r="L47" s="48"/>
      <c r="M47" s="44"/>
      <c r="N47" s="179"/>
      <c r="O47" s="44"/>
      <c r="P47" s="44"/>
      <c r="Q47" s="48"/>
    </row>
    <row r="48" ht="22.5" customHeight="1">
      <c r="B48" s="42"/>
      <c r="C48" s="60"/>
      <c r="D48" s="51"/>
      <c r="E48" s="60"/>
      <c r="F48" s="60"/>
      <c r="G48" s="114"/>
      <c r="H48" s="114"/>
      <c r="I48" s="48"/>
      <c r="J48" s="44"/>
      <c r="K48" s="115"/>
      <c r="L48" s="48"/>
      <c r="M48" s="44"/>
      <c r="N48" s="179"/>
      <c r="O48" s="44"/>
      <c r="P48" s="44"/>
      <c r="Q48" s="48"/>
    </row>
    <row r="49" ht="22.5" customHeight="1">
      <c r="B49" s="42"/>
      <c r="C49" s="60"/>
      <c r="D49" s="51"/>
      <c r="E49" s="60"/>
      <c r="F49" s="60"/>
      <c r="G49" s="114"/>
      <c r="H49" s="114"/>
      <c r="I49" s="48"/>
      <c r="J49" s="44"/>
      <c r="K49" s="115"/>
      <c r="L49" s="48"/>
      <c r="M49" s="44"/>
      <c r="N49" s="179"/>
      <c r="O49" s="44"/>
      <c r="P49" s="44"/>
      <c r="Q49" s="48"/>
    </row>
    <row r="50" ht="22.5" customHeight="1">
      <c r="B50" s="42"/>
      <c r="C50" s="60"/>
      <c r="D50" s="51"/>
      <c r="E50" s="60"/>
      <c r="F50" s="60"/>
      <c r="G50" s="114"/>
      <c r="H50" s="114"/>
      <c r="I50" s="48"/>
      <c r="J50" s="44"/>
      <c r="K50" s="115"/>
      <c r="L50" s="48"/>
      <c r="M50" s="44"/>
      <c r="N50" s="179"/>
      <c r="O50" s="44"/>
      <c r="P50" s="44"/>
      <c r="Q50" s="48"/>
    </row>
    <row r="51" ht="22.5" customHeight="1">
      <c r="B51" s="42"/>
      <c r="C51" s="60"/>
      <c r="D51" s="51"/>
      <c r="E51" s="60"/>
      <c r="F51" s="60"/>
      <c r="G51" s="114"/>
      <c r="H51" s="114"/>
      <c r="I51" s="48"/>
      <c r="J51" s="44"/>
      <c r="K51" s="115"/>
      <c r="L51" s="48"/>
      <c r="M51" s="44"/>
      <c r="N51" s="179"/>
      <c r="O51" s="44"/>
      <c r="P51" s="44"/>
      <c r="Q51" s="48"/>
    </row>
    <row r="52" ht="22.5" customHeight="1">
      <c r="B52" s="42"/>
      <c r="C52" s="60"/>
      <c r="D52" s="51"/>
      <c r="E52" s="60"/>
      <c r="F52" s="60"/>
      <c r="G52" s="114"/>
      <c r="H52" s="114"/>
      <c r="I52" s="48"/>
      <c r="J52" s="44"/>
      <c r="K52" s="115"/>
      <c r="L52" s="48"/>
      <c r="M52" s="44"/>
      <c r="N52" s="179"/>
      <c r="O52" s="44"/>
      <c r="P52" s="44"/>
      <c r="Q52" s="48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 N10:N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I52 L10:L52 Q10:Q52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2000000.0</v>
      </c>
      <c r="F4" s="15">
        <f>SUMIFS(OPI_21[MAF NETO],OPI_21[ESTADO],"Desembolsado")</f>
        <v>113400</v>
      </c>
      <c r="G4" s="15">
        <f>F4-E4</f>
        <v>-1886600</v>
      </c>
      <c r="H4" s="16">
        <f>SUMIFS(OPI_21[MAF NETO],OPI_21[ESTADO],H$3)</f>
        <v>49300</v>
      </c>
      <c r="I4" s="16">
        <f>SUMIFS(OPI_21[MAF NETO],OPI_21[ESTADO],I$3)</f>
        <v>157750</v>
      </c>
      <c r="J4" s="16">
        <f>SUMIFS(OPI_21[MAF NETO],OPI_21[ESTADO],J$3)</f>
        <v>0</v>
      </c>
      <c r="K4" s="16">
        <f>SUMIFS(OPI_21[MAF NETO],OPI_21[ESTADO],K$3)</f>
        <v>0</v>
      </c>
      <c r="L4" s="16">
        <f>SUMIFS(OPI_21[MAF NETO],OPI_21[ESTADO],L$3)</f>
        <v>0</v>
      </c>
      <c r="M4" s="16">
        <f>SUMIFS(OPI_21[MAF NETO],OPI_21[ESTADO],M$3)</f>
        <v>0</v>
      </c>
      <c r="N4" s="16">
        <f>SUMIFS(OPI_21[MAF NETO],OPI_21[ESTADO],N$3)</f>
        <v>0</v>
      </c>
    </row>
    <row r="5" ht="26.25" customHeight="1">
      <c r="D5" s="17" t="s">
        <v>31</v>
      </c>
      <c r="E5" s="18" t="s">
        <v>32</v>
      </c>
      <c r="F5" s="19">
        <f>COUNTIFS(OPI_21[ESTADO],"Desembolsado")</f>
        <v>3</v>
      </c>
      <c r="G5" s="20">
        <f>IFERROR(F4/E4,"")</f>
        <v>0.0567</v>
      </c>
      <c r="H5" s="19">
        <f>COUNTIFS(OPI_21[ESTADO],H$3)</f>
        <v>1</v>
      </c>
      <c r="I5" s="19">
        <f>COUNTIFS(OPI_21[ESTADO],I$3)</f>
        <v>2</v>
      </c>
      <c r="J5" s="19">
        <f>COUNTIFS(OPI_21[ESTADO],J$3)</f>
        <v>0</v>
      </c>
      <c r="K5" s="19">
        <f>COUNTIFS(OPI_21[ESTADO],K$3)</f>
        <v>0</v>
      </c>
      <c r="L5" s="19">
        <f>COUNTIFS(OPI_21[ESTADO],L$3)</f>
        <v>0</v>
      </c>
      <c r="M5" s="19">
        <f>COUNTIFS(OPI_21[ESTADO],M$3)</f>
        <v>0</v>
      </c>
      <c r="N5" s="19">
        <f>COUNTIFS(OPI_21[ESTADO],N$3)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30"/>
      <c r="E10" s="28"/>
      <c r="F10" s="28"/>
      <c r="G10" s="33" t="s">
        <v>323</v>
      </c>
      <c r="H10" s="33" t="s">
        <v>324</v>
      </c>
      <c r="I10" s="38" t="s">
        <v>111</v>
      </c>
      <c r="J10" s="30" t="s">
        <v>19</v>
      </c>
      <c r="K10" s="36">
        <v>15300.0</v>
      </c>
      <c r="L10" s="38"/>
      <c r="M10" s="30"/>
      <c r="N10" s="179"/>
      <c r="O10" s="30"/>
      <c r="P10" s="44"/>
      <c r="Q10" s="48"/>
    </row>
    <row r="11" ht="22.5" customHeight="1">
      <c r="B11" s="26"/>
      <c r="C11" s="28"/>
      <c r="D11" s="30"/>
      <c r="E11" s="28"/>
      <c r="F11" s="28"/>
      <c r="G11" s="33" t="s">
        <v>325</v>
      </c>
      <c r="H11" s="33" t="s">
        <v>326</v>
      </c>
      <c r="I11" s="38" t="s">
        <v>111</v>
      </c>
      <c r="J11" s="30" t="s">
        <v>19</v>
      </c>
      <c r="K11" s="36">
        <v>25000.0</v>
      </c>
      <c r="L11" s="38"/>
      <c r="M11" s="51"/>
      <c r="N11" s="179"/>
      <c r="O11" s="44"/>
      <c r="P11" s="44"/>
      <c r="Q11" s="48"/>
    </row>
    <row r="12" ht="22.5" customHeight="1">
      <c r="B12" s="26"/>
      <c r="C12" s="28"/>
      <c r="D12" s="30"/>
      <c r="E12" s="28"/>
      <c r="F12" s="28"/>
      <c r="G12" s="33" t="s">
        <v>327</v>
      </c>
      <c r="H12" s="33" t="s">
        <v>328</v>
      </c>
      <c r="I12" s="38" t="s">
        <v>65</v>
      </c>
      <c r="J12" s="30" t="s">
        <v>22</v>
      </c>
      <c r="K12" s="36">
        <v>78600.0</v>
      </c>
      <c r="L12" s="38"/>
      <c r="M12" s="51"/>
      <c r="N12" s="179"/>
      <c r="O12" s="44"/>
      <c r="P12" s="44"/>
      <c r="Q12" s="48"/>
    </row>
    <row r="13" ht="22.5" customHeight="1">
      <c r="B13" s="26"/>
      <c r="C13" s="28"/>
      <c r="D13" s="30"/>
      <c r="E13" s="28"/>
      <c r="F13" s="28"/>
      <c r="G13" s="33" t="s">
        <v>329</v>
      </c>
      <c r="H13" s="33" t="s">
        <v>330</v>
      </c>
      <c r="I13" s="38" t="s">
        <v>65</v>
      </c>
      <c r="J13" s="30" t="s">
        <v>22</v>
      </c>
      <c r="K13" s="36">
        <v>79150.0</v>
      </c>
      <c r="L13" s="38"/>
      <c r="M13" s="51"/>
      <c r="N13" s="179"/>
      <c r="O13" s="44"/>
      <c r="P13" s="44"/>
      <c r="Q13" s="48"/>
    </row>
    <row r="14" ht="22.5" customHeight="1">
      <c r="B14" s="26"/>
      <c r="C14" s="28"/>
      <c r="D14" s="30"/>
      <c r="E14" s="26"/>
      <c r="F14" s="28"/>
      <c r="G14" s="33" t="s">
        <v>331</v>
      </c>
      <c r="H14" s="33" t="s">
        <v>332</v>
      </c>
      <c r="I14" s="38" t="s">
        <v>65</v>
      </c>
      <c r="J14" s="30" t="s">
        <v>19</v>
      </c>
      <c r="K14" s="36">
        <v>73100.0</v>
      </c>
      <c r="L14" s="38"/>
      <c r="M14" s="51"/>
      <c r="N14" s="179"/>
      <c r="O14" s="44"/>
      <c r="P14" s="44"/>
      <c r="Q14" s="48"/>
    </row>
    <row r="15" ht="22.5" customHeight="1">
      <c r="B15" s="26"/>
      <c r="C15" s="28"/>
      <c r="D15" s="30"/>
      <c r="E15" s="28"/>
      <c r="F15" s="28"/>
      <c r="G15" s="33" t="s">
        <v>333</v>
      </c>
      <c r="H15" s="33" t="s">
        <v>334</v>
      </c>
      <c r="I15" s="38" t="s">
        <v>335</v>
      </c>
      <c r="J15" s="30" t="s">
        <v>21</v>
      </c>
      <c r="K15" s="36">
        <v>49300.0</v>
      </c>
      <c r="L15" s="38"/>
      <c r="M15" s="44"/>
      <c r="N15" s="179"/>
      <c r="O15" s="44"/>
      <c r="P15" s="44"/>
      <c r="Q15" s="48"/>
    </row>
    <row r="16" ht="22.5" customHeight="1">
      <c r="B16" s="26"/>
      <c r="C16" s="28"/>
      <c r="D16" s="30"/>
      <c r="E16" s="28"/>
      <c r="F16" s="28"/>
      <c r="G16" s="33" t="s">
        <v>336</v>
      </c>
      <c r="H16" s="33" t="s">
        <v>337</v>
      </c>
      <c r="I16" s="38" t="s">
        <v>149</v>
      </c>
      <c r="J16" s="30"/>
      <c r="K16" s="36">
        <v>57700.0</v>
      </c>
      <c r="L16" s="38"/>
      <c r="M16" s="51"/>
      <c r="N16" s="179"/>
      <c r="O16" s="44"/>
      <c r="P16" s="44"/>
      <c r="Q16" s="48"/>
    </row>
    <row r="17" ht="22.5" customHeight="1">
      <c r="B17" s="26"/>
      <c r="C17" s="28"/>
      <c r="D17" s="176"/>
      <c r="E17" s="28"/>
      <c r="F17" s="28"/>
      <c r="G17" s="33" t="s">
        <v>338</v>
      </c>
      <c r="H17" s="33" t="s">
        <v>339</v>
      </c>
      <c r="I17" s="38" t="s">
        <v>149</v>
      </c>
      <c r="J17" s="30"/>
      <c r="K17" s="36">
        <v>103950.0</v>
      </c>
      <c r="L17" s="38"/>
      <c r="M17" s="51"/>
      <c r="N17" s="179"/>
      <c r="O17" s="44"/>
      <c r="P17" s="44"/>
      <c r="Q17" s="48"/>
    </row>
    <row r="18" ht="22.5" customHeight="1">
      <c r="B18" s="26"/>
      <c r="C18" s="28"/>
      <c r="D18" s="30"/>
      <c r="E18" s="28"/>
      <c r="F18" s="28"/>
      <c r="G18" s="33" t="s">
        <v>340</v>
      </c>
      <c r="H18" s="33" t="s">
        <v>341</v>
      </c>
      <c r="I18" s="38" t="s">
        <v>65</v>
      </c>
      <c r="J18" s="30"/>
      <c r="K18" s="36">
        <v>9000.0</v>
      </c>
      <c r="L18" s="38"/>
      <c r="M18" s="44"/>
      <c r="N18" s="179"/>
      <c r="O18" s="44"/>
      <c r="P18" s="44"/>
      <c r="Q18" s="48"/>
    </row>
    <row r="19" ht="22.5" customHeight="1">
      <c r="B19" s="26"/>
      <c r="C19" s="28"/>
      <c r="D19" s="30"/>
      <c r="E19" s="28"/>
      <c r="F19" s="28"/>
      <c r="G19" s="33" t="s">
        <v>342</v>
      </c>
      <c r="H19" s="33" t="s">
        <v>343</v>
      </c>
      <c r="I19" s="38" t="s">
        <v>65</v>
      </c>
      <c r="J19" s="30"/>
      <c r="K19" s="36">
        <v>97600.0</v>
      </c>
      <c r="L19" s="38"/>
      <c r="M19" s="44"/>
      <c r="N19" s="179"/>
      <c r="O19" s="44"/>
      <c r="P19" s="44"/>
      <c r="Q19" s="48"/>
    </row>
    <row r="20" ht="22.5" customHeight="1">
      <c r="B20" s="26"/>
      <c r="C20" s="28"/>
      <c r="D20" s="30"/>
      <c r="E20" s="28"/>
      <c r="F20" s="28"/>
      <c r="G20" s="33" t="s">
        <v>344</v>
      </c>
      <c r="H20" s="33" t="s">
        <v>345</v>
      </c>
      <c r="I20" s="38" t="s">
        <v>65</v>
      </c>
      <c r="J20" s="30"/>
      <c r="K20" s="36">
        <v>82800.0</v>
      </c>
      <c r="L20" s="38"/>
      <c r="M20" s="44"/>
      <c r="N20" s="179"/>
      <c r="O20" s="44"/>
      <c r="P20" s="44"/>
      <c r="Q20" s="48"/>
    </row>
    <row r="21" ht="22.5" customHeight="1">
      <c r="B21" s="26"/>
      <c r="C21" s="28"/>
      <c r="D21" s="30"/>
      <c r="E21" s="28"/>
      <c r="F21" s="28"/>
      <c r="G21" s="33" t="s">
        <v>348</v>
      </c>
      <c r="H21" s="33" t="s">
        <v>349</v>
      </c>
      <c r="I21" s="38" t="s">
        <v>149</v>
      </c>
      <c r="J21" s="30"/>
      <c r="K21" s="36">
        <v>40000.0</v>
      </c>
      <c r="L21" s="38"/>
      <c r="M21" s="44"/>
      <c r="N21" s="179"/>
      <c r="O21" s="44"/>
      <c r="P21" s="44"/>
      <c r="Q21" s="48"/>
    </row>
    <row r="22" ht="22.5" customHeight="1">
      <c r="B22" s="26"/>
      <c r="C22" s="28"/>
      <c r="D22" s="30"/>
      <c r="E22" s="28"/>
      <c r="F22" s="26"/>
      <c r="G22" s="33" t="s">
        <v>351</v>
      </c>
      <c r="H22" s="33" t="s">
        <v>352</v>
      </c>
      <c r="I22" s="38" t="s">
        <v>149</v>
      </c>
      <c r="J22" s="30"/>
      <c r="K22" s="36">
        <v>95300.0</v>
      </c>
      <c r="L22" s="38"/>
      <c r="M22" s="44"/>
      <c r="N22" s="179"/>
      <c r="O22" s="44"/>
      <c r="P22" s="44"/>
      <c r="Q22" s="38"/>
    </row>
    <row r="23" ht="22.5" customHeight="1">
      <c r="B23" s="26"/>
      <c r="C23" s="28"/>
      <c r="D23" s="30"/>
      <c r="E23" s="28"/>
      <c r="F23" s="28"/>
      <c r="G23" s="33" t="s">
        <v>356</v>
      </c>
      <c r="H23" s="33" t="s">
        <v>357</v>
      </c>
      <c r="I23" s="38" t="s">
        <v>111</v>
      </c>
      <c r="J23" s="30"/>
      <c r="K23" s="36">
        <v>90750.0</v>
      </c>
      <c r="L23" s="38"/>
      <c r="M23" s="44"/>
      <c r="N23" s="179"/>
      <c r="O23" s="44"/>
      <c r="P23" s="44"/>
      <c r="Q23" s="48"/>
    </row>
    <row r="24" ht="22.5" customHeight="1">
      <c r="B24" s="26"/>
      <c r="C24" s="28"/>
      <c r="D24" s="30"/>
      <c r="E24" s="28"/>
      <c r="F24" s="28"/>
      <c r="G24" s="33" t="s">
        <v>361</v>
      </c>
      <c r="H24" s="33" t="s">
        <v>362</v>
      </c>
      <c r="I24" s="38" t="s">
        <v>65</v>
      </c>
      <c r="J24" s="30"/>
      <c r="K24" s="36">
        <v>61200.0</v>
      </c>
      <c r="L24" s="38"/>
      <c r="M24" s="44"/>
      <c r="N24" s="179"/>
      <c r="O24" s="44"/>
      <c r="P24" s="44"/>
      <c r="Q24" s="48"/>
    </row>
    <row r="25" ht="22.5" customHeight="1">
      <c r="B25" s="26"/>
      <c r="C25" s="28"/>
      <c r="D25" s="30"/>
      <c r="E25" s="28"/>
      <c r="F25" s="26"/>
      <c r="G25" s="33" t="s">
        <v>365</v>
      </c>
      <c r="H25" s="33" t="s">
        <v>366</v>
      </c>
      <c r="I25" s="38" t="s">
        <v>111</v>
      </c>
      <c r="J25" s="30"/>
      <c r="K25" s="36">
        <v>64600.0</v>
      </c>
      <c r="L25" s="38"/>
      <c r="M25" s="44"/>
      <c r="N25" s="179"/>
      <c r="O25" s="44"/>
      <c r="P25" s="44"/>
      <c r="Q25" s="48"/>
    </row>
    <row r="26" ht="22.5" customHeight="1">
      <c r="B26" s="26"/>
      <c r="C26" s="28"/>
      <c r="D26" s="30"/>
      <c r="E26" s="28"/>
      <c r="F26" s="28"/>
      <c r="G26" s="33" t="s">
        <v>369</v>
      </c>
      <c r="H26" s="33" t="s">
        <v>370</v>
      </c>
      <c r="I26" s="38" t="s">
        <v>149</v>
      </c>
      <c r="J26" s="30"/>
      <c r="K26" s="36">
        <v>82000.0</v>
      </c>
      <c r="L26" s="38"/>
      <c r="M26" s="44"/>
      <c r="N26" s="179"/>
      <c r="O26" s="44"/>
      <c r="P26" s="44"/>
      <c r="Q26" s="48"/>
    </row>
    <row r="27" ht="22.5" customHeight="1">
      <c r="B27" s="26"/>
      <c r="C27" s="28"/>
      <c r="D27" s="30"/>
      <c r="E27" s="28"/>
      <c r="F27" s="28"/>
      <c r="G27" s="33"/>
      <c r="H27" s="33"/>
      <c r="I27" s="38"/>
      <c r="J27" s="30"/>
      <c r="K27" s="36"/>
      <c r="L27" s="38"/>
      <c r="M27" s="44"/>
      <c r="N27" s="179"/>
      <c r="O27" s="44"/>
      <c r="P27" s="44"/>
      <c r="Q27" s="38"/>
    </row>
    <row r="28" ht="22.5" customHeight="1">
      <c r="B28" s="26"/>
      <c r="C28" s="28"/>
      <c r="D28" s="30"/>
      <c r="E28" s="28"/>
      <c r="F28" s="28"/>
      <c r="G28" s="33"/>
      <c r="H28" s="33"/>
      <c r="I28" s="38"/>
      <c r="J28" s="30"/>
      <c r="K28" s="36"/>
      <c r="L28" s="38"/>
      <c r="M28" s="44"/>
      <c r="N28" s="179"/>
      <c r="O28" s="44"/>
      <c r="P28" s="44"/>
      <c r="Q28" s="48"/>
    </row>
    <row r="29" ht="22.5" customHeight="1">
      <c r="B29" s="26"/>
      <c r="C29" s="28"/>
      <c r="D29" s="30"/>
      <c r="E29" s="28"/>
      <c r="F29" s="26"/>
      <c r="G29" s="33"/>
      <c r="H29" s="33"/>
      <c r="I29" s="38"/>
      <c r="J29" s="30"/>
      <c r="K29" s="36"/>
      <c r="L29" s="38"/>
      <c r="M29" s="44"/>
      <c r="N29" s="179"/>
      <c r="O29" s="44"/>
      <c r="P29" s="44"/>
      <c r="Q29" s="48"/>
    </row>
    <row r="30" ht="22.5" customHeight="1">
      <c r="B30" s="26"/>
      <c r="C30" s="28"/>
      <c r="D30" s="30"/>
      <c r="E30" s="28"/>
      <c r="F30" s="28"/>
      <c r="G30" s="33"/>
      <c r="H30" s="33"/>
      <c r="I30" s="38"/>
      <c r="J30" s="30"/>
      <c r="K30" s="36"/>
      <c r="L30" s="38"/>
      <c r="M30" s="44"/>
      <c r="N30" s="179"/>
      <c r="O30" s="44"/>
      <c r="P30" s="44"/>
      <c r="Q30" s="48"/>
    </row>
    <row r="31" ht="22.5" customHeight="1">
      <c r="B31" s="26"/>
      <c r="C31" s="28"/>
      <c r="D31" s="30"/>
      <c r="E31" s="28"/>
      <c r="F31" s="26"/>
      <c r="G31" s="33"/>
      <c r="H31" s="33"/>
      <c r="I31" s="38"/>
      <c r="J31" s="30"/>
      <c r="K31" s="36"/>
      <c r="L31" s="38"/>
      <c r="M31" s="44"/>
      <c r="N31" s="179"/>
      <c r="O31" s="44"/>
      <c r="P31" s="44"/>
      <c r="Q31" s="38"/>
    </row>
    <row r="32" ht="22.5" customHeight="1">
      <c r="B32" s="26"/>
      <c r="C32" s="28"/>
      <c r="D32" s="30"/>
      <c r="E32" s="28"/>
      <c r="F32" s="28"/>
      <c r="G32" s="33"/>
      <c r="H32" s="33"/>
      <c r="I32" s="38"/>
      <c r="J32" s="30"/>
      <c r="K32" s="36"/>
      <c r="L32" s="38"/>
      <c r="M32" s="44"/>
      <c r="N32" s="179"/>
      <c r="O32" s="44"/>
      <c r="P32" s="44"/>
      <c r="Q32" s="48"/>
    </row>
    <row r="33" ht="22.5" customHeight="1">
      <c r="B33" s="26"/>
      <c r="C33" s="28"/>
      <c r="D33" s="30"/>
      <c r="E33" s="28"/>
      <c r="F33" s="28"/>
      <c r="G33" s="33"/>
      <c r="H33" s="33"/>
      <c r="I33" s="38"/>
      <c r="J33" s="30"/>
      <c r="K33" s="36"/>
      <c r="L33" s="38"/>
      <c r="M33" s="44"/>
      <c r="N33" s="179"/>
      <c r="O33" s="44"/>
      <c r="P33" s="44"/>
      <c r="Q33" s="48"/>
    </row>
    <row r="34" ht="22.5" customHeight="1">
      <c r="B34" s="26"/>
      <c r="C34" s="28"/>
      <c r="D34" s="30"/>
      <c r="E34" s="28"/>
      <c r="F34" s="26"/>
      <c r="G34" s="33"/>
      <c r="H34" s="33"/>
      <c r="I34" s="38"/>
      <c r="J34" s="30"/>
      <c r="K34" s="36"/>
      <c r="L34" s="38"/>
      <c r="M34" s="44"/>
      <c r="N34" s="179"/>
      <c r="O34" s="44"/>
      <c r="P34" s="44"/>
      <c r="Q34" s="48"/>
    </row>
    <row r="35" ht="22.5" customHeight="1">
      <c r="B35" s="26"/>
      <c r="C35" s="28"/>
      <c r="D35" s="30"/>
      <c r="E35" s="28"/>
      <c r="F35" s="28"/>
      <c r="G35" s="33"/>
      <c r="H35" s="33"/>
      <c r="I35" s="38"/>
      <c r="J35" s="30"/>
      <c r="K35" s="36"/>
      <c r="L35" s="38"/>
      <c r="M35" s="44"/>
      <c r="N35" s="179"/>
      <c r="O35" s="44"/>
      <c r="P35" s="44"/>
      <c r="Q35" s="48"/>
    </row>
    <row r="36" ht="22.5" customHeight="1">
      <c r="B36" s="26"/>
      <c r="C36" s="28"/>
      <c r="D36" s="30"/>
      <c r="E36" s="28"/>
      <c r="F36" s="28"/>
      <c r="G36" s="33"/>
      <c r="H36" s="33"/>
      <c r="I36" s="38"/>
      <c r="J36" s="30"/>
      <c r="K36" s="36"/>
      <c r="L36" s="38"/>
      <c r="M36" s="44"/>
      <c r="N36" s="179"/>
      <c r="O36" s="44"/>
      <c r="P36" s="44"/>
      <c r="Q36" s="48"/>
    </row>
    <row r="37" ht="22.5" customHeight="1">
      <c r="B37" s="26"/>
      <c r="C37" s="28"/>
      <c r="D37" s="30"/>
      <c r="E37" s="28"/>
      <c r="F37" s="28"/>
      <c r="G37" s="33"/>
      <c r="H37" s="33"/>
      <c r="I37" s="38"/>
      <c r="J37" s="30"/>
      <c r="K37" s="36"/>
      <c r="L37" s="38"/>
      <c r="M37" s="44"/>
      <c r="N37" s="179"/>
      <c r="O37" s="44"/>
      <c r="P37" s="44"/>
      <c r="Q37" s="48"/>
    </row>
    <row r="38" ht="22.5" customHeight="1">
      <c r="B38" s="26"/>
      <c r="C38" s="28"/>
      <c r="D38" s="30"/>
      <c r="E38" s="28"/>
      <c r="F38" s="28"/>
      <c r="G38" s="33"/>
      <c r="H38" s="33"/>
      <c r="I38" s="38"/>
      <c r="J38" s="30"/>
      <c r="K38" s="36"/>
      <c r="L38" s="38"/>
      <c r="M38" s="44"/>
      <c r="N38" s="179"/>
      <c r="O38" s="44"/>
      <c r="P38" s="44"/>
      <c r="Q38" s="48"/>
    </row>
    <row r="39" ht="22.5" customHeight="1">
      <c r="B39" s="42"/>
      <c r="C39" s="28"/>
      <c r="D39" s="30"/>
      <c r="E39" s="28"/>
      <c r="F39" s="28"/>
      <c r="G39" s="33"/>
      <c r="H39" s="33"/>
      <c r="I39" s="38"/>
      <c r="J39" s="30"/>
      <c r="K39" s="36"/>
      <c r="L39" s="38"/>
      <c r="M39" s="44"/>
      <c r="N39" s="179"/>
      <c r="O39" s="44"/>
      <c r="P39" s="44"/>
      <c r="Q39" s="48"/>
    </row>
    <row r="40" ht="22.5" customHeight="1">
      <c r="B40" s="42"/>
      <c r="C40" s="28"/>
      <c r="D40" s="30"/>
      <c r="E40" s="28"/>
      <c r="F40" s="28"/>
      <c r="G40" s="33"/>
      <c r="H40" s="33"/>
      <c r="I40" s="38"/>
      <c r="J40" s="30"/>
      <c r="K40" s="36"/>
      <c r="L40" s="38"/>
      <c r="M40" s="44"/>
      <c r="N40" s="179"/>
      <c r="O40" s="44"/>
      <c r="P40" s="44"/>
      <c r="Q40" s="48"/>
    </row>
    <row r="41" ht="22.5" customHeight="1">
      <c r="B41" s="42"/>
      <c r="C41" s="28"/>
      <c r="D41" s="30"/>
      <c r="E41" s="28"/>
      <c r="F41" s="28"/>
      <c r="G41" s="33"/>
      <c r="H41" s="33"/>
      <c r="I41" s="38"/>
      <c r="J41" s="30"/>
      <c r="K41" s="36"/>
      <c r="L41" s="38"/>
      <c r="M41" s="44"/>
      <c r="N41" s="179"/>
      <c r="O41" s="44"/>
      <c r="P41" s="44"/>
      <c r="Q41" s="48"/>
    </row>
    <row r="42" ht="22.5" customHeight="1">
      <c r="B42" s="42"/>
      <c r="C42" s="28"/>
      <c r="D42" s="30"/>
      <c r="E42" s="28"/>
      <c r="F42" s="28"/>
      <c r="G42" s="33"/>
      <c r="H42" s="33"/>
      <c r="I42" s="38"/>
      <c r="J42" s="30"/>
      <c r="K42" s="36"/>
      <c r="L42" s="38"/>
      <c r="M42" s="44"/>
      <c r="N42" s="179"/>
      <c r="O42" s="44"/>
      <c r="P42" s="44"/>
      <c r="Q42" s="48"/>
    </row>
    <row r="43" ht="22.5" customHeight="1">
      <c r="B43" s="42"/>
      <c r="C43" s="28"/>
      <c r="D43" s="30"/>
      <c r="E43" s="28"/>
      <c r="F43" s="28"/>
      <c r="G43" s="33"/>
      <c r="H43" s="33"/>
      <c r="I43" s="38"/>
      <c r="J43" s="30"/>
      <c r="K43" s="36"/>
      <c r="L43" s="38"/>
      <c r="M43" s="44"/>
      <c r="N43" s="179"/>
      <c r="O43" s="44"/>
      <c r="P43" s="44"/>
      <c r="Q43" s="48"/>
    </row>
    <row r="44" ht="22.5" customHeight="1">
      <c r="B44" s="26"/>
      <c r="C44" s="28"/>
      <c r="D44" s="30"/>
      <c r="E44" s="28"/>
      <c r="F44" s="28"/>
      <c r="G44" s="33"/>
      <c r="H44" s="33"/>
      <c r="I44" s="38"/>
      <c r="J44" s="30"/>
      <c r="K44" s="36"/>
      <c r="L44" s="38"/>
      <c r="M44" s="44"/>
      <c r="N44" s="179"/>
      <c r="O44" s="44"/>
      <c r="P44" s="44"/>
      <c r="Q44" s="48"/>
    </row>
    <row r="45" ht="22.5" customHeight="1">
      <c r="B45" s="26"/>
      <c r="C45" s="28"/>
      <c r="D45" s="30"/>
      <c r="E45" s="28"/>
      <c r="F45" s="28"/>
      <c r="G45" s="33"/>
      <c r="H45" s="33"/>
      <c r="I45" s="38"/>
      <c r="J45" s="30"/>
      <c r="K45" s="36"/>
      <c r="L45" s="38"/>
      <c r="M45" s="44"/>
      <c r="N45" s="179"/>
      <c r="O45" s="44"/>
      <c r="P45" s="44"/>
      <c r="Q45" s="48"/>
    </row>
    <row r="46" ht="22.5" customHeight="1">
      <c r="B46" s="42"/>
      <c r="C46" s="60"/>
      <c r="D46" s="51"/>
      <c r="E46" s="60"/>
      <c r="F46" s="60"/>
      <c r="G46" s="114"/>
      <c r="H46" s="114"/>
      <c r="I46" s="48"/>
      <c r="J46" s="44"/>
      <c r="K46" s="115"/>
      <c r="L46" s="48"/>
      <c r="M46" s="44"/>
      <c r="N46" s="179"/>
      <c r="O46" s="44"/>
      <c r="P46" s="44"/>
      <c r="Q46" s="48"/>
    </row>
    <row r="47" ht="22.5" customHeight="1">
      <c r="B47" s="42"/>
      <c r="C47" s="60"/>
      <c r="D47" s="51"/>
      <c r="E47" s="60"/>
      <c r="F47" s="60"/>
      <c r="G47" s="114"/>
      <c r="H47" s="114"/>
      <c r="I47" s="48"/>
      <c r="J47" s="44"/>
      <c r="K47" s="115"/>
      <c r="L47" s="48"/>
      <c r="M47" s="44"/>
      <c r="N47" s="179"/>
      <c r="O47" s="44"/>
      <c r="P47" s="44"/>
      <c r="Q47" s="48"/>
    </row>
    <row r="48" ht="22.5" customHeight="1">
      <c r="B48" s="42"/>
      <c r="C48" s="60"/>
      <c r="D48" s="51"/>
      <c r="E48" s="60"/>
      <c r="F48" s="60"/>
      <c r="G48" s="114"/>
      <c r="H48" s="114"/>
      <c r="I48" s="48"/>
      <c r="J48" s="44"/>
      <c r="K48" s="115"/>
      <c r="L48" s="48"/>
      <c r="M48" s="44"/>
      <c r="N48" s="179"/>
      <c r="O48" s="44"/>
      <c r="P48" s="44"/>
      <c r="Q48" s="48"/>
    </row>
    <row r="49" ht="22.5" customHeight="1">
      <c r="B49" s="42"/>
      <c r="C49" s="60"/>
      <c r="D49" s="51"/>
      <c r="E49" s="60"/>
      <c r="F49" s="60"/>
      <c r="G49" s="114"/>
      <c r="H49" s="114"/>
      <c r="I49" s="48"/>
      <c r="J49" s="44"/>
      <c r="K49" s="115"/>
      <c r="L49" s="48"/>
      <c r="M49" s="44"/>
      <c r="N49" s="179"/>
      <c r="O49" s="44"/>
      <c r="P49" s="44"/>
      <c r="Q49" s="48"/>
    </row>
    <row r="50" ht="22.5" customHeight="1">
      <c r="B50" s="42"/>
      <c r="C50" s="60"/>
      <c r="D50" s="51"/>
      <c r="E50" s="60"/>
      <c r="F50" s="60"/>
      <c r="G50" s="114"/>
      <c r="H50" s="114"/>
      <c r="I50" s="48"/>
      <c r="J50" s="44"/>
      <c r="K50" s="115"/>
      <c r="L50" s="48"/>
      <c r="M50" s="44"/>
      <c r="N50" s="179"/>
      <c r="O50" s="44"/>
      <c r="P50" s="44"/>
      <c r="Q50" s="48"/>
    </row>
    <row r="51" ht="22.5" customHeight="1">
      <c r="B51" s="42"/>
      <c r="C51" s="60"/>
      <c r="D51" s="51"/>
      <c r="E51" s="60"/>
      <c r="F51" s="60"/>
      <c r="G51" s="114"/>
      <c r="H51" s="114"/>
      <c r="I51" s="48"/>
      <c r="J51" s="44"/>
      <c r="K51" s="115"/>
      <c r="L51" s="48"/>
      <c r="M51" s="44"/>
      <c r="N51" s="179"/>
      <c r="O51" s="44"/>
      <c r="P51" s="44"/>
      <c r="Q51" s="48"/>
    </row>
    <row r="52" ht="22.5" customHeight="1">
      <c r="B52" s="42"/>
      <c r="C52" s="60"/>
      <c r="D52" s="51"/>
      <c r="E52" s="60"/>
      <c r="F52" s="60"/>
      <c r="G52" s="114"/>
      <c r="H52" s="114"/>
      <c r="I52" s="48"/>
      <c r="J52" s="44"/>
      <c r="K52" s="115"/>
      <c r="L52" s="48"/>
      <c r="M52" s="44"/>
      <c r="N52" s="179"/>
      <c r="O52" s="44"/>
      <c r="P52" s="44"/>
      <c r="Q52" s="48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 N10:N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I52 L10:L52 Q10:Q52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1">
      <c r="A1" s="182"/>
    </row>
    <row r="3" ht="26.25" customHeight="1">
      <c r="D3" s="9" t="s">
        <v>169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800000.0</v>
      </c>
      <c r="F4" s="15">
        <f>SUMIFS(OPI_4[MAF NETO],OPI_4[ESTADO],"Desembolsado")</f>
        <v>42000</v>
      </c>
      <c r="G4" s="15">
        <f>F4-E4</f>
        <v>-758000</v>
      </c>
      <c r="H4" s="16">
        <f>SUMIFS(OPI_4[MAF NETO],OPI_4[ESTADO],H$3)</f>
        <v>0</v>
      </c>
      <c r="I4" s="16">
        <f>SUMIFS(OPI_4[MAF NETO],OPI_4[ESTADO],I$3)</f>
        <v>0</v>
      </c>
      <c r="J4" s="16">
        <f>SUMIFS(OPI_4[MAF NETO],OPI_4[ESTADO],J$3)</f>
        <v>259500</v>
      </c>
      <c r="K4" s="16">
        <f>SUMIFS(OPI_4[MAF NETO],OPI_4[ESTADO],K$3)</f>
        <v>50100</v>
      </c>
      <c r="L4" s="16">
        <f>SUMIFS(OPI_4[MAF NETO],OPI_4[ESTADO],L$3)</f>
        <v>0</v>
      </c>
      <c r="M4" s="16">
        <f>SUMIFS(OPI_4[MAF NETO],OPI_4[ESTADO],M$3)</f>
        <v>0</v>
      </c>
      <c r="N4" s="16">
        <f>SUMIFS(OPI_4[MAF NETO],OPI_4[ESTADO],N$3)</f>
        <v>0</v>
      </c>
    </row>
    <row r="5" ht="26.25" customHeight="1">
      <c r="D5" s="17" t="s">
        <v>31</v>
      </c>
      <c r="E5" s="18" t="s">
        <v>32</v>
      </c>
      <c r="F5" s="19">
        <f>COUNTIFS(OPI_4[ESTADO],"Desembolsado")</f>
        <v>1</v>
      </c>
      <c r="G5" s="20">
        <f>IFERROR(F4/E4,"")</f>
        <v>0.0525</v>
      </c>
      <c r="H5" s="19">
        <f>COUNTIFS(OPI_4[ESTADO],H$3)</f>
        <v>0</v>
      </c>
      <c r="I5" s="19">
        <f>COUNTIFS(OPI_4[ESTADO],I$3)</f>
        <v>0</v>
      </c>
      <c r="J5" s="19">
        <f>COUNTIFS(OPI_4[ESTADO],J$3)</f>
        <v>4</v>
      </c>
      <c r="K5" s="19">
        <f>COUNTIFS(OPI_4[ESTADO],K$3)</f>
        <v>1</v>
      </c>
      <c r="L5" s="19">
        <f>COUNTIFS(OPI_4[ESTADO],L$3)</f>
        <v>0</v>
      </c>
      <c r="M5" s="19">
        <f>COUNTIFS(OPI_4[ESTADO],M$3)</f>
        <v>0</v>
      </c>
      <c r="N5" s="19">
        <f>COUNTIFS(OPI_4[ESTADO],N$3)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169</v>
      </c>
      <c r="C10" s="28">
        <v>46258.0</v>
      </c>
      <c r="D10" s="30" t="s">
        <v>52</v>
      </c>
      <c r="E10" s="28">
        <v>46260.0</v>
      </c>
      <c r="F10" s="183">
        <v>46266.0</v>
      </c>
      <c r="G10" s="184" t="s">
        <v>346</v>
      </c>
      <c r="H10" s="184" t="s">
        <v>347</v>
      </c>
      <c r="I10" s="26" t="s">
        <v>65</v>
      </c>
      <c r="J10" s="30" t="s">
        <v>19</v>
      </c>
      <c r="K10" s="36">
        <v>42000.0</v>
      </c>
      <c r="L10" s="26" t="s">
        <v>350</v>
      </c>
      <c r="M10" s="51"/>
      <c r="N10" s="26"/>
      <c r="O10" s="30"/>
      <c r="P10" s="44"/>
      <c r="Q10" s="42"/>
    </row>
    <row r="11" ht="22.5" customHeight="1">
      <c r="B11" s="26" t="s">
        <v>169</v>
      </c>
      <c r="C11" s="28">
        <v>46262.0</v>
      </c>
      <c r="D11" s="30" t="s">
        <v>52</v>
      </c>
      <c r="E11" s="28">
        <v>46269.0</v>
      </c>
      <c r="F11" s="28"/>
      <c r="G11" s="185" t="s">
        <v>353</v>
      </c>
      <c r="H11" s="185" t="s">
        <v>354</v>
      </c>
      <c r="I11" s="26" t="s">
        <v>65</v>
      </c>
      <c r="J11" s="30" t="s">
        <v>24</v>
      </c>
      <c r="K11" s="36">
        <v>50100.0</v>
      </c>
      <c r="L11" s="26" t="s">
        <v>355</v>
      </c>
      <c r="M11" s="44"/>
      <c r="N11" s="42"/>
      <c r="O11" s="30"/>
      <c r="P11" s="44"/>
      <c r="Q11" s="42"/>
    </row>
    <row r="12" ht="22.5" customHeight="1">
      <c r="B12" s="26" t="s">
        <v>169</v>
      </c>
      <c r="C12" s="28">
        <v>46267.0</v>
      </c>
      <c r="D12" s="30" t="s">
        <v>54</v>
      </c>
      <c r="E12" s="28"/>
      <c r="F12" s="28"/>
      <c r="G12" s="33" t="s">
        <v>358</v>
      </c>
      <c r="H12" s="33" t="s">
        <v>359</v>
      </c>
      <c r="I12" s="26" t="s">
        <v>186</v>
      </c>
      <c r="J12" s="30" t="s">
        <v>74</v>
      </c>
      <c r="K12" s="36">
        <v>50000.0</v>
      </c>
      <c r="L12" s="26" t="s">
        <v>360</v>
      </c>
      <c r="M12" s="44"/>
      <c r="N12" s="42"/>
      <c r="O12" s="30"/>
      <c r="P12" s="44"/>
      <c r="Q12" s="26"/>
    </row>
    <row r="13" ht="22.5" customHeight="1">
      <c r="B13" s="26" t="s">
        <v>169</v>
      </c>
      <c r="C13" s="28">
        <v>46269.0</v>
      </c>
      <c r="D13" s="30" t="s">
        <v>54</v>
      </c>
      <c r="E13" s="28"/>
      <c r="F13" s="26"/>
      <c r="G13" s="33" t="s">
        <v>363</v>
      </c>
      <c r="H13" s="33" t="s">
        <v>364</v>
      </c>
      <c r="I13" s="26" t="s">
        <v>186</v>
      </c>
      <c r="J13" s="30" t="s">
        <v>74</v>
      </c>
      <c r="K13" s="36">
        <v>83000.0</v>
      </c>
      <c r="L13" s="26" t="s">
        <v>350</v>
      </c>
      <c r="M13" s="44"/>
      <c r="N13" s="42"/>
      <c r="O13" s="30"/>
      <c r="P13" s="44"/>
      <c r="Q13" s="26"/>
    </row>
    <row r="14" ht="22.5" customHeight="1">
      <c r="B14" s="26" t="s">
        <v>169</v>
      </c>
      <c r="C14" s="28">
        <v>46266.0</v>
      </c>
      <c r="D14" s="30" t="s">
        <v>52</v>
      </c>
      <c r="E14" s="28">
        <v>46269.0</v>
      </c>
      <c r="F14" s="28"/>
      <c r="G14" s="33" t="s">
        <v>367</v>
      </c>
      <c r="H14" s="33" t="s">
        <v>368</v>
      </c>
      <c r="I14" s="26" t="s">
        <v>65</v>
      </c>
      <c r="J14" s="30" t="s">
        <v>74</v>
      </c>
      <c r="K14" s="36">
        <v>59500.0</v>
      </c>
      <c r="L14" s="26" t="s">
        <v>355</v>
      </c>
      <c r="M14" s="44"/>
      <c r="N14" s="42"/>
      <c r="O14" s="30"/>
      <c r="P14" s="44"/>
      <c r="Q14" s="42"/>
    </row>
    <row r="15" ht="22.5" customHeight="1">
      <c r="B15" s="26" t="s">
        <v>169</v>
      </c>
      <c r="C15" s="28">
        <v>46268.0</v>
      </c>
      <c r="D15" s="30" t="s">
        <v>54</v>
      </c>
      <c r="E15" s="28"/>
      <c r="F15" s="28"/>
      <c r="G15" s="33" t="s">
        <v>371</v>
      </c>
      <c r="H15" s="33" t="s">
        <v>372</v>
      </c>
      <c r="I15" s="26" t="s">
        <v>373</v>
      </c>
      <c r="J15" s="30" t="s">
        <v>74</v>
      </c>
      <c r="K15" s="36">
        <v>67000.0</v>
      </c>
      <c r="L15" s="26" t="s">
        <v>355</v>
      </c>
      <c r="M15" s="44"/>
      <c r="N15" s="42"/>
      <c r="O15" s="30"/>
      <c r="P15" s="44"/>
      <c r="Q15" s="42"/>
    </row>
    <row r="16" ht="22.5" customHeight="1">
      <c r="B16" s="26"/>
      <c r="C16" s="28"/>
      <c r="D16" s="30"/>
      <c r="E16" s="60"/>
      <c r="F16" s="60"/>
      <c r="G16" s="33"/>
      <c r="H16" s="33"/>
      <c r="I16" s="26"/>
      <c r="J16" s="30"/>
      <c r="K16" s="36"/>
      <c r="L16" s="26"/>
      <c r="M16" s="44"/>
      <c r="N16" s="42"/>
      <c r="O16" s="44"/>
      <c r="P16" s="44"/>
      <c r="Q16" s="42"/>
    </row>
    <row r="17" ht="22.5" customHeight="1">
      <c r="B17" s="26"/>
      <c r="C17" s="28"/>
      <c r="D17" s="30"/>
      <c r="E17" s="60"/>
      <c r="F17" s="60"/>
      <c r="G17" s="33"/>
      <c r="H17" s="33"/>
      <c r="I17" s="26"/>
      <c r="J17" s="30"/>
      <c r="K17" s="36"/>
      <c r="L17" s="26"/>
      <c r="M17" s="44"/>
      <c r="N17" s="42"/>
      <c r="O17" s="44"/>
      <c r="P17" s="44"/>
      <c r="Q17" s="42"/>
    </row>
    <row r="18" ht="22.5" customHeight="1">
      <c r="B18" s="26"/>
      <c r="C18" s="28"/>
      <c r="D18" s="30"/>
      <c r="E18" s="60"/>
      <c r="F18" s="60"/>
      <c r="G18" s="33"/>
      <c r="H18" s="33"/>
      <c r="I18" s="26"/>
      <c r="J18" s="30"/>
      <c r="K18" s="36"/>
      <c r="L18" s="26"/>
      <c r="M18" s="44"/>
      <c r="N18" s="42"/>
      <c r="O18" s="44"/>
      <c r="P18" s="44"/>
      <c r="Q18" s="42"/>
    </row>
    <row r="19" ht="22.5" customHeight="1">
      <c r="B19" s="42"/>
      <c r="C19" s="60"/>
      <c r="D19" s="51"/>
      <c r="E19" s="60"/>
      <c r="F19" s="60"/>
      <c r="G19" s="114"/>
      <c r="H19" s="114"/>
      <c r="I19" s="42"/>
      <c r="J19" s="44"/>
      <c r="K19" s="115"/>
      <c r="L19" s="42"/>
      <c r="M19" s="44"/>
      <c r="N19" s="42"/>
      <c r="O19" s="44"/>
      <c r="P19" s="44"/>
      <c r="Q19" s="42"/>
    </row>
    <row r="20" ht="22.5" customHeight="1">
      <c r="B20" s="42"/>
      <c r="C20" s="60"/>
      <c r="D20" s="51"/>
      <c r="E20" s="60"/>
      <c r="F20" s="60"/>
      <c r="G20" s="114"/>
      <c r="H20" s="114"/>
      <c r="I20" s="42"/>
      <c r="J20" s="44"/>
      <c r="K20" s="115"/>
      <c r="L20" s="42"/>
      <c r="M20" s="44"/>
      <c r="N20" s="42"/>
      <c r="O20" s="44"/>
      <c r="P20" s="44"/>
      <c r="Q20" s="42"/>
    </row>
    <row r="21" ht="22.5" customHeight="1">
      <c r="B21" s="42"/>
      <c r="C21" s="60"/>
      <c r="D21" s="51"/>
      <c r="E21" s="60"/>
      <c r="F21" s="60"/>
      <c r="G21" s="114"/>
      <c r="H21" s="114"/>
      <c r="I21" s="42"/>
      <c r="J21" s="44"/>
      <c r="K21" s="115"/>
      <c r="L21" s="42"/>
      <c r="M21" s="44"/>
      <c r="N21" s="42"/>
      <c r="O21" s="44"/>
      <c r="P21" s="44"/>
      <c r="Q21" s="42"/>
    </row>
    <row r="22" ht="22.5" customHeight="1">
      <c r="B22" s="42"/>
      <c r="C22" s="60"/>
      <c r="D22" s="51"/>
      <c r="E22" s="60"/>
      <c r="F22" s="60"/>
      <c r="G22" s="114"/>
      <c r="H22" s="114"/>
      <c r="I22" s="42"/>
      <c r="J22" s="44"/>
      <c r="K22" s="115"/>
      <c r="L22" s="42"/>
      <c r="M22" s="44"/>
      <c r="N22" s="42"/>
      <c r="O22" s="44"/>
      <c r="P22" s="44"/>
      <c r="Q22" s="42"/>
    </row>
    <row r="23" ht="22.5" customHeight="1">
      <c r="B23" s="42"/>
      <c r="C23" s="60"/>
      <c r="D23" s="51"/>
      <c r="E23" s="60"/>
      <c r="F23" s="60"/>
      <c r="G23" s="114"/>
      <c r="H23" s="114"/>
      <c r="I23" s="42"/>
      <c r="J23" s="44"/>
      <c r="K23" s="115"/>
      <c r="L23" s="42"/>
      <c r="M23" s="44"/>
      <c r="N23" s="42"/>
      <c r="O23" s="44"/>
      <c r="P23" s="44"/>
      <c r="Q23" s="42"/>
    </row>
    <row r="24" ht="22.5" customHeight="1">
      <c r="B24" s="42"/>
      <c r="C24" s="60"/>
      <c r="D24" s="51"/>
      <c r="E24" s="60"/>
      <c r="F24" s="60"/>
      <c r="G24" s="114"/>
      <c r="H24" s="114"/>
      <c r="I24" s="42"/>
      <c r="J24" s="44"/>
      <c r="K24" s="115"/>
      <c r="L24" s="42"/>
      <c r="M24" s="44"/>
      <c r="N24" s="42"/>
      <c r="O24" s="44"/>
      <c r="P24" s="44"/>
      <c r="Q24" s="42"/>
    </row>
    <row r="25" ht="22.5" customHeight="1">
      <c r="B25" s="42"/>
      <c r="C25" s="60"/>
      <c r="D25" s="51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SUMIFS(OPI_6[MAF NETO],OPI_6[ESTADO],"Desembolsado")</f>
        <v>83000</v>
      </c>
      <c r="G4" s="15">
        <f>F4-E4</f>
        <v>-917000</v>
      </c>
      <c r="H4" s="16">
        <f>SUMIFS(OPI_6[MAF NETO],OPI_6[ESTADO],H$3)</f>
        <v>0</v>
      </c>
      <c r="I4" s="16">
        <f>SUMIFS(OPI_6[MAF NETO],OPI_6[ESTADO],I$3)</f>
        <v>0</v>
      </c>
      <c r="J4" s="16">
        <f>SUMIFS(OPI_6[MAF NETO],OPI_6[ESTADO],J$3)</f>
        <v>24600</v>
      </c>
      <c r="K4" s="16">
        <f>SUMIFS(OPI_6[MAF NETO],OPI_6[ESTADO],K$3)</f>
        <v>204400</v>
      </c>
      <c r="L4" s="16">
        <f>SUMIFS(OPI_6[MAF NETO],OPI_6[ESTADO],L$3)</f>
        <v>0</v>
      </c>
      <c r="M4" s="16">
        <f>SUMIFS(OPI_6[MAF NETO],OPI_6[ESTADO],M$3)</f>
        <v>21160</v>
      </c>
      <c r="N4" s="16">
        <f>SUMIFS(OPI_6[MAF NETO],OPI_6[ESTADO],N$3)</f>
        <v>0</v>
      </c>
    </row>
    <row r="5" ht="26.25" customHeight="1">
      <c r="D5" s="17" t="s">
        <v>31</v>
      </c>
      <c r="E5" s="18" t="s">
        <v>32</v>
      </c>
      <c r="F5" s="19">
        <f>COUNTIFS(OPI_6[ESTADO],"Desembolsado")</f>
        <v>3</v>
      </c>
      <c r="G5" s="20">
        <f>IFERROR(F4/E4,"")</f>
        <v>0.083</v>
      </c>
      <c r="H5" s="19">
        <f>COUNTIFS(OPI_6[ESTADO],H$3)</f>
        <v>0</v>
      </c>
      <c r="I5" s="19">
        <f>COUNTIFS(OPI_6[ESTADO],I$3)</f>
        <v>0</v>
      </c>
      <c r="J5" s="19">
        <f>COUNTIFS(OPI_6[ESTADO],J$3)</f>
        <v>1</v>
      </c>
      <c r="K5" s="19">
        <f>COUNTIFS(OPI_6[ESTADO],K$3)</f>
        <v>3</v>
      </c>
      <c r="L5" s="19">
        <f>COUNTIFS(OPI_6[ESTADO],L$3)</f>
        <v>0</v>
      </c>
      <c r="M5" s="19">
        <f>COUNTIFS(OPI_6[ESTADO],M$3)</f>
        <v>1</v>
      </c>
      <c r="N5" s="19">
        <f>COUNTIFS(OPI_6[ESTADO],N$3)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277</v>
      </c>
      <c r="C10" s="28">
        <v>46261.0</v>
      </c>
      <c r="D10" s="30" t="s">
        <v>52</v>
      </c>
      <c r="E10" s="28">
        <v>46261.0</v>
      </c>
      <c r="F10" s="28">
        <v>46266.0</v>
      </c>
      <c r="G10" s="33" t="s">
        <v>374</v>
      </c>
      <c r="H10" s="33" t="s">
        <v>375</v>
      </c>
      <c r="I10" s="26" t="s">
        <v>65</v>
      </c>
      <c r="J10" s="30" t="s">
        <v>19</v>
      </c>
      <c r="K10" s="36">
        <v>20000.0</v>
      </c>
      <c r="L10" s="26" t="s">
        <v>376</v>
      </c>
      <c r="M10" s="30"/>
      <c r="N10" s="26"/>
      <c r="O10" s="44"/>
      <c r="P10" s="44"/>
      <c r="Q10" s="26"/>
    </row>
    <row r="11" ht="22.5" customHeight="1">
      <c r="B11" s="26" t="s">
        <v>277</v>
      </c>
      <c r="C11" s="28">
        <v>46266.0</v>
      </c>
      <c r="D11" s="30" t="s">
        <v>54</v>
      </c>
      <c r="E11" s="28">
        <v>46266.0</v>
      </c>
      <c r="F11" s="28"/>
      <c r="G11" s="33" t="s">
        <v>377</v>
      </c>
      <c r="H11" s="33" t="s">
        <v>378</v>
      </c>
      <c r="I11" s="26" t="s">
        <v>126</v>
      </c>
      <c r="J11" s="30" t="s">
        <v>26</v>
      </c>
      <c r="K11" s="36">
        <v>21160.0</v>
      </c>
      <c r="L11" s="26" t="s">
        <v>379</v>
      </c>
      <c r="M11" s="44"/>
      <c r="N11" s="42"/>
      <c r="O11" s="44"/>
      <c r="P11" s="44"/>
      <c r="Q11" s="26"/>
    </row>
    <row r="12" ht="22.5" customHeight="1">
      <c r="B12" s="26" t="s">
        <v>380</v>
      </c>
      <c r="C12" s="28">
        <v>46266.0</v>
      </c>
      <c r="D12" s="30" t="s">
        <v>52</v>
      </c>
      <c r="E12" s="28">
        <v>46266.0</v>
      </c>
      <c r="F12" s="28">
        <v>46269.0</v>
      </c>
      <c r="G12" s="33" t="s">
        <v>381</v>
      </c>
      <c r="H12" s="33" t="s">
        <v>382</v>
      </c>
      <c r="I12" s="26" t="s">
        <v>383</v>
      </c>
      <c r="J12" s="30" t="s">
        <v>19</v>
      </c>
      <c r="K12" s="36">
        <v>3000.0</v>
      </c>
      <c r="L12" s="26" t="s">
        <v>379</v>
      </c>
      <c r="M12" s="44"/>
      <c r="N12" s="42"/>
      <c r="O12" s="44"/>
      <c r="P12" s="44"/>
      <c r="Q12" s="26"/>
    </row>
    <row r="13" ht="22.5" customHeight="1">
      <c r="B13" s="26" t="s">
        <v>277</v>
      </c>
      <c r="C13" s="28">
        <v>46266.0</v>
      </c>
      <c r="D13" s="30" t="s">
        <v>52</v>
      </c>
      <c r="E13" s="28">
        <v>46266.0</v>
      </c>
      <c r="F13" s="28"/>
      <c r="G13" s="33" t="s">
        <v>384</v>
      </c>
      <c r="H13" s="33" t="s">
        <v>385</v>
      </c>
      <c r="I13" s="26" t="s">
        <v>373</v>
      </c>
      <c r="J13" s="30" t="s">
        <v>74</v>
      </c>
      <c r="K13" s="36">
        <v>24600.0</v>
      </c>
      <c r="L13" s="26" t="s">
        <v>386</v>
      </c>
      <c r="M13" s="44"/>
      <c r="N13" s="42"/>
      <c r="O13" s="44"/>
      <c r="P13" s="44"/>
      <c r="Q13" s="26"/>
    </row>
    <row r="14" ht="22.5" customHeight="1">
      <c r="B14" s="26" t="s">
        <v>277</v>
      </c>
      <c r="C14" s="28">
        <v>46267.0</v>
      </c>
      <c r="D14" s="30" t="s">
        <v>52</v>
      </c>
      <c r="E14" s="28">
        <v>46266.0</v>
      </c>
      <c r="F14" s="28"/>
      <c r="G14" s="33" t="s">
        <v>387</v>
      </c>
      <c r="H14" s="33" t="s">
        <v>388</v>
      </c>
      <c r="I14" s="26" t="s">
        <v>389</v>
      </c>
      <c r="J14" s="30" t="s">
        <v>24</v>
      </c>
      <c r="K14" s="36">
        <v>63600.0</v>
      </c>
      <c r="L14" s="26" t="s">
        <v>390</v>
      </c>
      <c r="M14" s="30"/>
      <c r="N14" s="42"/>
      <c r="O14" s="44"/>
      <c r="P14" s="44"/>
      <c r="Q14" s="26"/>
    </row>
    <row r="15" ht="22.5" customHeight="1">
      <c r="B15" s="26" t="s">
        <v>277</v>
      </c>
      <c r="C15" s="28">
        <v>46268.0</v>
      </c>
      <c r="D15" s="30" t="s">
        <v>52</v>
      </c>
      <c r="E15" s="28">
        <v>46267.0</v>
      </c>
      <c r="F15" s="28">
        <v>46272.0</v>
      </c>
      <c r="G15" s="33" t="s">
        <v>391</v>
      </c>
      <c r="H15" s="33" t="s">
        <v>392</v>
      </c>
      <c r="I15" s="26" t="s">
        <v>126</v>
      </c>
      <c r="J15" s="30" t="s">
        <v>19</v>
      </c>
      <c r="K15" s="36">
        <v>60000.0</v>
      </c>
      <c r="L15" s="26" t="s">
        <v>386</v>
      </c>
      <c r="M15" s="30"/>
      <c r="N15" s="42"/>
      <c r="O15" s="44"/>
      <c r="P15" s="44"/>
      <c r="Q15" s="26" t="s">
        <v>393</v>
      </c>
    </row>
    <row r="16" ht="22.5" customHeight="1">
      <c r="B16" s="26" t="s">
        <v>277</v>
      </c>
      <c r="C16" s="28">
        <v>46268.0</v>
      </c>
      <c r="D16" s="30" t="s">
        <v>52</v>
      </c>
      <c r="E16" s="28">
        <v>46267.0</v>
      </c>
      <c r="F16" s="28"/>
      <c r="G16" s="33" t="s">
        <v>394</v>
      </c>
      <c r="H16" s="33" t="s">
        <v>395</v>
      </c>
      <c r="I16" s="26" t="s">
        <v>389</v>
      </c>
      <c r="J16" s="30" t="s">
        <v>24</v>
      </c>
      <c r="K16" s="36">
        <v>79600.0</v>
      </c>
      <c r="L16" s="26" t="s">
        <v>386</v>
      </c>
      <c r="M16" s="44"/>
      <c r="N16" s="42"/>
      <c r="O16" s="44"/>
      <c r="P16" s="44"/>
      <c r="Q16" s="26" t="s">
        <v>393</v>
      </c>
    </row>
    <row r="17" ht="22.5" customHeight="1">
      <c r="B17" s="26" t="s">
        <v>277</v>
      </c>
      <c r="C17" s="28"/>
      <c r="D17" s="30"/>
      <c r="E17" s="28"/>
      <c r="F17" s="28"/>
      <c r="G17" s="33"/>
      <c r="H17" s="33"/>
      <c r="I17" s="26"/>
      <c r="J17" s="30"/>
      <c r="K17" s="36">
        <v>72250.0</v>
      </c>
      <c r="L17" s="26"/>
      <c r="M17" s="44"/>
      <c r="N17" s="42"/>
      <c r="O17" s="44"/>
      <c r="P17" s="44"/>
      <c r="Q17" s="26"/>
    </row>
    <row r="18" ht="22.5" customHeight="1">
      <c r="B18" s="26" t="s">
        <v>277</v>
      </c>
      <c r="C18" s="28"/>
      <c r="D18" s="30"/>
      <c r="E18" s="28"/>
      <c r="F18" s="28"/>
      <c r="G18" s="33"/>
      <c r="H18" s="33"/>
      <c r="I18" s="26"/>
      <c r="J18" s="30"/>
      <c r="K18" s="36">
        <v>39300.0</v>
      </c>
      <c r="L18" s="26"/>
      <c r="M18" s="30"/>
      <c r="N18" s="42"/>
      <c r="O18" s="44"/>
      <c r="P18" s="44"/>
      <c r="Q18" s="26"/>
    </row>
    <row r="19" ht="22.5" customHeight="1">
      <c r="B19" s="26" t="s">
        <v>277</v>
      </c>
      <c r="C19" s="28">
        <v>46269.0</v>
      </c>
      <c r="D19" s="30" t="s">
        <v>54</v>
      </c>
      <c r="E19" s="28">
        <v>46272.0</v>
      </c>
      <c r="F19" s="28"/>
      <c r="G19" s="33" t="s">
        <v>396</v>
      </c>
      <c r="H19" s="33" t="s">
        <v>397</v>
      </c>
      <c r="I19" s="26" t="s">
        <v>186</v>
      </c>
      <c r="J19" s="30" t="s">
        <v>24</v>
      </c>
      <c r="K19" s="36">
        <v>61200.0</v>
      </c>
      <c r="L19" s="26" t="s">
        <v>386</v>
      </c>
      <c r="M19" s="44"/>
      <c r="N19" s="42"/>
      <c r="O19" s="44"/>
      <c r="P19" s="44"/>
      <c r="Q19" s="26"/>
    </row>
    <row r="20" ht="22.5" customHeight="1">
      <c r="B20" s="26"/>
      <c r="C20" s="28"/>
      <c r="D20" s="30"/>
      <c r="E20" s="28"/>
      <c r="F20" s="28"/>
      <c r="G20" s="33"/>
      <c r="H20" s="33"/>
      <c r="I20" s="26"/>
      <c r="J20" s="30"/>
      <c r="K20" s="36"/>
      <c r="L20" s="26"/>
      <c r="M20" s="44"/>
      <c r="N20" s="42"/>
      <c r="O20" s="44"/>
      <c r="P20" s="44"/>
      <c r="Q20" s="26"/>
    </row>
    <row r="21" ht="22.5" customHeight="1">
      <c r="B21" s="26"/>
      <c r="C21" s="28"/>
      <c r="D21" s="30"/>
      <c r="E21" s="28"/>
      <c r="F21" s="28"/>
      <c r="G21" s="33"/>
      <c r="H21" s="33"/>
      <c r="I21" s="26"/>
      <c r="J21" s="30"/>
      <c r="K21" s="36"/>
      <c r="L21" s="26"/>
      <c r="M21" s="44"/>
      <c r="N21" s="42"/>
      <c r="O21" s="44"/>
      <c r="P21" s="44"/>
      <c r="Q21" s="42"/>
    </row>
    <row r="22" ht="22.5" customHeight="1">
      <c r="B22" s="26"/>
      <c r="C22" s="28"/>
      <c r="D22" s="30"/>
      <c r="E22" s="28"/>
      <c r="F22" s="60"/>
      <c r="G22" s="33"/>
      <c r="H22" s="33"/>
      <c r="I22" s="26"/>
      <c r="J22" s="30"/>
      <c r="K22" s="36"/>
      <c r="L22" s="26"/>
      <c r="M22" s="44"/>
      <c r="N22" s="42"/>
      <c r="O22" s="44"/>
      <c r="P22" s="44"/>
      <c r="Q22" s="26"/>
    </row>
    <row r="23" ht="22.5" customHeight="1">
      <c r="B23" s="26"/>
      <c r="C23" s="28"/>
      <c r="D23" s="30"/>
      <c r="E23" s="28"/>
      <c r="F23" s="60"/>
      <c r="G23" s="33"/>
      <c r="H23" s="33"/>
      <c r="I23" s="26"/>
      <c r="J23" s="30"/>
      <c r="K23" s="36"/>
      <c r="L23" s="26"/>
      <c r="M23" s="44"/>
      <c r="N23" s="42"/>
      <c r="O23" s="44"/>
      <c r="P23" s="44"/>
      <c r="Q23" s="26"/>
    </row>
    <row r="24" ht="22.5" customHeight="1">
      <c r="B24" s="26"/>
      <c r="C24" s="28"/>
      <c r="D24" s="30"/>
      <c r="E24" s="28"/>
      <c r="F24" s="28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26"/>
    </row>
    <row r="25" ht="22.5" customHeight="1">
      <c r="B25" s="26"/>
      <c r="C25" s="28"/>
      <c r="D25" s="30"/>
      <c r="E25" s="28"/>
      <c r="F25" s="28"/>
      <c r="G25" s="33"/>
      <c r="H25" s="33"/>
      <c r="I25" s="26"/>
      <c r="J25" s="30"/>
      <c r="K25" s="36"/>
      <c r="L25" s="26"/>
      <c r="M25" s="44"/>
      <c r="N25" s="42"/>
      <c r="O25" s="44"/>
      <c r="P25" s="44"/>
      <c r="Q25" s="42"/>
    </row>
    <row r="26" ht="22.5" customHeight="1">
      <c r="B26" s="26"/>
      <c r="C26" s="28"/>
      <c r="D26" s="30"/>
      <c r="E26" s="28"/>
      <c r="F26" s="28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26"/>
      <c r="C27" s="28"/>
      <c r="D27" s="30"/>
      <c r="E27" s="28"/>
      <c r="F27" s="60"/>
      <c r="G27" s="33"/>
      <c r="H27" s="33"/>
      <c r="I27" s="18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26"/>
      <c r="C28" s="28"/>
      <c r="D28" s="30"/>
      <c r="E28" s="28"/>
      <c r="F28" s="60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26"/>
      <c r="C29" s="28"/>
      <c r="D29" s="30"/>
      <c r="E29" s="28"/>
      <c r="F29" s="60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26"/>
      <c r="C30" s="28"/>
      <c r="D30" s="30"/>
      <c r="E30" s="28"/>
      <c r="F30" s="60"/>
      <c r="G30" s="33"/>
      <c r="H30" s="33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26"/>
      <c r="C31" s="28"/>
      <c r="D31" s="30"/>
      <c r="E31" s="28"/>
      <c r="F31" s="60"/>
      <c r="G31" s="33"/>
      <c r="H31" s="33"/>
      <c r="I31" s="26"/>
      <c r="J31" s="30"/>
      <c r="K31" s="36"/>
      <c r="L31" s="26"/>
      <c r="M31" s="44"/>
      <c r="N31" s="42"/>
      <c r="O31" s="44"/>
      <c r="P31" s="44"/>
      <c r="Q31" s="26"/>
    </row>
    <row r="32" ht="22.5" customHeight="1">
      <c r="B32" s="26"/>
      <c r="C32" s="28"/>
      <c r="D32" s="30"/>
      <c r="E32" s="28"/>
      <c r="F32" s="60"/>
      <c r="G32" s="33"/>
      <c r="H32" s="33"/>
      <c r="I32" s="26"/>
      <c r="J32" s="30"/>
      <c r="K32" s="36"/>
      <c r="L32" s="26"/>
      <c r="M32" s="44"/>
      <c r="N32" s="42"/>
      <c r="O32" s="44"/>
      <c r="P32" s="44"/>
      <c r="Q32" s="42"/>
    </row>
    <row r="33" ht="22.5" customHeight="1">
      <c r="B33" s="26"/>
      <c r="C33" s="28"/>
      <c r="D33" s="30"/>
      <c r="E33" s="28"/>
      <c r="F33" s="60"/>
      <c r="G33" s="33"/>
      <c r="H33" s="33"/>
      <c r="I33" s="26"/>
      <c r="J33" s="30"/>
      <c r="K33" s="36"/>
      <c r="L33" s="26"/>
      <c r="M33" s="44"/>
      <c r="N33" s="42"/>
      <c r="O33" s="44"/>
      <c r="P33" s="44"/>
      <c r="Q33" s="26"/>
    </row>
    <row r="34" ht="22.5" customHeight="1">
      <c r="B34" s="26"/>
      <c r="C34" s="28"/>
      <c r="D34" s="30"/>
      <c r="E34" s="28"/>
      <c r="F34" s="60"/>
      <c r="G34" s="33"/>
      <c r="H34" s="33"/>
      <c r="I34" s="26"/>
      <c r="J34" s="30"/>
      <c r="K34" s="36"/>
      <c r="L34" s="26"/>
      <c r="M34" s="44"/>
      <c r="N34" s="42"/>
      <c r="O34" s="44"/>
      <c r="P34" s="44"/>
      <c r="Q34" s="42"/>
    </row>
    <row r="35" ht="22.5" customHeight="1">
      <c r="B35" s="26"/>
      <c r="C35" s="28"/>
      <c r="D35" s="30"/>
      <c r="E35" s="28"/>
      <c r="F35" s="60"/>
      <c r="G35" s="33"/>
      <c r="H35" s="33"/>
      <c r="I35" s="26"/>
      <c r="J35" s="30"/>
      <c r="K35" s="36"/>
      <c r="L35" s="26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2000000.0</v>
      </c>
      <c r="F4" s="15">
        <f>SUMIFS(OPI_10[MAF NETO],OPI_10[ESTADO],"Desembolsado")</f>
        <v>299450</v>
      </c>
      <c r="G4" s="15">
        <f>F4-E4</f>
        <v>-1700550</v>
      </c>
      <c r="H4" s="16">
        <f>SUMIFS(OPI_10[MAF NETO],OPI_10[ESTADO],H$3)</f>
        <v>108500</v>
      </c>
      <c r="I4" s="16">
        <f>SUMIFS(OPI_10[MAF NETO],OPI_10[ESTADO],I$3)</f>
        <v>333700</v>
      </c>
      <c r="J4" s="16">
        <f>SUMIFS(OPI_10[MAF NETO],OPI_10[ESTADO],J$3)</f>
        <v>224300</v>
      </c>
      <c r="K4" s="16">
        <f>SUMIFS(OPI_10[MAF NETO],OPI_10[ESTADO],K$3)</f>
        <v>177250</v>
      </c>
      <c r="L4" s="16">
        <f>SUMIFS(OPI_10[MAF NETO],OPI_10[ESTADO],L$3)</f>
        <v>0</v>
      </c>
      <c r="M4" s="16">
        <f>SUMIFS(OPI_10[MAF NETO],OPI_10[ESTADO],M$3)</f>
        <v>0</v>
      </c>
      <c r="N4" s="16">
        <f>SUMIFS(OPI_10[MAF NETO],OPI_10[ESTADO],N$3)</f>
        <v>0</v>
      </c>
    </row>
    <row r="5" ht="26.25" customHeight="1">
      <c r="D5" s="17" t="s">
        <v>31</v>
      </c>
      <c r="E5" s="18" t="s">
        <v>32</v>
      </c>
      <c r="F5" s="19">
        <f>COUNTIFS(OPI_10[ESTADO],"Desembolsado")</f>
        <v>5</v>
      </c>
      <c r="G5" s="20">
        <f>IFERROR(F4/E4,"")</f>
        <v>0.149725</v>
      </c>
      <c r="H5" s="19">
        <f>COUNTIFS(OPI_10[ESTADO],H$3)</f>
        <v>1</v>
      </c>
      <c r="I5" s="19">
        <f>COUNTIFS(OPI_10[ESTADO],I$3)</f>
        <v>4</v>
      </c>
      <c r="J5" s="19">
        <f>COUNTIFS(OPI_10[ESTADO],J$3)</f>
        <v>3</v>
      </c>
      <c r="K5" s="19">
        <f>COUNTIFS(OPI_10[ESTADO],K$3)</f>
        <v>3</v>
      </c>
      <c r="L5" s="19">
        <f>COUNTIFS(OPI_10[ESTADO],L$3)</f>
        <v>0</v>
      </c>
      <c r="M5" s="19">
        <f>COUNTIFS(OPI_10[ESTADO],M$3)</f>
        <v>0</v>
      </c>
      <c r="N5" s="19">
        <f>COUNTIFS(OPI_10[ESTADO],N$3)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30" t="s">
        <v>52</v>
      </c>
      <c r="E10" s="28"/>
      <c r="F10" s="187"/>
      <c r="G10" s="188" t="s">
        <v>398</v>
      </c>
      <c r="H10" s="188" t="s">
        <v>399</v>
      </c>
      <c r="I10" s="189" t="s">
        <v>236</v>
      </c>
      <c r="J10" s="190" t="s">
        <v>19</v>
      </c>
      <c r="K10" s="191">
        <v>68500.0</v>
      </c>
      <c r="L10" s="189" t="s">
        <v>400</v>
      </c>
      <c r="M10" s="192"/>
      <c r="N10" s="193"/>
      <c r="O10" s="44"/>
      <c r="P10" s="44"/>
      <c r="Q10" s="26"/>
    </row>
    <row r="11" ht="22.5" customHeight="1">
      <c r="B11" s="26"/>
      <c r="C11" s="28"/>
      <c r="D11" s="30" t="s">
        <v>52</v>
      </c>
      <c r="E11" s="28"/>
      <c r="F11" s="187"/>
      <c r="G11" s="188" t="s">
        <v>401</v>
      </c>
      <c r="H11" s="188" t="s">
        <v>402</v>
      </c>
      <c r="I11" s="189" t="s">
        <v>236</v>
      </c>
      <c r="J11" s="194" t="s">
        <v>24</v>
      </c>
      <c r="K11" s="191">
        <v>68550.0</v>
      </c>
      <c r="L11" s="195" t="s">
        <v>400</v>
      </c>
      <c r="M11" s="192"/>
      <c r="N11" s="196"/>
      <c r="O11" s="44"/>
      <c r="P11" s="44"/>
      <c r="Q11" s="197"/>
    </row>
    <row r="12" ht="22.5" customHeight="1">
      <c r="B12" s="26"/>
      <c r="C12" s="28"/>
      <c r="D12" s="30" t="s">
        <v>52</v>
      </c>
      <c r="E12" s="28"/>
      <c r="F12" s="187"/>
      <c r="G12" s="188" t="s">
        <v>403</v>
      </c>
      <c r="H12" s="188" t="s">
        <v>404</v>
      </c>
      <c r="I12" s="189" t="s">
        <v>126</v>
      </c>
      <c r="J12" s="190" t="s">
        <v>19</v>
      </c>
      <c r="K12" s="191">
        <v>58000.0</v>
      </c>
      <c r="L12" s="195" t="s">
        <v>400</v>
      </c>
      <c r="M12" s="192"/>
      <c r="N12" s="42"/>
      <c r="O12" s="44"/>
      <c r="P12" s="44"/>
      <c r="Q12" s="42"/>
    </row>
    <row r="13" ht="22.5" customHeight="1">
      <c r="B13" s="26"/>
      <c r="C13" s="28"/>
      <c r="D13" s="30" t="s">
        <v>52</v>
      </c>
      <c r="E13" s="28"/>
      <c r="F13" s="187"/>
      <c r="G13" s="198" t="s">
        <v>405</v>
      </c>
      <c r="H13" s="198" t="s">
        <v>406</v>
      </c>
      <c r="I13" s="199" t="s">
        <v>407</v>
      </c>
      <c r="J13" s="190" t="s">
        <v>24</v>
      </c>
      <c r="K13" s="191">
        <v>17000.0</v>
      </c>
      <c r="L13" s="195" t="s">
        <v>408</v>
      </c>
      <c r="M13" s="192"/>
      <c r="N13" s="42"/>
      <c r="O13" s="44"/>
      <c r="P13" s="44"/>
      <c r="Q13" s="42"/>
    </row>
    <row r="14" ht="22.5" customHeight="1">
      <c r="B14" s="26"/>
      <c r="C14" s="28"/>
      <c r="D14" s="30"/>
      <c r="E14" s="28"/>
      <c r="F14" s="187"/>
      <c r="G14" s="198" t="s">
        <v>409</v>
      </c>
      <c r="H14" s="200" t="s">
        <v>410</v>
      </c>
      <c r="I14" s="199" t="s">
        <v>411</v>
      </c>
      <c r="J14" s="190" t="s">
        <v>21</v>
      </c>
      <c r="K14" s="191">
        <v>108500.0</v>
      </c>
      <c r="L14" s="195" t="s">
        <v>408</v>
      </c>
      <c r="M14" s="192"/>
      <c r="N14" s="42"/>
      <c r="O14" s="44"/>
      <c r="P14" s="44"/>
      <c r="Q14" s="42"/>
    </row>
    <row r="15" ht="22.5" customHeight="1">
      <c r="B15" s="26"/>
      <c r="C15" s="28"/>
      <c r="D15" s="30"/>
      <c r="E15" s="28"/>
      <c r="F15" s="187"/>
      <c r="G15" s="188" t="s">
        <v>412</v>
      </c>
      <c r="H15" s="188" t="s">
        <v>413</v>
      </c>
      <c r="I15" s="189" t="s">
        <v>414</v>
      </c>
      <c r="J15" s="201" t="s">
        <v>74</v>
      </c>
      <c r="K15" s="202">
        <v>65300.0</v>
      </c>
      <c r="L15" s="195" t="s">
        <v>415</v>
      </c>
      <c r="M15" s="192"/>
      <c r="N15" s="42"/>
      <c r="O15" s="44"/>
      <c r="P15" s="44"/>
      <c r="Q15" s="42"/>
    </row>
    <row r="16" ht="22.5" customHeight="1">
      <c r="B16" s="26"/>
      <c r="C16" s="28"/>
      <c r="D16" s="30"/>
      <c r="E16" s="28"/>
      <c r="F16" s="187"/>
      <c r="G16" s="188" t="s">
        <v>416</v>
      </c>
      <c r="H16" s="188" t="s">
        <v>417</v>
      </c>
      <c r="I16" s="189" t="s">
        <v>111</v>
      </c>
      <c r="J16" s="203" t="s">
        <v>74</v>
      </c>
      <c r="K16" s="202">
        <v>71700.0</v>
      </c>
      <c r="L16" s="195" t="s">
        <v>400</v>
      </c>
      <c r="M16" s="192"/>
      <c r="N16" s="42"/>
      <c r="O16" s="44"/>
      <c r="P16" s="44"/>
      <c r="Q16" s="42"/>
    </row>
    <row r="17" ht="22.5" customHeight="1">
      <c r="B17" s="26"/>
      <c r="C17" s="28"/>
      <c r="D17" s="30"/>
      <c r="E17" s="28"/>
      <c r="F17" s="187"/>
      <c r="G17" s="188" t="s">
        <v>418</v>
      </c>
      <c r="H17" s="188" t="s">
        <v>419</v>
      </c>
      <c r="I17" s="189" t="s">
        <v>111</v>
      </c>
      <c r="J17" s="203" t="s">
        <v>74</v>
      </c>
      <c r="K17" s="202">
        <v>87300.0</v>
      </c>
      <c r="L17" s="195" t="s">
        <v>400</v>
      </c>
      <c r="M17" s="192"/>
      <c r="N17" s="42"/>
      <c r="O17" s="44"/>
      <c r="P17" s="44"/>
      <c r="Q17" s="26"/>
    </row>
    <row r="18" ht="22.5" customHeight="1">
      <c r="B18" s="26"/>
      <c r="C18" s="28"/>
      <c r="D18" s="30" t="s">
        <v>52</v>
      </c>
      <c r="E18" s="28"/>
      <c r="F18" s="187"/>
      <c r="G18" s="198" t="s">
        <v>420</v>
      </c>
      <c r="H18" s="198" t="s">
        <v>421</v>
      </c>
      <c r="I18" s="189" t="s">
        <v>407</v>
      </c>
      <c r="J18" s="194" t="s">
        <v>19</v>
      </c>
      <c r="K18" s="191">
        <v>47400.0</v>
      </c>
      <c r="L18" s="195" t="s">
        <v>400</v>
      </c>
      <c r="M18" s="192"/>
      <c r="N18" s="42"/>
      <c r="O18" s="44"/>
      <c r="P18" s="44"/>
      <c r="Q18" s="42"/>
    </row>
    <row r="19" ht="22.5" customHeight="1">
      <c r="B19" s="26"/>
      <c r="C19" s="28"/>
      <c r="D19" s="30" t="s">
        <v>52</v>
      </c>
      <c r="E19" s="28"/>
      <c r="F19" s="187"/>
      <c r="G19" s="188" t="s">
        <v>422</v>
      </c>
      <c r="H19" s="188" t="s">
        <v>423</v>
      </c>
      <c r="I19" s="189" t="s">
        <v>407</v>
      </c>
      <c r="J19" s="204" t="s">
        <v>22</v>
      </c>
      <c r="K19" s="202">
        <v>81200.0</v>
      </c>
      <c r="L19" s="195" t="s">
        <v>400</v>
      </c>
      <c r="M19" s="192"/>
      <c r="N19" s="42"/>
      <c r="O19" s="44"/>
      <c r="P19" s="44"/>
      <c r="Q19" s="42"/>
    </row>
    <row r="20" ht="22.5" customHeight="1">
      <c r="B20" s="26"/>
      <c r="C20" s="28"/>
      <c r="D20" s="30" t="s">
        <v>52</v>
      </c>
      <c r="E20" s="28"/>
      <c r="F20" s="187"/>
      <c r="G20" s="205" t="s">
        <v>424</v>
      </c>
      <c r="H20" s="205" t="s">
        <v>425</v>
      </c>
      <c r="I20" s="195" t="s">
        <v>407</v>
      </c>
      <c r="J20" s="206" t="s">
        <v>19</v>
      </c>
      <c r="K20" s="207">
        <v>68550.0</v>
      </c>
      <c r="L20" s="195" t="s">
        <v>426</v>
      </c>
      <c r="M20" s="192"/>
      <c r="N20" s="42"/>
      <c r="O20" s="44"/>
      <c r="P20" s="44"/>
      <c r="Q20" s="42"/>
    </row>
    <row r="21" ht="22.5" customHeight="1">
      <c r="B21" s="26"/>
      <c r="C21" s="28">
        <v>46266.0</v>
      </c>
      <c r="D21" s="30" t="s">
        <v>52</v>
      </c>
      <c r="E21" s="28">
        <v>46266.0</v>
      </c>
      <c r="F21" s="187"/>
      <c r="G21" s="208" t="s">
        <v>427</v>
      </c>
      <c r="H21" s="208" t="s">
        <v>428</v>
      </c>
      <c r="I21" s="88" t="s">
        <v>407</v>
      </c>
      <c r="J21" s="209" t="s">
        <v>19</v>
      </c>
      <c r="K21" s="210">
        <v>57000.0</v>
      </c>
      <c r="L21" s="88" t="s">
        <v>429</v>
      </c>
      <c r="M21" s="192"/>
      <c r="N21" s="42"/>
      <c r="O21" s="44"/>
      <c r="P21" s="44"/>
      <c r="Q21" s="42"/>
    </row>
    <row r="22" ht="22.5" customHeight="1">
      <c r="B22" s="26"/>
      <c r="C22" s="28"/>
      <c r="D22" s="30" t="s">
        <v>52</v>
      </c>
      <c r="E22" s="28">
        <v>46268.0</v>
      </c>
      <c r="F22" s="211"/>
      <c r="G22" s="208" t="s">
        <v>430</v>
      </c>
      <c r="H22" s="208" t="s">
        <v>431</v>
      </c>
      <c r="I22" s="88" t="s">
        <v>432</v>
      </c>
      <c r="J22" s="209" t="s">
        <v>24</v>
      </c>
      <c r="K22" s="210">
        <v>91700.0</v>
      </c>
      <c r="L22" s="88" t="s">
        <v>429</v>
      </c>
      <c r="M22" s="192"/>
      <c r="N22" s="42"/>
      <c r="O22" s="44"/>
      <c r="P22" s="44"/>
      <c r="Q22" s="42"/>
    </row>
    <row r="23" ht="22.5" customHeight="1">
      <c r="B23" s="42"/>
      <c r="C23" s="28"/>
      <c r="D23" s="30"/>
      <c r="E23" s="28"/>
      <c r="F23" s="187"/>
      <c r="G23" s="208" t="s">
        <v>433</v>
      </c>
      <c r="H23" s="208" t="s">
        <v>434</v>
      </c>
      <c r="I23" s="88" t="s">
        <v>407</v>
      </c>
      <c r="J23" s="209" t="s">
        <v>22</v>
      </c>
      <c r="K23" s="210">
        <v>80750.0</v>
      </c>
      <c r="L23" s="88" t="s">
        <v>400</v>
      </c>
      <c r="M23" s="192"/>
      <c r="N23" s="42"/>
      <c r="O23" s="44"/>
      <c r="P23" s="44"/>
      <c r="Q23" s="26"/>
    </row>
    <row r="24" ht="22.5" customHeight="1">
      <c r="B24" s="42"/>
      <c r="C24" s="28"/>
      <c r="D24" s="30"/>
      <c r="E24" s="60"/>
      <c r="F24" s="212"/>
      <c r="G24" s="208" t="s">
        <v>435</v>
      </c>
      <c r="H24" s="208" t="s">
        <v>436</v>
      </c>
      <c r="I24" s="88" t="s">
        <v>407</v>
      </c>
      <c r="J24" s="209" t="s">
        <v>22</v>
      </c>
      <c r="K24" s="210">
        <v>82200.0</v>
      </c>
      <c r="L24" s="88" t="s">
        <v>437</v>
      </c>
      <c r="M24" s="192"/>
      <c r="N24" s="42"/>
      <c r="O24" s="44"/>
      <c r="P24" s="44"/>
      <c r="Q24" s="42"/>
    </row>
    <row r="25" ht="22.5" customHeight="1">
      <c r="B25" s="42"/>
      <c r="C25" s="28"/>
      <c r="D25" s="30"/>
      <c r="E25" s="28"/>
      <c r="F25" s="28"/>
      <c r="G25" s="214" t="s">
        <v>438</v>
      </c>
      <c r="H25" s="215" t="s">
        <v>439</v>
      </c>
      <c r="I25" s="216" t="s">
        <v>407</v>
      </c>
      <c r="J25" s="217" t="s">
        <v>22</v>
      </c>
      <c r="K25" s="218">
        <v>89550.0</v>
      </c>
      <c r="L25" s="216" t="s">
        <v>440</v>
      </c>
      <c r="M25" s="30"/>
      <c r="N25" s="42"/>
      <c r="O25" s="44"/>
      <c r="P25" s="44"/>
      <c r="Q25" s="42"/>
    </row>
    <row r="26" ht="22.5" customHeight="1">
      <c r="B26" s="42"/>
      <c r="C26" s="28"/>
      <c r="D26" s="30"/>
      <c r="E26" s="28"/>
      <c r="F26" s="28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42"/>
      <c r="C27" s="28"/>
      <c r="D27" s="30"/>
      <c r="E27" s="28"/>
      <c r="F27" s="28"/>
      <c r="G27" s="33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42"/>
      <c r="C28" s="60"/>
      <c r="D28" s="30"/>
      <c r="E28" s="28"/>
      <c r="F28" s="28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42"/>
      <c r="C29" s="28"/>
      <c r="D29" s="30"/>
      <c r="E29" s="28"/>
      <c r="F29" s="28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42"/>
      <c r="C30" s="28"/>
      <c r="D30" s="30"/>
      <c r="E30" s="60"/>
      <c r="F30" s="60"/>
      <c r="G30" s="33"/>
      <c r="H30" s="33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42"/>
      <c r="C31" s="28"/>
      <c r="D31" s="30"/>
      <c r="E31" s="60"/>
      <c r="F31" s="60"/>
      <c r="G31" s="33"/>
      <c r="H31" s="33"/>
      <c r="I31" s="26"/>
      <c r="J31" s="30"/>
      <c r="K31" s="36"/>
      <c r="L31" s="26"/>
      <c r="M31" s="44"/>
      <c r="N31" s="42"/>
      <c r="O31" s="44"/>
      <c r="P31" s="44"/>
      <c r="Q31" s="42"/>
    </row>
    <row r="32" ht="22.5" customHeight="1">
      <c r="B32" s="42"/>
      <c r="C32" s="28"/>
      <c r="D32" s="30"/>
      <c r="E32" s="60"/>
      <c r="F32" s="26"/>
      <c r="G32" s="33"/>
      <c r="H32" s="33"/>
      <c r="I32" s="26"/>
      <c r="J32" s="30"/>
      <c r="K32" s="36"/>
      <c r="L32" s="26"/>
      <c r="M32" s="44"/>
      <c r="N32" s="42"/>
      <c r="O32" s="44"/>
      <c r="P32" s="44"/>
      <c r="Q32" s="42"/>
    </row>
    <row r="33" ht="22.5" customHeight="1">
      <c r="B33" s="42"/>
      <c r="C33" s="60"/>
      <c r="D33" s="30"/>
      <c r="E33" s="60"/>
      <c r="F33" s="60"/>
      <c r="G33" s="33"/>
      <c r="H33" s="33"/>
      <c r="I33" s="26"/>
      <c r="J33" s="30"/>
      <c r="K33" s="36"/>
      <c r="L33" s="26"/>
      <c r="M33" s="44"/>
      <c r="N33" s="42"/>
      <c r="O33" s="44"/>
      <c r="P33" s="44"/>
      <c r="Q33" s="42"/>
    </row>
    <row r="34" ht="22.5" customHeight="1">
      <c r="B34" s="42"/>
      <c r="C34" s="60"/>
      <c r="D34" s="30"/>
      <c r="E34" s="60"/>
      <c r="F34" s="26"/>
      <c r="G34" s="33"/>
      <c r="H34" s="33"/>
      <c r="I34" s="26"/>
      <c r="J34" s="30"/>
      <c r="K34" s="36"/>
      <c r="L34" s="26"/>
      <c r="M34" s="44"/>
      <c r="N34" s="42"/>
      <c r="O34" s="44"/>
      <c r="P34" s="44"/>
      <c r="Q34" s="42"/>
    </row>
    <row r="35" ht="22.5" customHeight="1">
      <c r="B35" s="42"/>
      <c r="C35" s="60"/>
      <c r="D35" s="30"/>
      <c r="E35" s="60"/>
      <c r="F35" s="26"/>
      <c r="G35" s="33"/>
      <c r="H35" s="33"/>
      <c r="I35" s="26"/>
      <c r="J35" s="30"/>
      <c r="K35" s="36"/>
      <c r="L35" s="26"/>
      <c r="M35" s="44"/>
      <c r="N35" s="42"/>
      <c r="O35" s="44"/>
      <c r="P35" s="44"/>
      <c r="Q35" s="42"/>
    </row>
    <row r="36" ht="22.5" customHeight="1">
      <c r="B36" s="42"/>
      <c r="C36" s="28"/>
      <c r="D36" s="30"/>
      <c r="E36" s="60"/>
      <c r="F36" s="60"/>
      <c r="G36" s="33"/>
      <c r="H36" s="33"/>
      <c r="I36" s="26"/>
      <c r="J36" s="30"/>
      <c r="K36" s="36"/>
      <c r="L36" s="26"/>
      <c r="M36" s="44"/>
      <c r="N36" s="42"/>
      <c r="O36" s="44"/>
      <c r="P36" s="44"/>
      <c r="Q36" s="42"/>
    </row>
    <row r="37" ht="22.5" customHeight="1">
      <c r="B37" s="42"/>
      <c r="C37" s="60"/>
      <c r="D37" s="30"/>
      <c r="E37" s="60"/>
      <c r="F37" s="60"/>
      <c r="G37" s="33"/>
      <c r="H37" s="33"/>
      <c r="I37" s="26"/>
      <c r="J37" s="30"/>
      <c r="K37" s="36"/>
      <c r="L37" s="26"/>
      <c r="M37" s="44"/>
      <c r="N37" s="42"/>
      <c r="O37" s="44"/>
      <c r="P37" s="44"/>
      <c r="Q37" s="42"/>
    </row>
    <row r="38" ht="22.5" customHeight="1">
      <c r="B38" s="42"/>
      <c r="C38" s="28"/>
      <c r="D38" s="30"/>
      <c r="E38" s="60"/>
      <c r="F38" s="60"/>
      <c r="G38" s="33"/>
      <c r="H38" s="33"/>
      <c r="I38" s="26"/>
      <c r="J38" s="30"/>
      <c r="K38" s="36"/>
      <c r="L38" s="26"/>
      <c r="M38" s="44"/>
      <c r="N38" s="42"/>
      <c r="O38" s="44"/>
      <c r="P38" s="44"/>
      <c r="Q38" s="42"/>
    </row>
    <row r="39" ht="22.5" customHeight="1">
      <c r="B39" s="42"/>
      <c r="C39" s="28"/>
      <c r="D39" s="30"/>
      <c r="E39" s="60"/>
      <c r="F39" s="60"/>
      <c r="G39" s="33"/>
      <c r="H39" s="33"/>
      <c r="I39" s="26"/>
      <c r="J39" s="30"/>
      <c r="K39" s="36"/>
      <c r="L39" s="26"/>
      <c r="M39" s="44"/>
      <c r="N39" s="42"/>
      <c r="O39" s="44"/>
      <c r="P39" s="44"/>
      <c r="Q39" s="42"/>
    </row>
    <row r="40" ht="22.5" customHeight="1">
      <c r="B40" s="42"/>
      <c r="C40" s="28"/>
      <c r="D40" s="30"/>
      <c r="E40" s="60"/>
      <c r="F40" s="60"/>
      <c r="G40" s="33"/>
      <c r="H40" s="33"/>
      <c r="I40" s="26"/>
      <c r="J40" s="30"/>
      <c r="K40" s="36"/>
      <c r="L40" s="26"/>
      <c r="M40" s="44"/>
      <c r="N40" s="42"/>
      <c r="O40" s="44"/>
      <c r="P40" s="44"/>
      <c r="Q40" s="42"/>
    </row>
    <row r="41" ht="22.5" customHeight="1">
      <c r="B41" s="42"/>
      <c r="C41" s="28"/>
      <c r="D41" s="30"/>
      <c r="E41" s="60"/>
      <c r="F41" s="60"/>
      <c r="G41" s="33"/>
      <c r="H41" s="33"/>
      <c r="I41" s="26"/>
      <c r="J41" s="30"/>
      <c r="K41" s="36"/>
      <c r="L41" s="26"/>
      <c r="M41" s="44"/>
      <c r="N41" s="42"/>
      <c r="O41" s="44"/>
      <c r="P41" s="44"/>
      <c r="Q41" s="42"/>
    </row>
    <row r="42" ht="22.5" customHeight="1">
      <c r="B42" s="42"/>
      <c r="C42" s="28"/>
      <c r="D42" s="30"/>
      <c r="E42" s="60"/>
      <c r="F42" s="60"/>
      <c r="G42" s="33"/>
      <c r="H42" s="33"/>
      <c r="I42" s="26"/>
      <c r="J42" s="30"/>
      <c r="K42" s="36"/>
      <c r="L42" s="26"/>
      <c r="M42" s="44"/>
      <c r="N42" s="42"/>
      <c r="O42" s="44"/>
      <c r="P42" s="44"/>
      <c r="Q42" s="42"/>
    </row>
    <row r="43" ht="22.5" customHeight="1">
      <c r="B43" s="42"/>
      <c r="C43" s="28"/>
      <c r="D43" s="30"/>
      <c r="E43" s="60"/>
      <c r="F43" s="60"/>
      <c r="G43" s="33"/>
      <c r="H43" s="33"/>
      <c r="I43" s="26"/>
      <c r="J43" s="30"/>
      <c r="K43" s="36"/>
      <c r="L43" s="26"/>
      <c r="M43" s="44"/>
      <c r="N43" s="42"/>
      <c r="O43" s="44"/>
      <c r="P43" s="44"/>
      <c r="Q43" s="42"/>
    </row>
    <row r="44" ht="22.5" customHeight="1">
      <c r="B44" s="42"/>
      <c r="C44" s="28"/>
      <c r="D44" s="30"/>
      <c r="E44" s="60"/>
      <c r="F44" s="60"/>
      <c r="G44" s="33"/>
      <c r="H44" s="33"/>
      <c r="I44" s="26"/>
      <c r="J44" s="30"/>
      <c r="K44" s="36"/>
      <c r="L44" s="26"/>
      <c r="M44" s="44"/>
      <c r="N44" s="42"/>
      <c r="O44" s="44"/>
      <c r="P44" s="44"/>
      <c r="Q44" s="42"/>
    </row>
    <row r="45" ht="22.5" customHeight="1">
      <c r="B45" s="42"/>
      <c r="C45" s="28"/>
      <c r="D45" s="30"/>
      <c r="E45" s="60"/>
      <c r="F45" s="60"/>
      <c r="G45" s="33"/>
      <c r="H45" s="33"/>
      <c r="I45" s="26"/>
      <c r="J45" s="30"/>
      <c r="K45" s="36"/>
      <c r="L45" s="26"/>
      <c r="M45" s="44"/>
      <c r="N45" s="42"/>
      <c r="O45" s="44"/>
      <c r="P45" s="44"/>
      <c r="Q45" s="42"/>
    </row>
    <row r="46" ht="22.5" customHeight="1">
      <c r="B46" s="42"/>
      <c r="C46" s="60"/>
      <c r="D46" s="30"/>
      <c r="E46" s="60"/>
      <c r="F46" s="60"/>
      <c r="G46" s="33"/>
      <c r="H46" s="33"/>
      <c r="I46" s="26"/>
      <c r="J46" s="30"/>
      <c r="K46" s="36"/>
      <c r="L46" s="26"/>
      <c r="M46" s="44"/>
      <c r="N46" s="42"/>
      <c r="O46" s="44"/>
      <c r="P46" s="44"/>
      <c r="Q46" s="42"/>
    </row>
    <row r="47" ht="22.5" customHeight="1">
      <c r="B47" s="42"/>
      <c r="C47" s="60"/>
      <c r="D47" s="30"/>
      <c r="E47" s="60"/>
      <c r="F47" s="60"/>
      <c r="G47" s="33"/>
      <c r="H47" s="33"/>
      <c r="I47" s="26"/>
      <c r="J47" s="30"/>
      <c r="K47" s="36"/>
      <c r="L47" s="26"/>
      <c r="M47" s="44"/>
      <c r="N47" s="42"/>
      <c r="O47" s="44"/>
      <c r="P47" s="44"/>
      <c r="Q47" s="42"/>
    </row>
    <row r="48" ht="22.5" customHeight="1">
      <c r="B48" s="42"/>
      <c r="C48" s="60"/>
      <c r="D48" s="30"/>
      <c r="E48" s="60"/>
      <c r="F48" s="60"/>
      <c r="G48" s="33"/>
      <c r="H48" s="33"/>
      <c r="I48" s="26"/>
      <c r="J48" s="30"/>
      <c r="K48" s="36"/>
      <c r="L48" s="26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173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800000.0</v>
      </c>
      <c r="F4" s="15">
        <f>SUMIFS(OPI_9[MAF NETO],OPI_9[ESTADO],"Desembolsado")</f>
        <v>0</v>
      </c>
      <c r="G4" s="15">
        <f>F4-E4</f>
        <v>-800000</v>
      </c>
      <c r="H4" s="16">
        <f>SUMIFS(OPI_9[MAF NETO],OPI_9[ESTADO],H$3)</f>
        <v>0</v>
      </c>
      <c r="I4" s="16">
        <f>SUMIFS(OPI_9[MAF NETO],OPI_9[ESTADO],I$3)</f>
        <v>0</v>
      </c>
      <c r="J4" s="16">
        <f>SUMIFS(OPI_9[MAF NETO],OPI_9[ESTADO],J$3)</f>
        <v>0</v>
      </c>
      <c r="K4" s="16">
        <f>SUMIFS(OPI_9[MAF NETO],OPI_9[ESTADO],K$3)</f>
        <v>0</v>
      </c>
      <c r="L4" s="16">
        <f>SUMIFS(OPI_9[MAF NETO],OPI_9[ESTADO],L$3)</f>
        <v>0</v>
      </c>
      <c r="M4" s="16">
        <f>SUMIFS(OPI_9[MAF NETO],OPI_9[ESTADO],M$3)</f>
        <v>0</v>
      </c>
      <c r="N4" s="16">
        <f>SUMIFS(OPI_9[MAF NETO],OPI_9[ESTADO],N$3)</f>
        <v>0</v>
      </c>
    </row>
    <row r="5" ht="26.25" customHeight="1">
      <c r="D5" s="17" t="s">
        <v>31</v>
      </c>
      <c r="E5" s="18" t="s">
        <v>32</v>
      </c>
      <c r="F5" s="19">
        <f>COUNTIFS(OPI_9[ESTADO],"Desembolsado")</f>
        <v>0</v>
      </c>
      <c r="G5" s="20">
        <f>IFERROR(F4/E4,"")</f>
        <v>0</v>
      </c>
      <c r="H5" s="19">
        <f>COUNTIFS(OPI_9[ESTADO],H$3)</f>
        <v>0</v>
      </c>
      <c r="I5" s="19">
        <f>COUNTIFS(OPI_9[ESTADO],I$3)</f>
        <v>0</v>
      </c>
      <c r="J5" s="19">
        <f>COUNTIFS(OPI_9[ESTADO],J$3)</f>
        <v>0</v>
      </c>
      <c r="K5" s="19">
        <f>COUNTIFS(OPI_9[ESTADO],K$3)</f>
        <v>0</v>
      </c>
      <c r="L5" s="19">
        <f>COUNTIFS(OPI_9[ESTADO],L$3)</f>
        <v>0</v>
      </c>
      <c r="M5" s="19">
        <f>COUNTIFS(OPI_9[ESTADO],M$3)</f>
        <v>0</v>
      </c>
      <c r="N5" s="19">
        <f>COUNTIFS(OPI_9[ESTADO],N$3)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30"/>
      <c r="E10" s="28"/>
      <c r="F10" s="28"/>
      <c r="G10" s="33"/>
      <c r="H10" s="33"/>
      <c r="I10" s="26"/>
      <c r="J10" s="30"/>
      <c r="K10" s="36"/>
      <c r="L10" s="26"/>
      <c r="M10" s="30"/>
      <c r="N10" s="42"/>
      <c r="O10" s="30"/>
      <c r="P10" s="44"/>
      <c r="Q10" s="42"/>
    </row>
    <row r="11" ht="22.5" customHeight="1">
      <c r="B11" s="26"/>
      <c r="C11" s="28"/>
      <c r="D11" s="30"/>
      <c r="E11" s="28"/>
      <c r="F11" s="60"/>
      <c r="G11" s="33"/>
      <c r="H11" s="33"/>
      <c r="I11" s="26"/>
      <c r="J11" s="30"/>
      <c r="K11" s="36"/>
      <c r="L11" s="26"/>
      <c r="M11" s="30"/>
      <c r="N11" s="42"/>
      <c r="O11" s="30"/>
      <c r="P11" s="44"/>
      <c r="Q11" s="42"/>
    </row>
    <row r="12" ht="22.5" customHeight="1">
      <c r="B12" s="26"/>
      <c r="C12" s="28"/>
      <c r="D12" s="30"/>
      <c r="E12" s="28"/>
      <c r="F12" s="28"/>
      <c r="G12" s="33"/>
      <c r="H12" s="33"/>
      <c r="I12" s="26"/>
      <c r="J12" s="30"/>
      <c r="K12" s="36"/>
      <c r="L12" s="26"/>
      <c r="M12" s="30"/>
      <c r="N12" s="42"/>
      <c r="O12" s="30"/>
      <c r="P12" s="30"/>
      <c r="Q12" s="42"/>
    </row>
    <row r="13" ht="22.5" customHeight="1">
      <c r="B13" s="26"/>
      <c r="C13" s="28"/>
      <c r="D13" s="30"/>
      <c r="E13" s="28"/>
      <c r="F13" s="60"/>
      <c r="G13" s="33"/>
      <c r="H13" s="33"/>
      <c r="I13" s="26"/>
      <c r="J13" s="30"/>
      <c r="K13" s="36"/>
      <c r="L13" s="26"/>
      <c r="M13" s="30"/>
      <c r="N13" s="42"/>
      <c r="O13" s="30"/>
      <c r="P13" s="30"/>
      <c r="Q13" s="42"/>
    </row>
    <row r="14" ht="22.5" customHeight="1">
      <c r="B14" s="26"/>
      <c r="C14" s="28"/>
      <c r="D14" s="30"/>
      <c r="E14" s="60"/>
      <c r="F14" s="60"/>
      <c r="G14" s="33"/>
      <c r="H14" s="33"/>
      <c r="I14" s="26"/>
      <c r="J14" s="30"/>
      <c r="K14" s="36"/>
      <c r="L14" s="26"/>
      <c r="M14" s="30"/>
      <c r="N14" s="42"/>
      <c r="O14" s="30"/>
      <c r="P14" s="44"/>
      <c r="Q14" s="42"/>
    </row>
    <row r="15" ht="22.5" customHeight="1">
      <c r="B15" s="26"/>
      <c r="C15" s="28"/>
      <c r="D15" s="30"/>
      <c r="E15" s="28"/>
      <c r="F15" s="60"/>
      <c r="G15" s="33"/>
      <c r="H15" s="33"/>
      <c r="I15" s="26"/>
      <c r="J15" s="30"/>
      <c r="K15" s="36"/>
      <c r="L15" s="26"/>
      <c r="M15" s="30"/>
      <c r="N15" s="42"/>
      <c r="O15" s="30"/>
      <c r="P15" s="44"/>
      <c r="Q15" s="42"/>
    </row>
    <row r="16" ht="22.5" customHeight="1">
      <c r="B16" s="26"/>
      <c r="C16" s="60"/>
      <c r="D16" s="30"/>
      <c r="E16" s="60"/>
      <c r="F16" s="60"/>
      <c r="G16" s="33"/>
      <c r="H16" s="33"/>
      <c r="I16" s="26"/>
      <c r="J16" s="30"/>
      <c r="K16" s="36"/>
      <c r="L16" s="26"/>
      <c r="M16" s="30"/>
      <c r="N16" s="42"/>
      <c r="O16" s="44"/>
      <c r="P16" s="44"/>
      <c r="Q16" s="42"/>
    </row>
    <row r="17" ht="22.5" customHeight="1">
      <c r="B17" s="42"/>
      <c r="C17" s="60"/>
      <c r="D17" s="30"/>
      <c r="E17" s="60"/>
      <c r="F17" s="60"/>
      <c r="G17" s="33"/>
      <c r="H17" s="33"/>
      <c r="I17" s="26"/>
      <c r="J17" s="30"/>
      <c r="K17" s="36"/>
      <c r="L17" s="26"/>
      <c r="M17" s="44"/>
      <c r="N17" s="26"/>
      <c r="O17" s="44"/>
      <c r="P17" s="44"/>
      <c r="Q17" s="42"/>
    </row>
    <row r="18" ht="22.5" customHeight="1">
      <c r="B18" s="42"/>
      <c r="C18" s="60"/>
      <c r="D18" s="30"/>
      <c r="E18" s="60"/>
      <c r="F18" s="60"/>
      <c r="G18" s="33"/>
      <c r="H18" s="33"/>
      <c r="I18" s="26"/>
      <c r="J18" s="30"/>
      <c r="K18" s="36"/>
      <c r="L18" s="26"/>
      <c r="M18" s="44"/>
      <c r="N18" s="42"/>
      <c r="O18" s="44"/>
      <c r="P18" s="44"/>
      <c r="Q18" s="42"/>
    </row>
    <row r="19" ht="22.5" customHeight="1">
      <c r="B19" s="42"/>
      <c r="C19" s="60"/>
      <c r="D19" s="30"/>
      <c r="E19" s="60"/>
      <c r="F19" s="26"/>
      <c r="G19" s="33"/>
      <c r="H19" s="33"/>
      <c r="I19" s="26"/>
      <c r="J19" s="30"/>
      <c r="K19" s="36"/>
      <c r="L19" s="26"/>
      <c r="M19" s="44"/>
      <c r="N19" s="42"/>
      <c r="O19" s="44"/>
      <c r="P19" s="44"/>
      <c r="Q19" s="42"/>
    </row>
    <row r="20" ht="22.5" customHeight="1">
      <c r="B20" s="42"/>
      <c r="C20" s="60"/>
      <c r="D20" s="30"/>
      <c r="E20" s="60"/>
      <c r="F20" s="60"/>
      <c r="G20" s="33"/>
      <c r="H20" s="33"/>
      <c r="I20" s="26"/>
      <c r="J20" s="30"/>
      <c r="K20" s="36"/>
      <c r="L20" s="26"/>
      <c r="M20" s="44"/>
      <c r="N20" s="26"/>
      <c r="O20" s="44"/>
      <c r="P20" s="44"/>
      <c r="Q20" s="42"/>
    </row>
    <row r="21" ht="22.5" customHeight="1">
      <c r="B21" s="42"/>
      <c r="C21" s="28"/>
      <c r="D21" s="30"/>
      <c r="E21" s="60"/>
      <c r="F21" s="60"/>
      <c r="G21" s="33"/>
      <c r="H21" s="33"/>
      <c r="I21" s="26"/>
      <c r="J21" s="30"/>
      <c r="K21" s="36"/>
      <c r="L21" s="26"/>
      <c r="M21" s="44"/>
      <c r="N21" s="42"/>
      <c r="O21" s="44"/>
      <c r="P21" s="44"/>
      <c r="Q21" s="42"/>
    </row>
    <row r="22" ht="22.5" customHeight="1">
      <c r="B22" s="42"/>
      <c r="C22" s="60"/>
      <c r="D22" s="30"/>
      <c r="E22" s="60"/>
      <c r="F22" s="60"/>
      <c r="G22" s="33"/>
      <c r="H22" s="33"/>
      <c r="I22" s="26"/>
      <c r="J22" s="30"/>
      <c r="K22" s="36"/>
      <c r="L22" s="26"/>
      <c r="M22" s="44"/>
      <c r="N22" s="42"/>
      <c r="O22" s="44"/>
      <c r="P22" s="44"/>
      <c r="Q22" s="42"/>
    </row>
    <row r="23" ht="22.5" customHeight="1">
      <c r="B23" s="42"/>
      <c r="C23" s="28"/>
      <c r="D23" s="30"/>
      <c r="E23" s="60"/>
      <c r="F23" s="26"/>
      <c r="G23" s="33"/>
      <c r="H23" s="33"/>
      <c r="I23" s="26"/>
      <c r="J23" s="30"/>
      <c r="K23" s="36"/>
      <c r="L23" s="26"/>
      <c r="M23" s="44"/>
      <c r="N23" s="42"/>
      <c r="O23" s="44"/>
      <c r="P23" s="44"/>
      <c r="Q23" s="42"/>
    </row>
    <row r="24" ht="22.5" customHeight="1">
      <c r="B24" s="42"/>
      <c r="C24" s="28"/>
      <c r="D24" s="30"/>
      <c r="E24" s="60"/>
      <c r="F24" s="26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42"/>
    </row>
    <row r="25" ht="22.5" customHeight="1">
      <c r="B25" s="42"/>
      <c r="C25" s="60"/>
      <c r="D25" s="30"/>
      <c r="E25" s="60"/>
      <c r="F25" s="60"/>
      <c r="G25" s="33"/>
      <c r="H25" s="33"/>
      <c r="I25" s="26"/>
      <c r="J25" s="30"/>
      <c r="K25" s="36"/>
      <c r="L25" s="26"/>
      <c r="M25" s="44"/>
      <c r="N25" s="42"/>
      <c r="O25" s="44"/>
      <c r="P25" s="44"/>
      <c r="Q25" s="42"/>
    </row>
    <row r="26" ht="22.5" customHeight="1">
      <c r="B26" s="42"/>
      <c r="C26" s="60"/>
      <c r="D26" s="30"/>
      <c r="E26" s="60"/>
      <c r="F26" s="60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42"/>
      <c r="C27" s="60"/>
      <c r="D27" s="30"/>
      <c r="E27" s="60"/>
      <c r="F27" s="60"/>
      <c r="G27" s="33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42"/>
      <c r="C28" s="60"/>
      <c r="D28" s="30"/>
      <c r="E28" s="60"/>
      <c r="F28" s="60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42"/>
      <c r="C29" s="60"/>
      <c r="D29" s="30"/>
      <c r="E29" s="60"/>
      <c r="F29" s="60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SUMIFS(OPI_8[MAF NETO],OPI_8[ESTADO],"Desembolsado")</f>
        <v>0</v>
      </c>
      <c r="G4" s="15">
        <f>F4-E4</f>
        <v>-1000000</v>
      </c>
      <c r="H4" s="16">
        <f>SUMIFS(OPI_8[MAF NETO],OPI_8[ESTADO],H$3)</f>
        <v>89600</v>
      </c>
      <c r="I4" s="16">
        <f>SUMIFS(OPI_8[MAF NETO],OPI_8[ESTADO],I$3)</f>
        <v>235050</v>
      </c>
      <c r="J4" s="16">
        <f>SUMIFS(OPI_8[MAF NETO],OPI_8[ESTADO],J$3)</f>
        <v>0</v>
      </c>
      <c r="K4" s="16">
        <f>SUMIFS(OPI_8[MAF NETO],OPI_8[ESTADO],K$3)</f>
        <v>40500</v>
      </c>
      <c r="L4" s="16">
        <f>SUMIFS(OPI_8[MAF NETO],OPI_8[ESTADO],L$3)</f>
        <v>126900</v>
      </c>
      <c r="M4" s="16">
        <f>SUMIFS(OPI_8[MAF NETO],OPI_8[ESTADO],M$3)</f>
        <v>0</v>
      </c>
      <c r="N4" s="16">
        <f>SUMIFS(OPI_8[MAF NETO],OPI_8[ESTADO],N$3)</f>
        <v>0</v>
      </c>
    </row>
    <row r="5" ht="26.25" customHeight="1">
      <c r="D5" s="17" t="s">
        <v>31</v>
      </c>
      <c r="E5" s="18" t="s">
        <v>32</v>
      </c>
      <c r="F5" s="19">
        <f>COUNTIFS(OPI_8[ESTADO],"Desembolsado")</f>
        <v>0</v>
      </c>
      <c r="G5" s="20">
        <f>IFERROR(F4/E4,"")</f>
        <v>0</v>
      </c>
      <c r="H5" s="19">
        <f>COUNTIFS(OPI_8[ESTADO],H$3)</f>
        <v>1</v>
      </c>
      <c r="I5" s="19">
        <f>COUNTIFS(OPI_8[ESTADO],I$3)</f>
        <v>3</v>
      </c>
      <c r="J5" s="19">
        <f>COUNTIFS(OPI_8[ESTADO],J$3)</f>
        <v>0</v>
      </c>
      <c r="K5" s="19">
        <f>COUNTIFS(OPI_8[ESTADO],K$3)</f>
        <v>1</v>
      </c>
      <c r="L5" s="19">
        <f>COUNTIFS(OPI_8[ESTADO],L$3)</f>
        <v>2</v>
      </c>
      <c r="M5" s="19">
        <f>COUNTIFS(OPI_8[ESTADO],M$3)</f>
        <v>0</v>
      </c>
      <c r="N5" s="19">
        <f>COUNTIFS(OPI_8[ESTADO],N$3)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13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19" t="s">
        <v>177</v>
      </c>
      <c r="C10" s="220">
        <v>46266.0</v>
      </c>
      <c r="D10" s="166" t="s">
        <v>54</v>
      </c>
      <c r="E10" s="221"/>
      <c r="F10" s="222"/>
      <c r="G10" s="185" t="s">
        <v>441</v>
      </c>
      <c r="H10" s="185" t="s">
        <v>442</v>
      </c>
      <c r="I10" s="185" t="s">
        <v>443</v>
      </c>
      <c r="J10" s="164" t="s">
        <v>22</v>
      </c>
      <c r="K10" s="223">
        <v>52000.0</v>
      </c>
      <c r="L10" s="224" t="s">
        <v>444</v>
      </c>
      <c r="M10" s="225"/>
      <c r="N10" s="226"/>
      <c r="O10" s="44"/>
      <c r="P10" s="44"/>
      <c r="Q10" s="42"/>
    </row>
    <row r="11" ht="22.5" customHeight="1">
      <c r="B11" s="224" t="s">
        <v>277</v>
      </c>
      <c r="C11" s="222">
        <v>46262.0</v>
      </c>
      <c r="D11" s="166" t="s">
        <v>54</v>
      </c>
      <c r="E11" s="221"/>
      <c r="F11" s="221"/>
      <c r="G11" s="185" t="s">
        <v>445</v>
      </c>
      <c r="H11" s="185" t="s">
        <v>446</v>
      </c>
      <c r="I11" s="185" t="s">
        <v>447</v>
      </c>
      <c r="J11" s="166" t="s">
        <v>22</v>
      </c>
      <c r="K11" s="223">
        <v>77250.0</v>
      </c>
      <c r="L11" s="224" t="s">
        <v>448</v>
      </c>
      <c r="M11" s="225"/>
      <c r="N11" s="42"/>
      <c r="O11" s="44"/>
      <c r="P11" s="44"/>
      <c r="Q11" s="42"/>
    </row>
    <row r="12" ht="22.5" customHeight="1">
      <c r="B12" s="224" t="s">
        <v>277</v>
      </c>
      <c r="C12" s="222">
        <v>46261.0</v>
      </c>
      <c r="D12" s="227" t="s">
        <v>52</v>
      </c>
      <c r="E12" s="221"/>
      <c r="F12" s="222" t="s">
        <v>449</v>
      </c>
      <c r="G12" s="185" t="s">
        <v>450</v>
      </c>
      <c r="H12" s="185" t="s">
        <v>451</v>
      </c>
      <c r="I12" s="185" t="s">
        <v>149</v>
      </c>
      <c r="J12" s="228" t="s">
        <v>452</v>
      </c>
      <c r="K12" s="223">
        <v>88500.0</v>
      </c>
      <c r="L12" s="224" t="s">
        <v>453</v>
      </c>
      <c r="M12" s="44"/>
      <c r="N12" s="42"/>
      <c r="O12" s="44"/>
      <c r="P12" s="44"/>
      <c r="Q12" s="42"/>
    </row>
    <row r="13" ht="22.5" customHeight="1">
      <c r="B13" s="26" t="s">
        <v>277</v>
      </c>
      <c r="C13" s="28">
        <v>46267.0</v>
      </c>
      <c r="D13" s="30" t="s">
        <v>52</v>
      </c>
      <c r="E13" s="60"/>
      <c r="F13" s="60"/>
      <c r="G13" s="33" t="s">
        <v>454</v>
      </c>
      <c r="H13" s="33" t="s">
        <v>456</v>
      </c>
      <c r="I13" s="33" t="s">
        <v>111</v>
      </c>
      <c r="J13" s="30" t="s">
        <v>21</v>
      </c>
      <c r="K13" s="36">
        <v>89600.0</v>
      </c>
      <c r="L13" s="26" t="s">
        <v>460</v>
      </c>
      <c r="M13" s="44"/>
      <c r="N13" s="42"/>
      <c r="O13" s="44"/>
      <c r="P13" s="44"/>
      <c r="Q13" s="42"/>
    </row>
    <row r="14" ht="22.5" customHeight="1">
      <c r="B14" s="26" t="s">
        <v>277</v>
      </c>
      <c r="C14" s="28">
        <v>46268.0</v>
      </c>
      <c r="D14" s="30" t="s">
        <v>52</v>
      </c>
      <c r="E14" s="60"/>
      <c r="F14" s="60"/>
      <c r="G14" s="33" t="s">
        <v>463</v>
      </c>
      <c r="H14" s="229" t="s">
        <v>466</v>
      </c>
      <c r="I14" s="33" t="s">
        <v>126</v>
      </c>
      <c r="J14" s="30" t="s">
        <v>452</v>
      </c>
      <c r="K14" s="36">
        <v>38400.0</v>
      </c>
      <c r="L14" s="26" t="s">
        <v>467</v>
      </c>
      <c r="M14" s="44"/>
      <c r="N14" s="42"/>
      <c r="O14" s="44"/>
      <c r="P14" s="44"/>
      <c r="Q14" s="42"/>
    </row>
    <row r="15" ht="22.5" customHeight="1">
      <c r="B15" s="26" t="s">
        <v>277</v>
      </c>
      <c r="C15" s="28">
        <v>46268.0</v>
      </c>
      <c r="D15" s="30" t="s">
        <v>54</v>
      </c>
      <c r="E15" s="60"/>
      <c r="F15" s="26"/>
      <c r="G15" s="33" t="s">
        <v>471</v>
      </c>
      <c r="H15" s="33" t="s">
        <v>472</v>
      </c>
      <c r="I15" s="33" t="s">
        <v>443</v>
      </c>
      <c r="J15" s="30" t="s">
        <v>22</v>
      </c>
      <c r="K15" s="36">
        <v>105800.0</v>
      </c>
      <c r="L15" s="26" t="s">
        <v>444</v>
      </c>
      <c r="M15" s="44"/>
      <c r="N15" s="42"/>
      <c r="O15" s="44"/>
      <c r="P15" s="44"/>
      <c r="Q15" s="42"/>
    </row>
    <row r="16" ht="22.5" customHeight="1">
      <c r="B16" s="26" t="s">
        <v>277</v>
      </c>
      <c r="C16" s="28">
        <v>46268.0</v>
      </c>
      <c r="D16" s="30" t="s">
        <v>52</v>
      </c>
      <c r="E16" s="60"/>
      <c r="F16" s="60"/>
      <c r="G16" s="33" t="s">
        <v>476</v>
      </c>
      <c r="H16" s="33" t="s">
        <v>477</v>
      </c>
      <c r="I16" s="33" t="s">
        <v>149</v>
      </c>
      <c r="J16" s="30" t="s">
        <v>24</v>
      </c>
      <c r="K16" s="36">
        <v>40500.0</v>
      </c>
      <c r="L16" s="26" t="s">
        <v>478</v>
      </c>
      <c r="M16" s="44"/>
      <c r="N16" s="42"/>
      <c r="O16" s="44"/>
      <c r="P16" s="44"/>
      <c r="Q16" s="42"/>
    </row>
    <row r="17" ht="22.5" customHeight="1">
      <c r="B17" s="26"/>
      <c r="C17" s="28"/>
      <c r="D17" s="30"/>
      <c r="E17" s="60"/>
      <c r="F17" s="60"/>
      <c r="G17" s="33"/>
      <c r="H17" s="33"/>
      <c r="I17" s="33"/>
      <c r="J17" s="30"/>
      <c r="K17" s="36"/>
      <c r="L17" s="26"/>
      <c r="M17" s="44"/>
      <c r="N17" s="42"/>
      <c r="O17" s="44"/>
      <c r="P17" s="44"/>
      <c r="Q17" s="42"/>
    </row>
    <row r="18" ht="22.5" customHeight="1">
      <c r="B18" s="26"/>
      <c r="C18" s="28"/>
      <c r="D18" s="30"/>
      <c r="E18" s="26"/>
      <c r="F18" s="60"/>
      <c r="G18" s="33"/>
      <c r="H18" s="33"/>
      <c r="I18" s="26"/>
      <c r="J18" s="170"/>
      <c r="K18" s="36"/>
      <c r="L18" s="26"/>
      <c r="M18" s="44"/>
      <c r="N18" s="42"/>
      <c r="O18" s="44"/>
      <c r="P18" s="44"/>
      <c r="Q18" s="42"/>
    </row>
    <row r="19" ht="22.5" customHeight="1">
      <c r="B19" s="26"/>
      <c r="C19" s="28"/>
      <c r="D19" s="30"/>
      <c r="E19" s="26"/>
      <c r="F19" s="60"/>
      <c r="G19" s="33"/>
      <c r="H19" s="33"/>
      <c r="I19" s="26"/>
      <c r="J19" s="30"/>
      <c r="K19" s="36"/>
      <c r="L19" s="26"/>
      <c r="M19" s="44"/>
      <c r="N19" s="42"/>
      <c r="O19" s="44"/>
      <c r="P19" s="44"/>
      <c r="Q19" s="42"/>
    </row>
    <row r="20" ht="22.5" customHeight="1">
      <c r="B20" s="26"/>
      <c r="C20" s="28"/>
      <c r="D20" s="30"/>
      <c r="E20" s="60"/>
      <c r="F20" s="60"/>
      <c r="G20" s="33"/>
      <c r="H20" s="33"/>
      <c r="I20" s="26"/>
      <c r="J20" s="30"/>
      <c r="K20" s="36"/>
      <c r="L20" s="26"/>
      <c r="M20" s="44"/>
      <c r="N20" s="42"/>
      <c r="O20" s="44"/>
      <c r="P20" s="44"/>
      <c r="Q20" s="42"/>
    </row>
    <row r="21" ht="22.5" customHeight="1">
      <c r="B21" s="26"/>
      <c r="C21" s="28"/>
      <c r="D21" s="30"/>
      <c r="E21" s="26"/>
      <c r="F21" s="26"/>
      <c r="G21" s="33"/>
      <c r="H21" s="33"/>
      <c r="I21" s="26"/>
      <c r="J21" s="30"/>
      <c r="K21" s="36"/>
      <c r="L21" s="26"/>
      <c r="M21" s="44"/>
      <c r="N21" s="42"/>
      <c r="O21" s="44"/>
      <c r="P21" s="44"/>
      <c r="Q21" s="42"/>
    </row>
    <row r="22" ht="22.5" customHeight="1">
      <c r="B22" s="26"/>
      <c r="C22" s="28"/>
      <c r="D22" s="30"/>
      <c r="E22" s="60"/>
      <c r="F22" s="60"/>
      <c r="G22" s="33"/>
      <c r="H22" s="33"/>
      <c r="I22" s="26"/>
      <c r="J22" s="30"/>
      <c r="K22" s="36"/>
      <c r="L22" s="26"/>
      <c r="M22" s="44"/>
      <c r="N22" s="42"/>
      <c r="O22" s="44"/>
      <c r="P22" s="44"/>
      <c r="Q22" s="42"/>
    </row>
    <row r="23" ht="22.5" customHeight="1">
      <c r="B23" s="26"/>
      <c r="C23" s="28"/>
      <c r="D23" s="30"/>
      <c r="E23" s="60"/>
      <c r="F23" s="60"/>
      <c r="G23" s="33"/>
      <c r="H23" s="33"/>
      <c r="I23" s="26"/>
      <c r="J23" s="30"/>
      <c r="K23" s="36"/>
      <c r="L23" s="26"/>
      <c r="M23" s="44"/>
      <c r="N23" s="42"/>
      <c r="O23" s="44"/>
      <c r="P23" s="44"/>
      <c r="Q23" s="42"/>
    </row>
    <row r="24" ht="22.5" customHeight="1">
      <c r="B24" s="26"/>
      <c r="C24" s="28"/>
      <c r="D24" s="30"/>
      <c r="E24" s="60"/>
      <c r="F24" s="60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42"/>
    </row>
    <row r="25" ht="22.5" customHeight="1">
      <c r="B25" s="26"/>
      <c r="C25" s="28"/>
      <c r="D25" s="30"/>
      <c r="E25" s="26"/>
      <c r="F25" s="60"/>
      <c r="G25" s="33"/>
      <c r="H25" s="33"/>
      <c r="I25" s="26"/>
      <c r="J25" s="30"/>
      <c r="K25" s="36"/>
      <c r="L25" s="26"/>
      <c r="M25" s="44"/>
      <c r="N25" s="42"/>
      <c r="O25" s="44"/>
      <c r="P25" s="44"/>
      <c r="Q25" s="42"/>
    </row>
    <row r="26" ht="22.5" customHeight="1">
      <c r="B26" s="26"/>
      <c r="C26" s="28"/>
      <c r="D26" s="30"/>
      <c r="E26" s="60"/>
      <c r="F26" s="60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26"/>
      <c r="C27" s="28"/>
      <c r="D27" s="30"/>
      <c r="E27" s="26"/>
      <c r="F27" s="60"/>
      <c r="G27" s="33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26"/>
      <c r="C28" s="28"/>
      <c r="D28" s="30"/>
      <c r="E28" s="26"/>
      <c r="F28" s="26"/>
      <c r="G28" s="33"/>
      <c r="H28" s="33"/>
      <c r="I28" s="26"/>
      <c r="J28" s="30"/>
      <c r="K28" s="36"/>
      <c r="L28" s="26"/>
      <c r="M28" s="44"/>
      <c r="N28" s="42"/>
      <c r="O28" s="44"/>
      <c r="P28" s="44"/>
      <c r="Q28" s="42"/>
    </row>
    <row r="29" ht="22.5" customHeight="1">
      <c r="B29" s="26"/>
      <c r="C29" s="28"/>
      <c r="D29" s="30"/>
      <c r="E29" s="60"/>
      <c r="F29" s="60"/>
      <c r="G29" s="33"/>
      <c r="H29" s="33"/>
      <c r="I29" s="26"/>
      <c r="J29" s="30"/>
      <c r="K29" s="36"/>
      <c r="L29" s="26"/>
      <c r="M29" s="44"/>
      <c r="N29" s="42"/>
      <c r="O29" s="44"/>
      <c r="P29" s="44"/>
      <c r="Q29" s="42"/>
    </row>
    <row r="30" ht="22.5" customHeight="1">
      <c r="B30" s="26"/>
      <c r="C30" s="28"/>
      <c r="D30" s="30"/>
      <c r="E30" s="60"/>
      <c r="F30" s="60"/>
      <c r="G30" s="33"/>
      <c r="H30" s="65"/>
      <c r="I30" s="26"/>
      <c r="J30" s="30"/>
      <c r="K30" s="36"/>
      <c r="L30" s="26"/>
      <c r="M30" s="44"/>
      <c r="N30" s="42"/>
      <c r="O30" s="44"/>
      <c r="P30" s="44"/>
      <c r="Q30" s="42"/>
    </row>
    <row r="31" ht="22.5" customHeight="1">
      <c r="B31" s="42"/>
      <c r="C31" s="28"/>
      <c r="D31" s="30"/>
      <c r="E31" s="60"/>
      <c r="F31" s="60"/>
      <c r="G31" s="33"/>
      <c r="H31" s="33"/>
      <c r="I31" s="26"/>
      <c r="J31" s="30"/>
      <c r="K31" s="36"/>
      <c r="L31" s="26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16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SUMIFS(OPI_17[MAF NETO],OPI_17[ESTADO],"Desembolsado")</f>
        <v>0</v>
      </c>
      <c r="G4" s="15">
        <f>F4-E4</f>
        <v>-1000000</v>
      </c>
      <c r="H4" s="16">
        <f>SUMIFS(OPI_17[MAF NETO],OPI_17[ESTADO],H$3)</f>
        <v>0</v>
      </c>
      <c r="I4" s="16">
        <f>SUMIFS(OPI_17[MAF NETO],OPI_17[ESTADO],I$3)</f>
        <v>0</v>
      </c>
      <c r="J4" s="16">
        <f>SUMIFS(OPI_17[MAF NETO],OPI_17[ESTADO],J$3)</f>
        <v>0</v>
      </c>
      <c r="K4" s="16">
        <f>SUMIFS(OPI_17[MAF NETO],OPI_17[ESTADO],K$3)</f>
        <v>0</v>
      </c>
      <c r="L4" s="16">
        <f>SUMIFS(OPI_17[MAF NETO],OPI_17[ESTADO],L$3)</f>
        <v>0</v>
      </c>
      <c r="M4" s="16">
        <f>SUMIFS(OPI_17[MAF NETO],OPI_17[ESTADO],M$3)</f>
        <v>0</v>
      </c>
      <c r="N4" s="16">
        <f>SUMIFS(OPI_17[MAF NETO],OPI_17[ESTADO],N$3)</f>
        <v>0</v>
      </c>
    </row>
    <row r="5" ht="26.25" customHeight="1">
      <c r="D5" s="17" t="s">
        <v>31</v>
      </c>
      <c r="E5" s="18" t="s">
        <v>32</v>
      </c>
      <c r="F5" s="19">
        <f>COUNTIFS(OPI_17[ESTADO],"Desembolsado")</f>
        <v>0</v>
      </c>
      <c r="G5" s="20">
        <f>IFERROR(F4/E4,"")</f>
        <v>0</v>
      </c>
      <c r="H5" s="19">
        <f>COUNTIFS(OPI_17[ESTADO],H$3)</f>
        <v>0</v>
      </c>
      <c r="I5" s="19">
        <f>COUNTIFS(OPI_17[ESTADO],I$3)</f>
        <v>1</v>
      </c>
      <c r="J5" s="19">
        <f>COUNTIFS(OPI_17[ESTADO],J$3)</f>
        <v>0</v>
      </c>
      <c r="K5" s="19">
        <f>COUNTIFS(OPI_17[ESTADO],K$3)</f>
        <v>1</v>
      </c>
      <c r="L5" s="19">
        <f>COUNTIFS(OPI_17[ESTADO],L$3)</f>
        <v>0</v>
      </c>
      <c r="M5" s="19">
        <f>COUNTIFS(OPI_17[ESTADO],M$3)</f>
        <v>0</v>
      </c>
      <c r="N5" s="19">
        <f>COUNTIFS(OPI_17[ESTADO],N$3)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277</v>
      </c>
      <c r="C10" s="28">
        <v>46259.0</v>
      </c>
      <c r="D10" s="30" t="s">
        <v>54</v>
      </c>
      <c r="E10" s="28">
        <v>46236.0</v>
      </c>
      <c r="F10" s="28"/>
      <c r="G10" s="33" t="s">
        <v>455</v>
      </c>
      <c r="H10" s="33" t="s">
        <v>457</v>
      </c>
      <c r="I10" s="26" t="s">
        <v>65</v>
      </c>
      <c r="J10" s="30" t="s">
        <v>24</v>
      </c>
      <c r="K10" s="36" t="s">
        <v>458</v>
      </c>
      <c r="L10" s="26" t="s">
        <v>459</v>
      </c>
      <c r="M10" s="30"/>
      <c r="N10" s="42"/>
      <c r="O10" s="30"/>
      <c r="P10" s="44"/>
      <c r="Q10" s="26"/>
    </row>
    <row r="11" ht="22.5" customHeight="1">
      <c r="B11" s="26" t="s">
        <v>277</v>
      </c>
      <c r="C11" s="28">
        <v>46266.0</v>
      </c>
      <c r="D11" s="30" t="s">
        <v>54</v>
      </c>
      <c r="E11" s="28">
        <v>46266.0</v>
      </c>
      <c r="F11" s="28"/>
      <c r="G11" s="33" t="s">
        <v>461</v>
      </c>
      <c r="H11" s="33" t="s">
        <v>462</v>
      </c>
      <c r="I11" s="26" t="s">
        <v>373</v>
      </c>
      <c r="J11" s="30" t="s">
        <v>22</v>
      </c>
      <c r="K11" s="36" t="s">
        <v>464</v>
      </c>
      <c r="L11" s="26" t="s">
        <v>465</v>
      </c>
      <c r="M11" s="30"/>
      <c r="N11" s="42"/>
      <c r="O11" s="30"/>
      <c r="P11" s="44"/>
      <c r="Q11" s="42"/>
    </row>
    <row r="12" ht="22.5" customHeight="1">
      <c r="B12" s="26" t="s">
        <v>277</v>
      </c>
      <c r="C12" s="28">
        <v>46236.0</v>
      </c>
      <c r="D12" s="30"/>
      <c r="E12" s="28"/>
      <c r="F12" s="60"/>
      <c r="G12" s="33" t="s">
        <v>468</v>
      </c>
      <c r="H12" s="33" t="s">
        <v>469</v>
      </c>
      <c r="I12" s="26" t="s">
        <v>186</v>
      </c>
      <c r="J12" s="30"/>
      <c r="K12" s="36" t="s">
        <v>470</v>
      </c>
      <c r="L12" s="26" t="s">
        <v>459</v>
      </c>
      <c r="M12" s="30"/>
      <c r="N12" s="42"/>
      <c r="O12" s="30"/>
      <c r="P12" s="44"/>
      <c r="Q12" s="42"/>
    </row>
    <row r="13" ht="22.5" customHeight="1">
      <c r="B13" s="26" t="s">
        <v>277</v>
      </c>
      <c r="C13" s="28">
        <v>46267.0</v>
      </c>
      <c r="D13" s="30"/>
      <c r="E13" s="28"/>
      <c r="F13" s="60"/>
      <c r="G13" s="33" t="s">
        <v>473</v>
      </c>
      <c r="H13" s="230" t="s">
        <v>474</v>
      </c>
      <c r="I13" s="26" t="s">
        <v>186</v>
      </c>
      <c r="J13" s="30"/>
      <c r="K13" s="36" t="s">
        <v>475</v>
      </c>
      <c r="L13" s="26"/>
      <c r="M13" s="30"/>
      <c r="N13" s="42"/>
      <c r="O13" s="30"/>
      <c r="P13" s="44"/>
      <c r="Q13" s="42"/>
    </row>
    <row r="14" ht="22.5" customHeight="1">
      <c r="B14" s="26"/>
      <c r="C14" s="28"/>
      <c r="D14" s="30"/>
      <c r="E14" s="28"/>
      <c r="F14" s="60"/>
      <c r="G14" s="33"/>
      <c r="H14" s="33"/>
      <c r="I14" s="26"/>
      <c r="J14" s="30"/>
      <c r="K14" s="36"/>
      <c r="L14" s="26"/>
      <c r="M14" s="30"/>
      <c r="N14" s="42"/>
      <c r="O14" s="30"/>
      <c r="P14" s="44"/>
      <c r="Q14" s="42"/>
    </row>
    <row r="15" ht="22.5" customHeight="1">
      <c r="B15" s="26"/>
      <c r="C15" s="28"/>
      <c r="D15" s="30"/>
      <c r="E15" s="28"/>
      <c r="F15" s="60"/>
      <c r="G15" s="33"/>
      <c r="H15" s="33"/>
      <c r="I15" s="26"/>
      <c r="J15" s="30"/>
      <c r="K15" s="36"/>
      <c r="L15" s="26"/>
      <c r="M15" s="30"/>
      <c r="N15" s="42"/>
      <c r="O15" s="30"/>
      <c r="P15" s="44"/>
      <c r="Q15" s="42"/>
    </row>
    <row r="16" ht="22.5" customHeight="1">
      <c r="B16" s="26"/>
      <c r="C16" s="26"/>
      <c r="D16" s="30"/>
      <c r="E16" s="28"/>
      <c r="F16" s="60"/>
      <c r="G16" s="33"/>
      <c r="H16" s="33"/>
      <c r="I16" s="26"/>
      <c r="J16" s="30"/>
      <c r="K16" s="36"/>
      <c r="L16" s="26"/>
      <c r="M16" s="30"/>
      <c r="N16" s="42"/>
      <c r="O16" s="44"/>
      <c r="P16" s="44"/>
      <c r="Q16" s="42"/>
    </row>
    <row r="17" ht="22.5" customHeight="1">
      <c r="B17" s="26"/>
      <c r="C17" s="26"/>
      <c r="D17" s="30"/>
      <c r="E17" s="60"/>
      <c r="F17" s="60"/>
      <c r="G17" s="33"/>
      <c r="H17" s="33"/>
      <c r="I17" s="26"/>
      <c r="J17" s="30"/>
      <c r="K17" s="36"/>
      <c r="L17" s="26"/>
      <c r="M17" s="44"/>
      <c r="N17" s="42"/>
      <c r="O17" s="44"/>
      <c r="P17" s="44"/>
      <c r="Q17" s="42"/>
    </row>
    <row r="18" ht="22.5" customHeight="1">
      <c r="B18" s="42"/>
      <c r="C18" s="28"/>
      <c r="D18" s="30"/>
      <c r="E18" s="60"/>
      <c r="F18" s="60"/>
      <c r="G18" s="33"/>
      <c r="H18" s="33"/>
      <c r="I18" s="26"/>
      <c r="J18" s="30"/>
      <c r="K18" s="36"/>
      <c r="L18" s="26"/>
      <c r="M18" s="44"/>
      <c r="N18" s="42"/>
      <c r="O18" s="44"/>
      <c r="P18" s="44"/>
      <c r="Q18" s="42"/>
    </row>
    <row r="19" ht="22.5" customHeight="1">
      <c r="B19" s="42"/>
      <c r="C19" s="28"/>
      <c r="D19" s="30"/>
      <c r="E19" s="28"/>
      <c r="F19" s="60"/>
      <c r="G19" s="33"/>
      <c r="H19" s="33"/>
      <c r="I19" s="26"/>
      <c r="J19" s="30"/>
      <c r="K19" s="36"/>
      <c r="L19" s="26"/>
      <c r="M19" s="44"/>
      <c r="N19" s="42"/>
      <c r="O19" s="44"/>
      <c r="P19" s="44"/>
      <c r="Q19" s="42"/>
    </row>
    <row r="20" ht="22.5" customHeight="1">
      <c r="B20" s="42"/>
      <c r="C20" s="60"/>
      <c r="D20" s="30"/>
      <c r="E20" s="60"/>
      <c r="F20" s="60"/>
      <c r="G20" s="33"/>
      <c r="H20" s="33"/>
      <c r="I20" s="26"/>
      <c r="J20" s="30"/>
      <c r="K20" s="36"/>
      <c r="L20" s="26"/>
      <c r="M20" s="44"/>
      <c r="N20" s="42"/>
      <c r="O20" s="44"/>
      <c r="P20" s="44"/>
      <c r="Q20" s="42"/>
    </row>
    <row r="21" ht="22.5" customHeight="1">
      <c r="B21" s="42"/>
      <c r="C21" s="60"/>
      <c r="D21" s="51"/>
      <c r="E21" s="60"/>
      <c r="F21" s="60"/>
      <c r="G21" s="114"/>
      <c r="H21" s="114"/>
      <c r="I21" s="42"/>
      <c r="J21" s="44"/>
      <c r="K21" s="115"/>
      <c r="L21" s="42"/>
      <c r="M21" s="44"/>
      <c r="N21" s="42"/>
      <c r="O21" s="44"/>
      <c r="P21" s="44"/>
      <c r="Q21" s="42"/>
    </row>
    <row r="22" ht="22.5" customHeight="1">
      <c r="B22" s="42"/>
      <c r="C22" s="60"/>
      <c r="D22" s="51"/>
      <c r="E22" s="60"/>
      <c r="F22" s="60"/>
      <c r="G22" s="114"/>
      <c r="H22" s="114"/>
      <c r="I22" s="42"/>
      <c r="J22" s="44"/>
      <c r="K22" s="115"/>
      <c r="L22" s="42"/>
      <c r="M22" s="44"/>
      <c r="N22" s="42"/>
      <c r="O22" s="44"/>
      <c r="P22" s="44"/>
      <c r="Q22" s="42"/>
    </row>
    <row r="23" ht="22.5" customHeight="1">
      <c r="B23" s="42"/>
      <c r="C23" s="60"/>
      <c r="D23" s="51"/>
      <c r="E23" s="60"/>
      <c r="F23" s="60"/>
      <c r="G23" s="114"/>
      <c r="H23" s="114"/>
      <c r="I23" s="42"/>
      <c r="J23" s="44"/>
      <c r="K23" s="115"/>
      <c r="L23" s="42"/>
      <c r="M23" s="44"/>
      <c r="N23" s="42"/>
      <c r="O23" s="44"/>
      <c r="P23" s="44"/>
      <c r="Q23" s="42"/>
    </row>
    <row r="24" ht="22.5" customHeight="1">
      <c r="B24" s="42"/>
      <c r="C24" s="60"/>
      <c r="D24" s="51"/>
      <c r="E24" s="60"/>
      <c r="F24" s="60"/>
      <c r="G24" s="114"/>
      <c r="H24" s="114"/>
      <c r="I24" s="42"/>
      <c r="J24" s="44"/>
      <c r="K24" s="115"/>
      <c r="L24" s="42"/>
      <c r="M24" s="44"/>
      <c r="N24" s="42"/>
      <c r="O24" s="44"/>
      <c r="P24" s="44"/>
      <c r="Q24" s="42"/>
    </row>
    <row r="25" ht="22.5" customHeight="1">
      <c r="B25" s="42"/>
      <c r="C25" s="60"/>
      <c r="D25" s="51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179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SUMIFS(OPI_18[MAF NETO],OPI_18[ESTADO],"Desembolsado")</f>
        <v>0</v>
      </c>
      <c r="G4" s="15">
        <f>F4-E4</f>
        <v>-1000000</v>
      </c>
      <c r="H4" s="16">
        <f>SUMIFS(OPI_18[MAF NETO],OPI_18[ESTADO],H$3)</f>
        <v>0</v>
      </c>
      <c r="I4" s="16">
        <f>SUMIFS(OPI_18[MAF NETO],OPI_18[ESTADO],I$3)</f>
        <v>0</v>
      </c>
      <c r="J4" s="16">
        <f>SUMIFS(OPI_18[MAF NETO],OPI_18[ESTADO],J$3)</f>
        <v>0</v>
      </c>
      <c r="K4" s="16">
        <f>SUMIFS(OPI_18[MAF NETO],OPI_18[ESTADO],K$3)</f>
        <v>0</v>
      </c>
      <c r="L4" s="16">
        <f>SUMIFS(OPI_18[MAF NETO],OPI_18[ESTADO],L$3)</f>
        <v>0</v>
      </c>
      <c r="M4" s="16">
        <f>SUMIFS(OPI_18[MAF NETO],OPI_18[ESTADO],M$3)</f>
        <v>0</v>
      </c>
      <c r="N4" s="16">
        <f>SUMIFS(OPI_18[MAF NETO],OPI_18[ESTADO],N$3)</f>
        <v>0</v>
      </c>
    </row>
    <row r="5" ht="26.25" customHeight="1">
      <c r="D5" s="17" t="s">
        <v>31</v>
      </c>
      <c r="E5" s="18" t="s">
        <v>32</v>
      </c>
      <c r="F5" s="19">
        <f>COUNTIFS(OPI_18[ESTADO],"Desembolsado")</f>
        <v>0</v>
      </c>
      <c r="G5" s="20">
        <f>IFERROR(F4/E4,"")</f>
        <v>0</v>
      </c>
      <c r="H5" s="19">
        <f>COUNTIFS(OPI_18[ESTADO],H$3)</f>
        <v>0</v>
      </c>
      <c r="I5" s="19">
        <f>COUNTIFS(OPI_18[ESTADO],I$3)</f>
        <v>0</v>
      </c>
      <c r="J5" s="19">
        <f>COUNTIFS(OPI_18[ESTADO],J$3)</f>
        <v>0</v>
      </c>
      <c r="K5" s="19">
        <f>COUNTIFS(OPI_18[ESTADO],K$3)</f>
        <v>0</v>
      </c>
      <c r="L5" s="19">
        <f>COUNTIFS(OPI_18[ESTADO],L$3)</f>
        <v>0</v>
      </c>
      <c r="M5" s="19">
        <f>COUNTIFS(OPI_18[ESTADO],M$3)</f>
        <v>0</v>
      </c>
      <c r="N5" s="19">
        <f>COUNTIFS(OPI_18[ESTADO],N$3)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30"/>
      <c r="E10" s="28"/>
      <c r="F10" s="28"/>
      <c r="G10" s="33"/>
      <c r="H10" s="33"/>
      <c r="I10" s="26"/>
      <c r="J10" s="30"/>
      <c r="K10" s="36"/>
      <c r="L10" s="26"/>
      <c r="M10" s="51"/>
      <c r="N10" s="42"/>
      <c r="O10" s="51"/>
      <c r="P10" s="44"/>
      <c r="Q10" s="26"/>
    </row>
    <row r="11" ht="22.5" customHeight="1">
      <c r="B11" s="26"/>
      <c r="C11" s="28"/>
      <c r="D11" s="30"/>
      <c r="E11" s="28"/>
      <c r="F11" s="28"/>
      <c r="G11" s="33"/>
      <c r="H11" s="33"/>
      <c r="I11" s="26"/>
      <c r="J11" s="30"/>
      <c r="K11" s="36"/>
      <c r="L11" s="26"/>
      <c r="M11" s="51"/>
      <c r="N11" s="42"/>
      <c r="O11" s="51"/>
      <c r="P11" s="44"/>
      <c r="Q11" s="42"/>
    </row>
    <row r="12" ht="22.5" customHeight="1">
      <c r="B12" s="26"/>
      <c r="C12" s="28"/>
      <c r="D12" s="51"/>
      <c r="E12" s="60"/>
      <c r="F12" s="60"/>
      <c r="G12" s="33"/>
      <c r="H12" s="33"/>
      <c r="I12" s="26"/>
      <c r="J12" s="30"/>
      <c r="K12" s="36"/>
      <c r="L12" s="26"/>
      <c r="M12" s="51"/>
      <c r="N12" s="42"/>
      <c r="O12" s="51"/>
      <c r="P12" s="44"/>
      <c r="Q12" s="42"/>
    </row>
    <row r="13" ht="22.5" customHeight="1">
      <c r="B13" s="26"/>
      <c r="C13" s="28"/>
      <c r="D13" s="30"/>
      <c r="E13" s="60"/>
      <c r="F13" s="60"/>
      <c r="G13" s="33"/>
      <c r="H13" s="33"/>
      <c r="I13" s="26"/>
      <c r="J13" s="30"/>
      <c r="K13" s="36"/>
      <c r="L13" s="26"/>
      <c r="M13" s="51"/>
      <c r="N13" s="42"/>
      <c r="O13" s="51"/>
      <c r="P13" s="44"/>
      <c r="Q13" s="42"/>
    </row>
    <row r="14" ht="22.5" customHeight="1">
      <c r="B14" s="26"/>
      <c r="C14" s="28"/>
      <c r="D14" s="30"/>
      <c r="E14" s="60"/>
      <c r="F14" s="60"/>
      <c r="G14" s="33"/>
      <c r="H14" s="33"/>
      <c r="I14" s="26"/>
      <c r="J14" s="30"/>
      <c r="K14" s="36"/>
      <c r="L14" s="26"/>
      <c r="M14" s="44"/>
      <c r="N14" s="42"/>
      <c r="O14" s="44"/>
      <c r="P14" s="44"/>
      <c r="Q14" s="42"/>
    </row>
    <row r="15" ht="22.5" customHeight="1">
      <c r="B15" s="26"/>
      <c r="C15" s="60"/>
      <c r="D15" s="30"/>
      <c r="E15" s="60"/>
      <c r="F15" s="60"/>
      <c r="G15" s="33"/>
      <c r="H15" s="33"/>
      <c r="I15" s="26"/>
      <c r="J15" s="30"/>
      <c r="K15" s="36"/>
      <c r="L15" s="26"/>
      <c r="M15" s="44"/>
      <c r="N15" s="42"/>
      <c r="O15" s="44"/>
      <c r="P15" s="44"/>
      <c r="Q15" s="42"/>
    </row>
    <row r="16" ht="22.5" customHeight="1">
      <c r="B16" s="42"/>
      <c r="C16" s="60"/>
      <c r="D16" s="30"/>
      <c r="E16" s="60"/>
      <c r="F16" s="60"/>
      <c r="G16" s="33"/>
      <c r="H16" s="33"/>
      <c r="I16" s="26"/>
      <c r="J16" s="30"/>
      <c r="K16" s="36"/>
      <c r="L16" s="26"/>
      <c r="M16" s="44"/>
      <c r="N16" s="42"/>
      <c r="O16" s="44"/>
      <c r="P16" s="44"/>
      <c r="Q16" s="42"/>
    </row>
    <row r="17" ht="22.5" customHeight="1">
      <c r="B17" s="42"/>
      <c r="C17" s="60"/>
      <c r="D17" s="51"/>
      <c r="E17" s="60"/>
      <c r="F17" s="60"/>
      <c r="G17" s="114"/>
      <c r="H17" s="114"/>
      <c r="I17" s="42"/>
      <c r="J17" s="44"/>
      <c r="K17" s="115"/>
      <c r="L17" s="42"/>
      <c r="M17" s="44"/>
      <c r="N17" s="42"/>
      <c r="O17" s="44"/>
      <c r="P17" s="44"/>
      <c r="Q17" s="42"/>
    </row>
    <row r="18" ht="22.5" customHeight="1">
      <c r="B18" s="42"/>
      <c r="C18" s="60"/>
      <c r="D18" s="51"/>
      <c r="E18" s="60"/>
      <c r="F18" s="60"/>
      <c r="G18" s="114"/>
      <c r="H18" s="114"/>
      <c r="I18" s="42"/>
      <c r="J18" s="44"/>
      <c r="K18" s="115"/>
      <c r="L18" s="42"/>
      <c r="M18" s="44"/>
      <c r="N18" s="42"/>
      <c r="O18" s="44"/>
      <c r="P18" s="44"/>
      <c r="Q18" s="42"/>
    </row>
    <row r="19" ht="22.5" customHeight="1">
      <c r="B19" s="42"/>
      <c r="C19" s="60"/>
      <c r="D19" s="51"/>
      <c r="E19" s="60"/>
      <c r="F19" s="60"/>
      <c r="G19" s="114"/>
      <c r="H19" s="114"/>
      <c r="I19" s="42"/>
      <c r="J19" s="44"/>
      <c r="K19" s="115"/>
      <c r="L19" s="42"/>
      <c r="M19" s="44"/>
      <c r="N19" s="42"/>
      <c r="O19" s="44"/>
      <c r="P19" s="44"/>
      <c r="Q19" s="42"/>
    </row>
    <row r="20" ht="22.5" customHeight="1">
      <c r="B20" s="42"/>
      <c r="C20" s="60"/>
      <c r="D20" s="51"/>
      <c r="E20" s="60"/>
      <c r="F20" s="60"/>
      <c r="G20" s="114"/>
      <c r="H20" s="114"/>
      <c r="I20" s="42"/>
      <c r="J20" s="44"/>
      <c r="K20" s="115"/>
      <c r="L20" s="42"/>
      <c r="M20" s="44"/>
      <c r="N20" s="42"/>
      <c r="O20" s="44"/>
      <c r="P20" s="44"/>
      <c r="Q20" s="42"/>
    </row>
    <row r="21" ht="22.5" customHeight="1">
      <c r="B21" s="42"/>
      <c r="C21" s="60"/>
      <c r="D21" s="51"/>
      <c r="E21" s="60"/>
      <c r="F21" s="60"/>
      <c r="G21" s="114"/>
      <c r="H21" s="114"/>
      <c r="I21" s="42"/>
      <c r="J21" s="44"/>
      <c r="K21" s="115"/>
      <c r="L21" s="42"/>
      <c r="M21" s="44"/>
      <c r="N21" s="42"/>
      <c r="O21" s="44"/>
      <c r="P21" s="44"/>
      <c r="Q21" s="42"/>
    </row>
    <row r="22" ht="22.5" customHeight="1">
      <c r="B22" s="42"/>
      <c r="C22" s="60"/>
      <c r="D22" s="51"/>
      <c r="E22" s="60"/>
      <c r="F22" s="60"/>
      <c r="G22" s="114"/>
      <c r="H22" s="114"/>
      <c r="I22" s="42"/>
      <c r="J22" s="44"/>
      <c r="K22" s="115"/>
      <c r="L22" s="42"/>
      <c r="M22" s="44"/>
      <c r="N22" s="42"/>
      <c r="O22" s="44"/>
      <c r="P22" s="44"/>
      <c r="Q22" s="42"/>
    </row>
    <row r="23" ht="22.5" customHeight="1">
      <c r="B23" s="42"/>
      <c r="C23" s="60"/>
      <c r="D23" s="51"/>
      <c r="E23" s="60"/>
      <c r="F23" s="60"/>
      <c r="G23" s="114"/>
      <c r="H23" s="114"/>
      <c r="I23" s="42"/>
      <c r="J23" s="44"/>
      <c r="K23" s="115"/>
      <c r="L23" s="42"/>
      <c r="M23" s="44"/>
      <c r="N23" s="42"/>
      <c r="O23" s="44"/>
      <c r="P23" s="44"/>
      <c r="Q23" s="42"/>
    </row>
    <row r="24" ht="22.5" customHeight="1">
      <c r="B24" s="42"/>
      <c r="C24" s="60"/>
      <c r="D24" s="51"/>
      <c r="E24" s="60"/>
      <c r="F24" s="60"/>
      <c r="G24" s="114"/>
      <c r="H24" s="114"/>
      <c r="I24" s="42"/>
      <c r="J24" s="44"/>
      <c r="K24" s="115"/>
      <c r="L24" s="42"/>
      <c r="M24" s="44"/>
      <c r="N24" s="42"/>
      <c r="O24" s="44"/>
      <c r="P24" s="44"/>
      <c r="Q24" s="42"/>
    </row>
    <row r="25" ht="22.5" customHeight="1">
      <c r="B25" s="42"/>
      <c r="C25" s="60"/>
      <c r="D25" s="51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479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SUMIFS(OPI_19[MAF NETO],OPI_19[ESTADO],"Desembolsado")</f>
        <v>0</v>
      </c>
      <c r="G4" s="15">
        <f>F4-E4</f>
        <v>-1000000</v>
      </c>
      <c r="H4" s="16">
        <f>SUMIFS(OPI_19[MAF NETO],OPI_19[ESTADO],H$3)</f>
        <v>0</v>
      </c>
      <c r="I4" s="16">
        <f>SUMIFS(OPI_19[MAF NETO],OPI_19[ESTADO],I$3)</f>
        <v>0</v>
      </c>
      <c r="J4" s="16">
        <f>SUMIFS(OPI_19[MAF NETO],OPI_19[ESTADO],J$3)</f>
        <v>0</v>
      </c>
      <c r="K4" s="16">
        <f>SUMIFS(OPI_19[MAF NETO],OPI_19[ESTADO],K$3)</f>
        <v>0</v>
      </c>
      <c r="L4" s="16">
        <f>SUMIFS(OPI_19[MAF NETO],OPI_19[ESTADO],L$3)</f>
        <v>0</v>
      </c>
      <c r="M4" s="16">
        <f>SUMIFS(OPI_19[MAF NETO],OPI_19[ESTADO],M$3)</f>
        <v>0</v>
      </c>
      <c r="N4" s="16">
        <f>SUMIFS(OPI_19[MAF NETO],OPI_19[ESTADO],N$3)</f>
        <v>0</v>
      </c>
    </row>
    <row r="5" ht="26.25" customHeight="1">
      <c r="D5" s="17" t="s">
        <v>31</v>
      </c>
      <c r="E5" s="18" t="s">
        <v>32</v>
      </c>
      <c r="F5" s="19">
        <f>COUNTIFS(OPI_19[ESTADO],"Desembolsado")</f>
        <v>0</v>
      </c>
      <c r="G5" s="20">
        <f>IFERROR(F4/E4,"")</f>
        <v>0</v>
      </c>
      <c r="H5" s="19">
        <f>COUNTIFS(OPI_19[ESTADO],H$3)</f>
        <v>0</v>
      </c>
      <c r="I5" s="19">
        <f>COUNTIFS(OPI_19[ESTADO],I$3)</f>
        <v>0</v>
      </c>
      <c r="J5" s="19">
        <f>COUNTIFS(OPI_19[ESTADO],J$3)</f>
        <v>0</v>
      </c>
      <c r="K5" s="19">
        <f>COUNTIFS(OPI_19[ESTADO],K$3)</f>
        <v>0</v>
      </c>
      <c r="L5" s="19">
        <f>COUNTIFS(OPI_19[ESTADO],L$3)</f>
        <v>0</v>
      </c>
      <c r="M5" s="19">
        <f>COUNTIFS(OPI_19[ESTADO],M$3)</f>
        <v>0</v>
      </c>
      <c r="N5" s="19">
        <f>COUNTIFS(OPI_19[ESTADO],N$3)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/>
      <c r="D10" s="51"/>
      <c r="E10" s="28"/>
      <c r="F10" s="28"/>
      <c r="G10" s="33"/>
      <c r="H10" s="33"/>
      <c r="I10" s="26"/>
      <c r="J10" s="51"/>
      <c r="K10" s="36"/>
      <c r="L10" s="26"/>
      <c r="M10" s="51"/>
      <c r="N10" s="42"/>
      <c r="O10" s="51"/>
      <c r="P10" s="44"/>
      <c r="Q10" s="26"/>
    </row>
    <row r="11" ht="22.5" customHeight="1">
      <c r="B11" s="26"/>
      <c r="C11" s="28"/>
      <c r="D11" s="51"/>
      <c r="E11" s="28"/>
      <c r="F11" s="28"/>
      <c r="G11" s="33"/>
      <c r="H11" s="33"/>
      <c r="I11" s="26"/>
      <c r="J11" s="51"/>
      <c r="K11" s="36"/>
      <c r="L11" s="26"/>
      <c r="M11" s="51"/>
      <c r="N11" s="42"/>
      <c r="O11" s="51"/>
      <c r="P11" s="44"/>
      <c r="Q11" s="42"/>
    </row>
    <row r="12" ht="22.5" customHeight="1">
      <c r="B12" s="26"/>
      <c r="C12" s="28"/>
      <c r="D12" s="51"/>
      <c r="E12" s="60"/>
      <c r="F12" s="60"/>
      <c r="G12" s="33"/>
      <c r="H12" s="33"/>
      <c r="I12" s="26"/>
      <c r="J12" s="51"/>
      <c r="K12" s="36"/>
      <c r="L12" s="26"/>
      <c r="M12" s="51"/>
      <c r="N12" s="42"/>
      <c r="O12" s="51"/>
      <c r="P12" s="44"/>
      <c r="Q12" s="42"/>
    </row>
    <row r="13" ht="22.5" customHeight="1">
      <c r="B13" s="26"/>
      <c r="C13" s="28"/>
      <c r="D13" s="51"/>
      <c r="E13" s="60"/>
      <c r="F13" s="60"/>
      <c r="G13" s="33"/>
      <c r="H13" s="33"/>
      <c r="I13" s="26"/>
      <c r="J13" s="51"/>
      <c r="K13" s="36"/>
      <c r="L13" s="26"/>
      <c r="M13" s="51"/>
      <c r="N13" s="42"/>
      <c r="O13" s="51"/>
      <c r="P13" s="44"/>
      <c r="Q13" s="42"/>
    </row>
    <row r="14" ht="22.5" customHeight="1">
      <c r="B14" s="26"/>
      <c r="C14" s="28"/>
      <c r="D14" s="51"/>
      <c r="E14" s="60"/>
      <c r="F14" s="60"/>
      <c r="G14" s="33"/>
      <c r="H14" s="33"/>
      <c r="I14" s="42"/>
      <c r="J14" s="44"/>
      <c r="K14" s="115"/>
      <c r="L14" s="42"/>
      <c r="M14" s="44"/>
      <c r="N14" s="42"/>
      <c r="O14" s="44"/>
      <c r="P14" s="44"/>
      <c r="Q14" s="42"/>
    </row>
    <row r="15" ht="22.5" customHeight="1">
      <c r="B15" s="42"/>
      <c r="C15" s="60"/>
      <c r="D15" s="51"/>
      <c r="E15" s="60"/>
      <c r="F15" s="60"/>
      <c r="G15" s="114"/>
      <c r="H15" s="114"/>
      <c r="I15" s="42"/>
      <c r="J15" s="44"/>
      <c r="K15" s="115"/>
      <c r="L15" s="42"/>
      <c r="M15" s="44"/>
      <c r="N15" s="42"/>
      <c r="O15" s="44"/>
      <c r="P15" s="44"/>
      <c r="Q15" s="42"/>
    </row>
    <row r="16" ht="22.5" customHeight="1">
      <c r="B16" s="42"/>
      <c r="C16" s="60"/>
      <c r="D16" s="51"/>
      <c r="E16" s="60"/>
      <c r="F16" s="60"/>
      <c r="G16" s="114"/>
      <c r="H16" s="114"/>
      <c r="I16" s="42"/>
      <c r="J16" s="44"/>
      <c r="K16" s="115"/>
      <c r="L16" s="42"/>
      <c r="M16" s="44"/>
      <c r="N16" s="42"/>
      <c r="O16" s="44"/>
      <c r="P16" s="44"/>
      <c r="Q16" s="42"/>
    </row>
    <row r="17" ht="22.5" customHeight="1">
      <c r="B17" s="42"/>
      <c r="C17" s="60"/>
      <c r="D17" s="51"/>
      <c r="E17" s="60"/>
      <c r="F17" s="60"/>
      <c r="G17" s="114"/>
      <c r="H17" s="114"/>
      <c r="I17" s="42"/>
      <c r="J17" s="44"/>
      <c r="K17" s="115"/>
      <c r="L17" s="42"/>
      <c r="M17" s="44"/>
      <c r="N17" s="42"/>
      <c r="O17" s="44"/>
      <c r="P17" s="44"/>
      <c r="Q17" s="42"/>
    </row>
    <row r="18" ht="22.5" customHeight="1">
      <c r="B18" s="42"/>
      <c r="C18" s="60"/>
      <c r="D18" s="51"/>
      <c r="E18" s="60"/>
      <c r="F18" s="60"/>
      <c r="G18" s="114"/>
      <c r="H18" s="114"/>
      <c r="I18" s="42"/>
      <c r="J18" s="44"/>
      <c r="K18" s="115"/>
      <c r="L18" s="42"/>
      <c r="M18" s="44"/>
      <c r="N18" s="42"/>
      <c r="O18" s="44"/>
      <c r="P18" s="44"/>
      <c r="Q18" s="42"/>
    </row>
    <row r="19" ht="22.5" customHeight="1">
      <c r="B19" s="42"/>
      <c r="C19" s="60"/>
      <c r="D19" s="51"/>
      <c r="E19" s="60"/>
      <c r="F19" s="60"/>
      <c r="G19" s="114"/>
      <c r="H19" s="114"/>
      <c r="I19" s="42"/>
      <c r="J19" s="44"/>
      <c r="K19" s="115"/>
      <c r="L19" s="42"/>
      <c r="M19" s="44"/>
      <c r="N19" s="42"/>
      <c r="O19" s="44"/>
      <c r="P19" s="44"/>
      <c r="Q19" s="42"/>
    </row>
    <row r="20" ht="22.5" customHeight="1">
      <c r="B20" s="42"/>
      <c r="C20" s="60"/>
      <c r="D20" s="51"/>
      <c r="E20" s="60"/>
      <c r="F20" s="60"/>
      <c r="G20" s="114"/>
      <c r="H20" s="114"/>
      <c r="I20" s="42"/>
      <c r="J20" s="44"/>
      <c r="K20" s="115"/>
      <c r="L20" s="42"/>
      <c r="M20" s="44"/>
      <c r="N20" s="42"/>
      <c r="O20" s="44"/>
      <c r="P20" s="44"/>
      <c r="Q20" s="42"/>
    </row>
    <row r="21" ht="22.5" customHeight="1">
      <c r="B21" s="42"/>
      <c r="C21" s="60"/>
      <c r="D21" s="51"/>
      <c r="E21" s="60"/>
      <c r="F21" s="60"/>
      <c r="G21" s="114"/>
      <c r="H21" s="114"/>
      <c r="I21" s="42"/>
      <c r="J21" s="44"/>
      <c r="K21" s="115"/>
      <c r="L21" s="42"/>
      <c r="M21" s="44"/>
      <c r="N21" s="42"/>
      <c r="O21" s="44"/>
      <c r="P21" s="44"/>
      <c r="Q21" s="42"/>
    </row>
    <row r="22" ht="22.5" customHeight="1">
      <c r="B22" s="42"/>
      <c r="C22" s="60"/>
      <c r="D22" s="51"/>
      <c r="E22" s="60"/>
      <c r="F22" s="60"/>
      <c r="G22" s="114"/>
      <c r="H22" s="114"/>
      <c r="I22" s="42"/>
      <c r="J22" s="44"/>
      <c r="K22" s="115"/>
      <c r="L22" s="42"/>
      <c r="M22" s="44"/>
      <c r="N22" s="42"/>
      <c r="O22" s="44"/>
      <c r="P22" s="44"/>
      <c r="Q22" s="42"/>
    </row>
    <row r="23" ht="22.5" customHeight="1">
      <c r="B23" s="42"/>
      <c r="C23" s="60"/>
      <c r="D23" s="51"/>
      <c r="E23" s="60"/>
      <c r="F23" s="60"/>
      <c r="G23" s="114"/>
      <c r="H23" s="114"/>
      <c r="I23" s="42"/>
      <c r="J23" s="44"/>
      <c r="K23" s="115"/>
      <c r="L23" s="42"/>
      <c r="M23" s="44"/>
      <c r="N23" s="42"/>
      <c r="O23" s="44"/>
      <c r="P23" s="44"/>
      <c r="Q23" s="42"/>
    </row>
    <row r="24" ht="22.5" customHeight="1">
      <c r="B24" s="42"/>
      <c r="C24" s="60"/>
      <c r="D24" s="51"/>
      <c r="E24" s="60"/>
      <c r="F24" s="60"/>
      <c r="G24" s="114"/>
      <c r="H24" s="114"/>
      <c r="I24" s="42"/>
      <c r="J24" s="44"/>
      <c r="K24" s="115"/>
      <c r="L24" s="42"/>
      <c r="M24" s="44"/>
      <c r="N24" s="42"/>
      <c r="O24" s="44"/>
      <c r="P24" s="44"/>
      <c r="Q24" s="42"/>
    </row>
    <row r="25" ht="22.5" customHeight="1">
      <c r="B25" s="42"/>
      <c r="C25" s="60"/>
      <c r="D25" s="51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177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SUMIFS(OPI_13[MAF NETO],OPI_13[ESTADO],"Desembolsado")</f>
        <v>113000</v>
      </c>
      <c r="G4" s="15">
        <f>F4-E4</f>
        <v>-887000</v>
      </c>
      <c r="H4" s="16">
        <f>SUMIFS(OPI_13[MAF NETO],OPI_13[ESTADO],H$3)</f>
        <v>88350</v>
      </c>
      <c r="I4" s="16">
        <f>SUMIFS(OPI_13[MAF NETO],OPI_13[ESTADO],I$3)</f>
        <v>119300</v>
      </c>
      <c r="J4" s="16">
        <f>SUMIFS(OPI_13[MAF NETO],OPI_13[ESTADO],J$3)</f>
        <v>59800</v>
      </c>
      <c r="K4" s="16">
        <f>SUMIFS(OPI_13[MAF NETO],OPI_13[ESTADO],K$3)</f>
        <v>3000</v>
      </c>
      <c r="L4" s="16">
        <f>SUMIFS(OPI_13[MAF NETO],OPI_13[ESTADO],L$3)</f>
        <v>0</v>
      </c>
      <c r="M4" s="16">
        <f>SUMIFS(OPI_13[MAF NETO],OPI_13[ESTADO],M$3)</f>
        <v>0</v>
      </c>
      <c r="N4" s="16">
        <f>SUMIFS(OPI_13[MAF NETO],OPI_13[ESTADO],N$3)</f>
        <v>0</v>
      </c>
    </row>
    <row r="5" ht="26.25" customHeight="1">
      <c r="D5" s="17" t="s">
        <v>31</v>
      </c>
      <c r="E5" s="18" t="s">
        <v>32</v>
      </c>
      <c r="F5" s="19">
        <f>COUNTIFS(OPI_13[ESTADO],"Desembolsado")</f>
        <v>2</v>
      </c>
      <c r="G5" s="20">
        <f>IFERROR(F4/E4,"")</f>
        <v>0.113</v>
      </c>
      <c r="H5" s="19">
        <f>COUNTIFS(OPI_13[ESTADO],H$3)</f>
        <v>1</v>
      </c>
      <c r="I5" s="19">
        <f>COUNTIFS(OPI_13[ESTADO],I$3)</f>
        <v>1</v>
      </c>
      <c r="J5" s="19">
        <f>COUNTIFS(OPI_13[ESTADO],J$3)</f>
        <v>1</v>
      </c>
      <c r="K5" s="19">
        <f>COUNTIFS(OPI_13[ESTADO],K$3)</f>
        <v>1</v>
      </c>
      <c r="L5" s="19">
        <f>COUNTIFS(OPI_13[ESTADO],L$3)</f>
        <v>0</v>
      </c>
      <c r="M5" s="19">
        <f>COUNTIFS(OPI_13[ESTADO],M$3)</f>
        <v>0</v>
      </c>
      <c r="N5" s="19">
        <f>COUNTIFS(OPI_13[ESTADO],N$3)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177</v>
      </c>
      <c r="C10" s="28">
        <v>46267.0</v>
      </c>
      <c r="D10" s="170" t="s">
        <v>52</v>
      </c>
      <c r="E10" s="28">
        <v>46267.0</v>
      </c>
      <c r="F10" s="28">
        <v>46272.0</v>
      </c>
      <c r="G10" s="33" t="s">
        <v>480</v>
      </c>
      <c r="H10" s="33" t="s">
        <v>481</v>
      </c>
      <c r="I10" s="26" t="s">
        <v>482</v>
      </c>
      <c r="J10" s="30" t="s">
        <v>19</v>
      </c>
      <c r="K10" s="36">
        <v>50000.0</v>
      </c>
      <c r="L10" s="26" t="s">
        <v>483</v>
      </c>
      <c r="M10" s="30"/>
      <c r="N10" s="46"/>
      <c r="O10" s="30"/>
      <c r="P10" s="30"/>
      <c r="Q10" s="26"/>
    </row>
    <row r="11" ht="22.5" customHeight="1">
      <c r="B11" s="26" t="s">
        <v>177</v>
      </c>
      <c r="C11" s="28">
        <v>46267.0</v>
      </c>
      <c r="D11" s="170" t="s">
        <v>52</v>
      </c>
      <c r="E11" s="28">
        <v>46267.0</v>
      </c>
      <c r="F11" s="28">
        <v>46269.0</v>
      </c>
      <c r="G11" s="33" t="s">
        <v>484</v>
      </c>
      <c r="H11" s="33" t="s">
        <v>485</v>
      </c>
      <c r="I11" s="26" t="s">
        <v>126</v>
      </c>
      <c r="J11" s="30" t="s">
        <v>19</v>
      </c>
      <c r="K11" s="36">
        <v>63000.0</v>
      </c>
      <c r="L11" s="26" t="s">
        <v>483</v>
      </c>
      <c r="M11" s="30"/>
      <c r="N11" s="46"/>
      <c r="O11" s="30"/>
      <c r="P11" s="30"/>
      <c r="Q11" s="42"/>
    </row>
    <row r="12" ht="22.5" customHeight="1">
      <c r="B12" s="26" t="s">
        <v>177</v>
      </c>
      <c r="C12" s="28">
        <v>46270.0</v>
      </c>
      <c r="D12" s="170" t="s">
        <v>52</v>
      </c>
      <c r="E12" s="28">
        <v>46272.0</v>
      </c>
      <c r="F12" s="28"/>
      <c r="G12" s="33" t="s">
        <v>486</v>
      </c>
      <c r="H12" s="33" t="s">
        <v>487</v>
      </c>
      <c r="I12" s="26" t="s">
        <v>65</v>
      </c>
      <c r="J12" s="30" t="s">
        <v>74</v>
      </c>
      <c r="K12" s="36">
        <v>59800.0</v>
      </c>
      <c r="L12" s="26" t="s">
        <v>483</v>
      </c>
      <c r="M12" s="30"/>
      <c r="N12" s="46"/>
      <c r="O12" s="30"/>
      <c r="P12" s="30"/>
      <c r="Q12" s="26"/>
    </row>
    <row r="13" ht="22.5" customHeight="1">
      <c r="B13" s="26" t="s">
        <v>177</v>
      </c>
      <c r="C13" s="28">
        <v>46270.0</v>
      </c>
      <c r="D13" s="170" t="s">
        <v>54</v>
      </c>
      <c r="E13" s="28"/>
      <c r="F13" s="28"/>
      <c r="G13" s="33" t="s">
        <v>488</v>
      </c>
      <c r="H13" s="33" t="s">
        <v>489</v>
      </c>
      <c r="I13" s="26" t="s">
        <v>490</v>
      </c>
      <c r="J13" s="30" t="s">
        <v>22</v>
      </c>
      <c r="K13" s="36">
        <v>119300.0</v>
      </c>
      <c r="L13" s="26" t="s">
        <v>483</v>
      </c>
      <c r="M13" s="30"/>
      <c r="N13" s="46"/>
      <c r="O13" s="30"/>
      <c r="P13" s="30"/>
      <c r="Q13" s="26"/>
    </row>
    <row r="14" ht="22.5" customHeight="1">
      <c r="B14" s="26" t="s">
        <v>177</v>
      </c>
      <c r="C14" s="28">
        <v>46270.0</v>
      </c>
      <c r="D14" s="170"/>
      <c r="E14" s="28"/>
      <c r="F14" s="28"/>
      <c r="G14" s="33" t="s">
        <v>491</v>
      </c>
      <c r="H14" s="33" t="s">
        <v>492</v>
      </c>
      <c r="I14" s="26" t="s">
        <v>65</v>
      </c>
      <c r="J14" s="30" t="s">
        <v>21</v>
      </c>
      <c r="K14" s="36">
        <v>88350.0</v>
      </c>
      <c r="L14" s="26" t="s">
        <v>483</v>
      </c>
      <c r="M14" s="30"/>
      <c r="N14" s="46"/>
      <c r="O14" s="30"/>
      <c r="P14" s="30"/>
      <c r="Q14" s="42"/>
    </row>
    <row r="15" ht="22.5" customHeight="1">
      <c r="B15" s="26" t="s">
        <v>177</v>
      </c>
      <c r="C15" s="28">
        <v>46270.0</v>
      </c>
      <c r="D15" s="170" t="s">
        <v>52</v>
      </c>
      <c r="E15" s="28">
        <v>46272.0</v>
      </c>
      <c r="F15" s="28"/>
      <c r="G15" s="33" t="s">
        <v>493</v>
      </c>
      <c r="H15" s="33" t="s">
        <v>494</v>
      </c>
      <c r="I15" s="26" t="s">
        <v>126</v>
      </c>
      <c r="J15" s="30" t="s">
        <v>24</v>
      </c>
      <c r="K15" s="36">
        <v>3000.0</v>
      </c>
      <c r="L15" s="26" t="s">
        <v>483</v>
      </c>
      <c r="M15" s="30"/>
      <c r="N15" s="46"/>
      <c r="O15" s="30"/>
      <c r="P15" s="30"/>
      <c r="Q15" s="42"/>
    </row>
    <row r="16" ht="22.5" customHeight="1">
      <c r="B16" s="26" t="s">
        <v>177</v>
      </c>
      <c r="C16" s="28"/>
      <c r="D16" s="170"/>
      <c r="E16" s="28"/>
      <c r="F16" s="28"/>
      <c r="G16" s="33"/>
      <c r="H16" s="33"/>
      <c r="I16" s="26"/>
      <c r="J16" s="30"/>
      <c r="K16" s="36"/>
      <c r="L16" s="26"/>
      <c r="M16" s="30"/>
      <c r="N16" s="46"/>
      <c r="O16" s="30"/>
      <c r="P16" s="30"/>
      <c r="Q16" s="26"/>
    </row>
    <row r="17" ht="22.5" customHeight="1">
      <c r="B17" s="26"/>
      <c r="C17" s="28"/>
      <c r="D17" s="170"/>
      <c r="E17" s="28"/>
      <c r="F17" s="28"/>
      <c r="G17" s="33"/>
      <c r="H17" s="33"/>
      <c r="I17" s="26"/>
      <c r="J17" s="30"/>
      <c r="K17" s="36"/>
      <c r="L17" s="26"/>
      <c r="M17" s="30"/>
      <c r="N17" s="46"/>
      <c r="O17" s="44"/>
      <c r="P17" s="44"/>
      <c r="Q17" s="26"/>
    </row>
    <row r="18" ht="22.5" customHeight="1">
      <c r="B18" s="26"/>
      <c r="C18" s="28"/>
      <c r="D18" s="170"/>
      <c r="E18" s="28"/>
      <c r="F18" s="28"/>
      <c r="G18" s="33"/>
      <c r="H18" s="33"/>
      <c r="I18" s="26"/>
      <c r="J18" s="30"/>
      <c r="K18" s="36"/>
      <c r="L18" s="26"/>
      <c r="M18" s="30"/>
      <c r="N18" s="42"/>
      <c r="O18" s="44"/>
      <c r="P18" s="44"/>
      <c r="Q18" s="26"/>
    </row>
    <row r="19" ht="22.5" customHeight="1">
      <c r="B19" s="26"/>
      <c r="C19" s="28"/>
      <c r="D19" s="170"/>
      <c r="E19" s="28"/>
      <c r="F19" s="28"/>
      <c r="G19" s="33"/>
      <c r="H19" s="33"/>
      <c r="I19" s="26"/>
      <c r="J19" s="30"/>
      <c r="K19" s="36"/>
      <c r="L19" s="26"/>
      <c r="M19" s="44"/>
      <c r="N19" s="42"/>
      <c r="O19" s="44"/>
      <c r="P19" s="44"/>
      <c r="Q19" s="42"/>
    </row>
    <row r="20" ht="22.5" customHeight="1">
      <c r="B20" s="26"/>
      <c r="C20" s="28"/>
      <c r="D20" s="170"/>
      <c r="E20" s="28"/>
      <c r="F20" s="60"/>
      <c r="G20" s="33"/>
      <c r="H20" s="33"/>
      <c r="I20" s="26"/>
      <c r="J20" s="30"/>
      <c r="K20" s="36"/>
      <c r="L20" s="26"/>
      <c r="M20" s="44"/>
      <c r="N20" s="42"/>
      <c r="O20" s="44"/>
      <c r="P20" s="44"/>
      <c r="Q20" s="26"/>
    </row>
    <row r="21" ht="22.5" customHeight="1">
      <c r="B21" s="26"/>
      <c r="C21" s="28"/>
      <c r="D21" s="170"/>
      <c r="E21" s="28"/>
      <c r="F21" s="28"/>
      <c r="G21" s="33"/>
      <c r="H21" s="33"/>
      <c r="I21" s="26"/>
      <c r="J21" s="30"/>
      <c r="K21" s="36"/>
      <c r="L21" s="26"/>
      <c r="M21" s="44"/>
      <c r="N21" s="42"/>
      <c r="O21" s="44"/>
      <c r="P21" s="44"/>
      <c r="Q21" s="42"/>
    </row>
    <row r="22" ht="22.5" customHeight="1">
      <c r="B22" s="26"/>
      <c r="C22" s="28"/>
      <c r="D22" s="170"/>
      <c r="E22" s="28"/>
      <c r="F22" s="28"/>
      <c r="G22" s="33"/>
      <c r="H22" s="33"/>
      <c r="I22" s="26"/>
      <c r="J22" s="30"/>
      <c r="K22" s="36"/>
      <c r="L22" s="26"/>
      <c r="M22" s="44"/>
      <c r="N22" s="42"/>
      <c r="O22" s="44"/>
      <c r="P22" s="44"/>
      <c r="Q22" s="42"/>
    </row>
    <row r="23" ht="22.5" customHeight="1">
      <c r="B23" s="26"/>
      <c r="C23" s="28"/>
      <c r="D23" s="170"/>
      <c r="E23" s="28"/>
      <c r="F23" s="60"/>
      <c r="G23" s="33"/>
      <c r="H23" s="33"/>
      <c r="I23" s="26"/>
      <c r="J23" s="30"/>
      <c r="K23" s="36"/>
      <c r="L23" s="26"/>
      <c r="M23" s="44"/>
      <c r="N23" s="42"/>
      <c r="O23" s="44"/>
      <c r="P23" s="44"/>
      <c r="Q23" s="42"/>
    </row>
    <row r="24" ht="22.5" customHeight="1">
      <c r="B24" s="26"/>
      <c r="C24" s="28"/>
      <c r="D24" s="170"/>
      <c r="E24" s="60"/>
      <c r="F24" s="60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42"/>
    </row>
    <row r="25" ht="22.5" customHeight="1">
      <c r="B25" s="42"/>
      <c r="C25" s="60"/>
      <c r="D25" s="180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180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180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180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180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180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180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180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180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180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180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180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180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180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180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180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180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180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180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180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180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180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180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180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180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180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180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180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15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SUMIFS(OPI_2[MAF NETO],OPI_2[ESTADO],"Desembolsado")</f>
        <v>167300</v>
      </c>
      <c r="G4" s="15">
        <f>F4-E4</f>
        <v>-832700</v>
      </c>
      <c r="H4" s="16">
        <f>SUMIFS(OPI_2[MAF NETO],OPI_2[ESTADO],H$3)</f>
        <v>0</v>
      </c>
      <c r="I4" s="16">
        <f>SUMIFS(OPI_2[MAF NETO],OPI_2[ESTADO],I$3)</f>
        <v>0</v>
      </c>
      <c r="J4" s="16">
        <f>SUMIFS(OPI_2[MAF NETO],OPI_2[ESTADO],J$3)</f>
        <v>78300</v>
      </c>
      <c r="K4" s="16">
        <f>SUMIFS(OPI_2[MAF NETO],OPI_2[ESTADO],K$3)</f>
        <v>0</v>
      </c>
      <c r="L4" s="16">
        <f>SUMIFS(OPI_2[MAF NETO],OPI_2[ESTADO],L$3)</f>
        <v>0</v>
      </c>
      <c r="M4" s="16">
        <f>SUMIFS(OPI_2[MAF NETO],OPI_2[ESTADO],M$3)</f>
        <v>0</v>
      </c>
      <c r="N4" s="16">
        <f>SUMIFS(OPI_2[MAF NETO],OPI_2[ESTADO],N$3)</f>
        <v>0</v>
      </c>
    </row>
    <row r="5" ht="26.25" customHeight="1">
      <c r="D5" s="17" t="s">
        <v>31</v>
      </c>
      <c r="E5" s="18" t="s">
        <v>32</v>
      </c>
      <c r="F5" s="19">
        <f>COUNTIFS(OPI_2[ESTADO],"Desembolsado")</f>
        <v>2</v>
      </c>
      <c r="G5" s="20">
        <f>IFERROR(F4/E4,"")</f>
        <v>0.1673</v>
      </c>
      <c r="H5" s="19">
        <f>COUNTIFS(OPI_2[ESTADO],H$3)</f>
        <v>0</v>
      </c>
      <c r="I5" s="19">
        <f>COUNTIFS(OPI_2[ESTADO],I$3)</f>
        <v>0</v>
      </c>
      <c r="J5" s="19">
        <f>COUNTIFS(OPI_2[ESTADO],J$3)</f>
        <v>1</v>
      </c>
      <c r="K5" s="19">
        <f>COUNTIFS(OPI_2[ESTADO],K$3)</f>
        <v>0</v>
      </c>
      <c r="L5" s="19">
        <f>COUNTIFS(OPI_2[ESTADO],L$3)</f>
        <v>0</v>
      </c>
      <c r="M5" s="19">
        <f>COUNTIFS(OPI_2[ESTADO],M$3)</f>
        <v>0</v>
      </c>
      <c r="N5" s="19">
        <f>COUNTIFS(OPI_2[ESTADO],N$3)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 t="s">
        <v>15</v>
      </c>
      <c r="C10" s="28">
        <v>46262.0</v>
      </c>
      <c r="D10" s="30" t="s">
        <v>52</v>
      </c>
      <c r="E10" s="28">
        <v>46267.0</v>
      </c>
      <c r="F10" s="28">
        <v>46268.0</v>
      </c>
      <c r="G10" s="33" t="s">
        <v>495</v>
      </c>
      <c r="H10" s="33" t="s">
        <v>496</v>
      </c>
      <c r="I10" s="26" t="s">
        <v>65</v>
      </c>
      <c r="J10" s="30" t="s">
        <v>19</v>
      </c>
      <c r="K10" s="36">
        <v>86000.0</v>
      </c>
      <c r="L10" s="26" t="s">
        <v>497</v>
      </c>
      <c r="M10" s="51"/>
      <c r="N10" s="42"/>
      <c r="O10" s="51"/>
      <c r="P10" s="44"/>
      <c r="Q10" s="26"/>
    </row>
    <row r="11" ht="22.5" customHeight="1">
      <c r="B11" s="26" t="s">
        <v>15</v>
      </c>
      <c r="C11" s="28">
        <v>46261.0</v>
      </c>
      <c r="D11" s="30" t="s">
        <v>52</v>
      </c>
      <c r="E11" s="28">
        <v>46267.0</v>
      </c>
      <c r="F11" s="28">
        <v>46269.0</v>
      </c>
      <c r="G11" s="33" t="s">
        <v>498</v>
      </c>
      <c r="H11" s="240" t="s">
        <v>499</v>
      </c>
      <c r="I11" s="26" t="s">
        <v>65</v>
      </c>
      <c r="J11" s="30" t="s">
        <v>19</v>
      </c>
      <c r="K11" s="36">
        <v>81300.0</v>
      </c>
      <c r="L11" s="26" t="s">
        <v>497</v>
      </c>
      <c r="M11" s="51"/>
      <c r="N11" s="42"/>
      <c r="O11" s="51"/>
      <c r="P11" s="44"/>
      <c r="Q11" s="42"/>
    </row>
    <row r="12" ht="22.5" customHeight="1">
      <c r="B12" s="26" t="s">
        <v>15</v>
      </c>
      <c r="C12" s="28">
        <v>46267.0</v>
      </c>
      <c r="D12" s="30" t="s">
        <v>54</v>
      </c>
      <c r="E12" s="28">
        <v>46268.0</v>
      </c>
      <c r="F12" s="28">
        <v>46268.0</v>
      </c>
      <c r="G12" s="241" t="s">
        <v>500</v>
      </c>
      <c r="H12" s="242" t="s">
        <v>501</v>
      </c>
      <c r="I12" s="243" t="s">
        <v>65</v>
      </c>
      <c r="J12" s="30" t="s">
        <v>74</v>
      </c>
      <c r="K12" s="36">
        <v>78300.0</v>
      </c>
      <c r="L12" s="26" t="s">
        <v>497</v>
      </c>
      <c r="M12" s="51"/>
      <c r="N12" s="42"/>
      <c r="O12" s="51"/>
      <c r="P12" s="44"/>
      <c r="Q12" s="42"/>
    </row>
    <row r="13" ht="22.5" customHeight="1">
      <c r="B13" s="26"/>
      <c r="C13" s="28"/>
      <c r="D13" s="30"/>
      <c r="E13" s="28"/>
      <c r="F13" s="60"/>
      <c r="G13" s="241"/>
      <c r="H13" s="246" t="s">
        <v>502</v>
      </c>
      <c r="I13" s="243"/>
      <c r="J13" s="247"/>
      <c r="K13" s="36"/>
      <c r="L13" s="26"/>
      <c r="M13" s="51"/>
      <c r="N13" s="42"/>
      <c r="O13" s="51"/>
      <c r="P13" s="44"/>
      <c r="Q13" s="26"/>
    </row>
    <row r="14" ht="22.5" customHeight="1">
      <c r="B14" s="26"/>
      <c r="C14" s="28"/>
      <c r="D14" s="30"/>
      <c r="E14" s="60"/>
      <c r="F14" s="60"/>
      <c r="G14" s="33"/>
      <c r="H14" s="214"/>
      <c r="I14" s="211"/>
      <c r="J14" s="248"/>
      <c r="K14" s="249"/>
      <c r="L14" s="26"/>
      <c r="M14" s="44"/>
      <c r="N14" s="42"/>
      <c r="O14" s="44"/>
      <c r="P14" s="44"/>
    </row>
    <row r="15" ht="22.5" customHeight="1">
      <c r="B15" s="26"/>
      <c r="C15" s="28"/>
      <c r="D15" s="30"/>
      <c r="E15" s="60"/>
      <c r="F15" s="60"/>
      <c r="G15" s="33"/>
      <c r="H15" s="33"/>
      <c r="I15" s="26"/>
      <c r="J15" s="217"/>
      <c r="K15" s="36"/>
      <c r="L15" s="26"/>
      <c r="M15" s="44"/>
      <c r="N15" s="42"/>
      <c r="O15" s="44"/>
      <c r="P15" s="44"/>
      <c r="Q15" s="42"/>
    </row>
    <row r="16" ht="22.5" customHeight="1">
      <c r="B16" s="26"/>
      <c r="C16" s="28"/>
      <c r="D16" s="30"/>
      <c r="E16" s="60"/>
      <c r="F16" s="28"/>
      <c r="G16" s="33"/>
      <c r="H16" s="33"/>
      <c r="I16" s="26"/>
      <c r="J16" s="30"/>
      <c r="K16" s="36"/>
      <c r="L16" s="26"/>
      <c r="M16" s="44"/>
      <c r="N16" s="42"/>
      <c r="O16" s="44"/>
      <c r="P16" s="44"/>
      <c r="Q16" s="26"/>
    </row>
    <row r="17" ht="22.5" customHeight="1">
      <c r="B17" s="26"/>
      <c r="C17" s="28"/>
      <c r="D17" s="30"/>
      <c r="E17" s="60"/>
      <c r="F17" s="60"/>
      <c r="G17" s="33"/>
      <c r="H17" s="33"/>
      <c r="I17" s="26"/>
      <c r="J17" s="30"/>
      <c r="K17" s="36"/>
      <c r="L17" s="26"/>
      <c r="M17" s="44"/>
      <c r="N17" s="42"/>
      <c r="O17" s="44"/>
      <c r="P17" s="44"/>
      <c r="Q17" s="26"/>
    </row>
    <row r="18" ht="22.5" customHeight="1">
      <c r="B18" s="26"/>
      <c r="C18" s="28"/>
      <c r="D18" s="30"/>
      <c r="E18" s="28"/>
      <c r="F18" s="28"/>
      <c r="G18" s="33"/>
      <c r="H18" s="33"/>
      <c r="I18" s="26"/>
      <c r="J18" s="30"/>
      <c r="K18" s="36"/>
      <c r="L18" s="26"/>
      <c r="M18" s="44"/>
      <c r="N18" s="42"/>
      <c r="O18" s="44"/>
      <c r="P18" s="44"/>
      <c r="Q18" s="42"/>
    </row>
    <row r="19" ht="22.5" customHeight="1">
      <c r="B19" s="26"/>
      <c r="C19" s="28"/>
      <c r="D19" s="30"/>
      <c r="E19" s="28"/>
      <c r="F19" s="28"/>
      <c r="G19" s="33"/>
      <c r="H19" s="33"/>
      <c r="I19" s="26"/>
      <c r="J19" s="30"/>
      <c r="K19" s="36"/>
      <c r="L19" s="26"/>
      <c r="M19" s="44"/>
      <c r="N19" s="42"/>
      <c r="O19" s="44"/>
      <c r="P19" s="44"/>
      <c r="Q19" s="42"/>
    </row>
    <row r="20" ht="22.5" customHeight="1">
      <c r="B20" s="26"/>
      <c r="C20" s="28"/>
      <c r="D20" s="30"/>
      <c r="E20" s="28"/>
      <c r="F20" s="28"/>
      <c r="G20" s="33"/>
      <c r="H20" s="33"/>
      <c r="I20" s="26"/>
      <c r="J20" s="30"/>
      <c r="K20" s="36"/>
      <c r="L20" s="250"/>
      <c r="M20" s="44"/>
      <c r="N20" s="42"/>
      <c r="O20" s="44"/>
      <c r="P20" s="44"/>
      <c r="Q20" s="42"/>
    </row>
    <row r="21" ht="22.5" customHeight="1">
      <c r="B21" s="26"/>
      <c r="C21" s="28"/>
      <c r="D21" s="30"/>
      <c r="E21" s="28"/>
      <c r="F21" s="28"/>
      <c r="G21" s="33"/>
      <c r="H21" s="33"/>
      <c r="I21" s="26"/>
      <c r="J21" s="30"/>
      <c r="K21" s="251"/>
      <c r="L21" s="88"/>
      <c r="M21" s="252"/>
      <c r="N21" s="42"/>
      <c r="O21" s="44"/>
      <c r="P21" s="44"/>
      <c r="Q21" s="42"/>
    </row>
    <row r="22" ht="22.5" customHeight="1">
      <c r="B22" s="26"/>
      <c r="C22" s="28"/>
      <c r="D22" s="30"/>
      <c r="E22" s="28"/>
      <c r="F22" s="60"/>
      <c r="G22" s="33"/>
      <c r="H22" s="33"/>
      <c r="I22" s="26"/>
      <c r="J22" s="30"/>
      <c r="K22" s="36"/>
      <c r="L22" s="216"/>
      <c r="M22" s="44"/>
      <c r="N22" s="42"/>
      <c r="O22" s="44"/>
      <c r="P22" s="44"/>
      <c r="Q22" s="42"/>
    </row>
    <row r="23" ht="22.5" customHeight="1">
      <c r="B23" s="26"/>
      <c r="C23" s="28"/>
      <c r="D23" s="30"/>
      <c r="E23" s="28"/>
      <c r="F23" s="60"/>
      <c r="G23" s="33"/>
      <c r="H23" s="33"/>
      <c r="I23" s="26"/>
      <c r="J23" s="30"/>
      <c r="K23" s="36"/>
      <c r="L23" s="26"/>
      <c r="M23" s="44"/>
      <c r="N23" s="42"/>
      <c r="O23" s="44"/>
      <c r="P23" s="44"/>
      <c r="Q23" s="42"/>
    </row>
    <row r="24" ht="22.5" customHeight="1">
      <c r="B24" s="26"/>
      <c r="C24" s="28"/>
      <c r="D24" s="30"/>
      <c r="E24" s="26"/>
      <c r="F24" s="28"/>
      <c r="G24" s="33"/>
      <c r="H24" s="33"/>
      <c r="I24" s="26"/>
      <c r="J24" s="30"/>
      <c r="K24" s="36"/>
      <c r="L24" s="26"/>
      <c r="M24" s="44"/>
      <c r="N24" s="42"/>
      <c r="O24" s="44"/>
      <c r="P24" s="44"/>
      <c r="Q24" s="42"/>
    </row>
    <row r="25" ht="22.5" customHeight="1">
      <c r="B25" s="26"/>
      <c r="C25" s="28"/>
      <c r="D25" s="30"/>
      <c r="E25" s="28"/>
      <c r="F25" s="60"/>
      <c r="G25" s="33"/>
      <c r="H25" s="33"/>
      <c r="I25" s="26"/>
      <c r="J25" s="30"/>
      <c r="K25" s="36"/>
      <c r="L25" s="26"/>
      <c r="M25" s="44"/>
      <c r="N25" s="42"/>
      <c r="O25" s="44"/>
      <c r="P25" s="44"/>
      <c r="Q25" s="42"/>
    </row>
    <row r="26" ht="22.5" customHeight="1">
      <c r="B26" s="26"/>
      <c r="C26" s="28"/>
      <c r="D26" s="30"/>
      <c r="E26" s="60"/>
      <c r="F26" s="60"/>
      <c r="G26" s="33"/>
      <c r="H26" s="33"/>
      <c r="I26" s="26"/>
      <c r="J26" s="30"/>
      <c r="K26" s="36"/>
      <c r="L26" s="26"/>
      <c r="M26" s="44"/>
      <c r="N26" s="42"/>
      <c r="O26" s="44"/>
      <c r="P26" s="44"/>
      <c r="Q26" s="42"/>
    </row>
    <row r="27" ht="22.5" customHeight="1">
      <c r="B27" s="42"/>
      <c r="C27" s="60"/>
      <c r="D27" s="30"/>
      <c r="E27" s="60"/>
      <c r="F27" s="60"/>
      <c r="G27" s="114"/>
      <c r="H27" s="33"/>
      <c r="I27" s="26"/>
      <c r="J27" s="30"/>
      <c r="K27" s="36"/>
      <c r="L27" s="26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33"/>
      <c r="H28" s="33"/>
      <c r="I28" s="26"/>
      <c r="J28" s="44"/>
      <c r="K28" s="36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253"/>
      <c r="H29" s="253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500.0</v>
      </c>
      <c r="F4" s="15">
        <f>SUMIFS(OPI_22[MAF NETO],OPI_22[ESTADO],"Desembolsado")</f>
        <v>0</v>
      </c>
      <c r="G4" s="15">
        <f>F4-E4</f>
        <v>-500</v>
      </c>
      <c r="H4" s="16">
        <f>SUMIFS(OPI_22[MAF NETO],OPI_22[ESTADO],H$3)</f>
        <v>0</v>
      </c>
      <c r="I4" s="16">
        <f>SUMIFS(OPI_22[MAF NETO],OPI_22[ESTADO],I$3)</f>
        <v>0</v>
      </c>
      <c r="J4" s="16">
        <f>SUMIFS(OPI_22[MAF NETO],OPI_22[ESTADO],J$3)</f>
        <v>0</v>
      </c>
      <c r="K4" s="16">
        <f>SUMIFS(OPI_22[MAF NETO],OPI_22[ESTADO],K$3)</f>
        <v>0</v>
      </c>
      <c r="L4" s="16">
        <f>SUMIFS(OPI_22[MAF NETO],OPI_22[ESTADO],L$3)</f>
        <v>0</v>
      </c>
      <c r="M4" s="16">
        <f>SUMIFS(OPI_22[MAF NETO],OPI_22[ESTADO],M$3)</f>
        <v>0</v>
      </c>
      <c r="N4" s="16">
        <f>SUMIFS(OPI_22[MAF NETO],OPI_22[ESTADO],N$3)</f>
        <v>0</v>
      </c>
    </row>
    <row r="5" ht="26.25" customHeight="1">
      <c r="D5" s="17" t="s">
        <v>31</v>
      </c>
      <c r="E5" s="18" t="s">
        <v>32</v>
      </c>
      <c r="F5" s="19">
        <f>COUNTIFS(OPI_22[ESTADO],"Desembolsado")</f>
        <v>0</v>
      </c>
      <c r="G5" s="20">
        <f>IFERROR(F4/E4,"")</f>
        <v>0</v>
      </c>
      <c r="H5" s="19">
        <f>COUNTIFS(OPI_22[ESTADO],H$3)</f>
        <v>0</v>
      </c>
      <c r="I5" s="19">
        <f>COUNTIFS(OPI_22[ESTADO],I$3)</f>
        <v>0</v>
      </c>
      <c r="J5" s="19">
        <f>COUNTIFS(OPI_22[ESTADO],J$3)</f>
        <v>0</v>
      </c>
      <c r="K5" s="19">
        <f>COUNTIFS(OPI_22[ESTADO],K$3)</f>
        <v>0</v>
      </c>
      <c r="L5" s="19">
        <f>COUNTIFS(OPI_22[ESTADO],L$3)</f>
        <v>0</v>
      </c>
      <c r="M5" s="19">
        <f>COUNTIFS(OPI_22[ESTADO],M$3)</f>
        <v>0</v>
      </c>
      <c r="N5" s="19">
        <f>COUNTIFS(OPI_22[ESTADO],N$3)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31"/>
      <c r="C10" s="232"/>
      <c r="D10" s="233"/>
      <c r="E10" s="234"/>
      <c r="F10" s="234"/>
      <c r="G10" s="235"/>
      <c r="H10" s="235"/>
      <c r="I10" s="231"/>
      <c r="J10" s="233"/>
      <c r="K10" s="236"/>
      <c r="L10" s="231"/>
      <c r="M10" s="233"/>
      <c r="N10" s="237"/>
      <c r="O10" s="238"/>
      <c r="P10" s="239"/>
      <c r="Q10" s="231"/>
    </row>
    <row r="11" ht="22.5" customHeight="1">
      <c r="B11" s="231"/>
      <c r="C11" s="232"/>
      <c r="D11" s="238"/>
      <c r="E11" s="234"/>
      <c r="F11" s="234"/>
      <c r="G11" s="235"/>
      <c r="H11" s="235"/>
      <c r="I11" s="231"/>
      <c r="J11" s="238"/>
      <c r="K11" s="236"/>
      <c r="L11" s="231"/>
      <c r="M11" s="238"/>
      <c r="N11" s="237"/>
      <c r="O11" s="238"/>
      <c r="P11" s="239"/>
      <c r="Q11" s="237"/>
    </row>
    <row r="12" ht="22.5" customHeight="1">
      <c r="B12" s="231"/>
      <c r="C12" s="232"/>
      <c r="D12" s="238"/>
      <c r="E12" s="234"/>
      <c r="F12" s="234"/>
      <c r="G12" s="235"/>
      <c r="H12" s="235"/>
      <c r="I12" s="231"/>
      <c r="J12" s="238"/>
      <c r="K12" s="236"/>
      <c r="L12" s="231"/>
      <c r="M12" s="238"/>
      <c r="N12" s="237"/>
      <c r="O12" s="238"/>
      <c r="P12" s="239"/>
      <c r="Q12" s="237"/>
    </row>
    <row r="13" ht="22.5" customHeight="1">
      <c r="B13" s="231"/>
      <c r="C13" s="232"/>
      <c r="D13" s="238"/>
      <c r="E13" s="234"/>
      <c r="F13" s="234"/>
      <c r="G13" s="235"/>
      <c r="H13" s="235"/>
      <c r="I13" s="231"/>
      <c r="J13" s="238"/>
      <c r="K13" s="236"/>
      <c r="L13" s="231"/>
      <c r="M13" s="238"/>
      <c r="N13" s="237"/>
      <c r="O13" s="238"/>
      <c r="P13" s="239"/>
      <c r="Q13" s="237"/>
    </row>
    <row r="14" ht="22.5" customHeight="1">
      <c r="B14" s="231"/>
      <c r="C14" s="232"/>
      <c r="D14" s="238"/>
      <c r="E14" s="234"/>
      <c r="F14" s="234"/>
      <c r="G14" s="235"/>
      <c r="H14" s="235"/>
      <c r="I14" s="237"/>
      <c r="J14" s="239"/>
      <c r="K14" s="244"/>
      <c r="L14" s="237"/>
      <c r="M14" s="239"/>
      <c r="N14" s="237"/>
      <c r="O14" s="239"/>
      <c r="P14" s="239"/>
      <c r="Q14" s="237"/>
    </row>
    <row r="15" ht="22.5" customHeight="1">
      <c r="B15" s="237"/>
      <c r="C15" s="234"/>
      <c r="D15" s="238"/>
      <c r="E15" s="234"/>
      <c r="F15" s="234"/>
      <c r="G15" s="245"/>
      <c r="H15" s="245"/>
      <c r="I15" s="237"/>
      <c r="J15" s="239"/>
      <c r="K15" s="244"/>
      <c r="L15" s="237"/>
      <c r="M15" s="239"/>
      <c r="N15" s="237"/>
      <c r="O15" s="239"/>
      <c r="P15" s="239"/>
      <c r="Q15" s="237"/>
    </row>
    <row r="16" ht="22.5" customHeight="1">
      <c r="B16" s="237"/>
      <c r="C16" s="234"/>
      <c r="D16" s="238"/>
      <c r="E16" s="234"/>
      <c r="F16" s="234"/>
      <c r="G16" s="245"/>
      <c r="H16" s="245"/>
      <c r="I16" s="237"/>
      <c r="J16" s="239"/>
      <c r="K16" s="244"/>
      <c r="L16" s="237"/>
      <c r="M16" s="239"/>
      <c r="N16" s="237"/>
      <c r="O16" s="239"/>
      <c r="P16" s="239"/>
      <c r="Q16" s="237"/>
    </row>
    <row r="17" ht="22.5" customHeight="1">
      <c r="B17" s="237"/>
      <c r="C17" s="234"/>
      <c r="D17" s="238"/>
      <c r="E17" s="234"/>
      <c r="F17" s="234"/>
      <c r="G17" s="245"/>
      <c r="H17" s="245"/>
      <c r="I17" s="237"/>
      <c r="J17" s="239"/>
      <c r="K17" s="244"/>
      <c r="L17" s="237"/>
      <c r="M17" s="239"/>
      <c r="N17" s="237"/>
      <c r="O17" s="239"/>
      <c r="P17" s="239"/>
      <c r="Q17" s="237"/>
    </row>
    <row r="18" ht="22.5" customHeight="1">
      <c r="B18" s="237"/>
      <c r="C18" s="234"/>
      <c r="D18" s="238"/>
      <c r="E18" s="234"/>
      <c r="F18" s="234"/>
      <c r="G18" s="245"/>
      <c r="H18" s="245"/>
      <c r="I18" s="237"/>
      <c r="J18" s="239"/>
      <c r="K18" s="244"/>
      <c r="L18" s="237"/>
      <c r="M18" s="239"/>
      <c r="N18" s="237"/>
      <c r="O18" s="239"/>
      <c r="P18" s="239"/>
      <c r="Q18" s="237"/>
    </row>
    <row r="19" ht="22.5" customHeight="1">
      <c r="B19" s="237"/>
      <c r="C19" s="234"/>
      <c r="D19" s="238"/>
      <c r="E19" s="234"/>
      <c r="F19" s="234"/>
      <c r="G19" s="245"/>
      <c r="H19" s="245"/>
      <c r="I19" s="237"/>
      <c r="J19" s="239"/>
      <c r="K19" s="244"/>
      <c r="L19" s="237"/>
      <c r="M19" s="239"/>
      <c r="N19" s="237"/>
      <c r="O19" s="239"/>
      <c r="P19" s="239"/>
      <c r="Q19" s="237"/>
    </row>
    <row r="20" ht="22.5" customHeight="1">
      <c r="B20" s="237"/>
      <c r="C20" s="234"/>
      <c r="D20" s="238"/>
      <c r="E20" s="234"/>
      <c r="F20" s="234"/>
      <c r="G20" s="245"/>
      <c r="H20" s="245"/>
      <c r="I20" s="237"/>
      <c r="J20" s="239"/>
      <c r="K20" s="244"/>
      <c r="L20" s="237"/>
      <c r="M20" s="239"/>
      <c r="N20" s="237"/>
      <c r="O20" s="239"/>
      <c r="P20" s="239"/>
      <c r="Q20" s="237"/>
    </row>
    <row r="21" ht="22.5" customHeight="1">
      <c r="B21" s="237"/>
      <c r="C21" s="234"/>
      <c r="D21" s="238"/>
      <c r="E21" s="234"/>
      <c r="F21" s="234"/>
      <c r="G21" s="245"/>
      <c r="H21" s="245"/>
      <c r="I21" s="237"/>
      <c r="J21" s="239"/>
      <c r="K21" s="244"/>
      <c r="L21" s="237"/>
      <c r="M21" s="239"/>
      <c r="N21" s="237"/>
      <c r="O21" s="239"/>
      <c r="P21" s="239"/>
      <c r="Q21" s="237"/>
    </row>
    <row r="22" ht="22.5" customHeight="1">
      <c r="B22" s="237"/>
      <c r="C22" s="234"/>
      <c r="D22" s="238"/>
      <c r="E22" s="234"/>
      <c r="F22" s="234"/>
      <c r="G22" s="245"/>
      <c r="H22" s="245"/>
      <c r="I22" s="237"/>
      <c r="J22" s="239"/>
      <c r="K22" s="244"/>
      <c r="L22" s="237"/>
      <c r="M22" s="239"/>
      <c r="N22" s="237"/>
      <c r="O22" s="239"/>
      <c r="P22" s="239"/>
      <c r="Q22" s="237"/>
    </row>
    <row r="23" ht="22.5" customHeight="1">
      <c r="B23" s="237"/>
      <c r="C23" s="234"/>
      <c r="D23" s="238"/>
      <c r="E23" s="234"/>
      <c r="F23" s="234"/>
      <c r="G23" s="245"/>
      <c r="H23" s="245"/>
      <c r="I23" s="237"/>
      <c r="J23" s="239"/>
      <c r="K23" s="244"/>
      <c r="L23" s="237"/>
      <c r="M23" s="239"/>
      <c r="N23" s="237"/>
      <c r="O23" s="239"/>
      <c r="P23" s="239"/>
      <c r="Q23" s="237"/>
    </row>
    <row r="24" ht="22.5" customHeight="1">
      <c r="B24" s="237"/>
      <c r="C24" s="234"/>
      <c r="D24" s="238"/>
      <c r="E24" s="234"/>
      <c r="F24" s="234"/>
      <c r="G24" s="245"/>
      <c r="H24" s="245"/>
      <c r="I24" s="237"/>
      <c r="J24" s="239"/>
      <c r="K24" s="244"/>
      <c r="L24" s="237"/>
      <c r="M24" s="239"/>
      <c r="N24" s="237"/>
      <c r="O24" s="239"/>
      <c r="P24" s="239"/>
      <c r="Q24" s="237"/>
    </row>
    <row r="25" ht="22.5" customHeight="1">
      <c r="B25" s="237"/>
      <c r="C25" s="234"/>
      <c r="D25" s="238"/>
      <c r="E25" s="234"/>
      <c r="F25" s="234"/>
      <c r="G25" s="245"/>
      <c r="H25" s="245"/>
      <c r="I25" s="237"/>
      <c r="J25" s="239"/>
      <c r="K25" s="244"/>
      <c r="L25" s="237"/>
      <c r="M25" s="239"/>
      <c r="N25" s="237"/>
      <c r="O25" s="239"/>
      <c r="P25" s="239"/>
      <c r="Q25" s="237"/>
    </row>
    <row r="26" ht="22.5" customHeight="1">
      <c r="B26" s="237"/>
      <c r="C26" s="234"/>
      <c r="D26" s="238"/>
      <c r="E26" s="234"/>
      <c r="F26" s="234"/>
      <c r="G26" s="245"/>
      <c r="H26" s="245"/>
      <c r="I26" s="237"/>
      <c r="J26" s="239"/>
      <c r="K26" s="244"/>
      <c r="L26" s="237"/>
      <c r="M26" s="239"/>
      <c r="N26" s="237"/>
      <c r="O26" s="239"/>
      <c r="P26" s="239"/>
      <c r="Q26" s="237"/>
    </row>
    <row r="27" ht="22.5" customHeight="1">
      <c r="B27" s="237"/>
      <c r="C27" s="234"/>
      <c r="D27" s="238"/>
      <c r="E27" s="234"/>
      <c r="F27" s="234"/>
      <c r="G27" s="245"/>
      <c r="H27" s="245"/>
      <c r="I27" s="237"/>
      <c r="J27" s="239"/>
      <c r="K27" s="244"/>
      <c r="L27" s="237"/>
      <c r="M27" s="239"/>
      <c r="N27" s="237"/>
      <c r="O27" s="239"/>
      <c r="P27" s="239"/>
      <c r="Q27" s="237"/>
    </row>
    <row r="28" ht="22.5" customHeight="1">
      <c r="B28" s="237"/>
      <c r="C28" s="234"/>
      <c r="D28" s="238"/>
      <c r="E28" s="234"/>
      <c r="F28" s="234"/>
      <c r="G28" s="245"/>
      <c r="H28" s="245"/>
      <c r="I28" s="237"/>
      <c r="J28" s="239"/>
      <c r="K28" s="244"/>
      <c r="L28" s="237"/>
      <c r="M28" s="239"/>
      <c r="N28" s="237"/>
      <c r="O28" s="239"/>
      <c r="P28" s="239"/>
      <c r="Q28" s="237"/>
    </row>
    <row r="29" ht="22.5" customHeight="1">
      <c r="B29" s="237"/>
      <c r="C29" s="234"/>
      <c r="D29" s="238"/>
      <c r="E29" s="234"/>
      <c r="F29" s="234"/>
      <c r="G29" s="245"/>
      <c r="H29" s="245"/>
      <c r="I29" s="237"/>
      <c r="J29" s="239"/>
      <c r="K29" s="244"/>
      <c r="L29" s="237"/>
      <c r="M29" s="239"/>
      <c r="N29" s="237"/>
      <c r="O29" s="239"/>
      <c r="P29" s="239"/>
      <c r="Q29" s="237"/>
    </row>
    <row r="30" ht="22.5" customHeight="1">
      <c r="B30" s="237"/>
      <c r="C30" s="234"/>
      <c r="D30" s="238"/>
      <c r="E30" s="234"/>
      <c r="F30" s="234"/>
      <c r="G30" s="245"/>
      <c r="H30" s="245"/>
      <c r="I30" s="237"/>
      <c r="J30" s="239"/>
      <c r="K30" s="244"/>
      <c r="L30" s="237"/>
      <c r="M30" s="239"/>
      <c r="N30" s="237"/>
      <c r="O30" s="239"/>
      <c r="P30" s="239"/>
      <c r="Q30" s="237"/>
    </row>
    <row r="31" ht="22.5" customHeight="1">
      <c r="B31" s="237"/>
      <c r="C31" s="234"/>
      <c r="D31" s="238"/>
      <c r="E31" s="234"/>
      <c r="F31" s="234"/>
      <c r="G31" s="245"/>
      <c r="H31" s="245"/>
      <c r="I31" s="237"/>
      <c r="J31" s="239"/>
      <c r="K31" s="244"/>
      <c r="L31" s="237"/>
      <c r="M31" s="239"/>
      <c r="N31" s="237"/>
      <c r="O31" s="239"/>
      <c r="P31" s="239"/>
      <c r="Q31" s="237"/>
    </row>
    <row r="32" ht="22.5" customHeight="1">
      <c r="B32" s="237"/>
      <c r="C32" s="234"/>
      <c r="D32" s="238"/>
      <c r="E32" s="234"/>
      <c r="F32" s="234"/>
      <c r="G32" s="245"/>
      <c r="H32" s="245"/>
      <c r="I32" s="237"/>
      <c r="J32" s="239"/>
      <c r="K32" s="244"/>
      <c r="L32" s="237"/>
      <c r="M32" s="239"/>
      <c r="N32" s="237"/>
      <c r="O32" s="239"/>
      <c r="P32" s="239"/>
      <c r="Q32" s="237"/>
    </row>
    <row r="33" ht="22.5" customHeight="1">
      <c r="B33" s="237"/>
      <c r="C33" s="234"/>
      <c r="D33" s="238"/>
      <c r="E33" s="234"/>
      <c r="F33" s="234"/>
      <c r="G33" s="245"/>
      <c r="H33" s="245"/>
      <c r="I33" s="237"/>
      <c r="J33" s="239"/>
      <c r="K33" s="244"/>
      <c r="L33" s="237"/>
      <c r="M33" s="239"/>
      <c r="N33" s="237"/>
      <c r="O33" s="239"/>
      <c r="P33" s="239"/>
      <c r="Q33" s="237"/>
    </row>
    <row r="34" ht="22.5" customHeight="1">
      <c r="B34" s="237"/>
      <c r="C34" s="234"/>
      <c r="D34" s="238"/>
      <c r="E34" s="234"/>
      <c r="F34" s="234"/>
      <c r="G34" s="245"/>
      <c r="H34" s="245"/>
      <c r="I34" s="237"/>
      <c r="J34" s="239"/>
      <c r="K34" s="244"/>
      <c r="L34" s="237"/>
      <c r="M34" s="239"/>
      <c r="N34" s="237"/>
      <c r="O34" s="239"/>
      <c r="P34" s="239"/>
      <c r="Q34" s="237"/>
    </row>
    <row r="35" ht="22.5" customHeight="1">
      <c r="B35" s="237"/>
      <c r="C35" s="234"/>
      <c r="D35" s="238"/>
      <c r="E35" s="234"/>
      <c r="F35" s="234"/>
      <c r="G35" s="245"/>
      <c r="H35" s="245"/>
      <c r="I35" s="237"/>
      <c r="J35" s="239"/>
      <c r="K35" s="244"/>
      <c r="L35" s="237"/>
      <c r="M35" s="239"/>
      <c r="N35" s="237"/>
      <c r="O35" s="239"/>
      <c r="P35" s="239"/>
      <c r="Q35" s="237"/>
    </row>
    <row r="36" ht="22.5" customHeight="1">
      <c r="B36" s="237"/>
      <c r="C36" s="234"/>
      <c r="D36" s="238"/>
      <c r="E36" s="234"/>
      <c r="F36" s="234"/>
      <c r="G36" s="245"/>
      <c r="H36" s="245"/>
      <c r="I36" s="237"/>
      <c r="J36" s="239"/>
      <c r="K36" s="244"/>
      <c r="L36" s="237"/>
      <c r="M36" s="239"/>
      <c r="N36" s="237"/>
      <c r="O36" s="239"/>
      <c r="P36" s="239"/>
      <c r="Q36" s="237"/>
    </row>
    <row r="37" ht="22.5" customHeight="1">
      <c r="B37" s="237"/>
      <c r="C37" s="234"/>
      <c r="D37" s="238"/>
      <c r="E37" s="234"/>
      <c r="F37" s="234"/>
      <c r="G37" s="245"/>
      <c r="H37" s="245"/>
      <c r="I37" s="237"/>
      <c r="J37" s="239"/>
      <c r="K37" s="244"/>
      <c r="L37" s="237"/>
      <c r="M37" s="239"/>
      <c r="N37" s="237"/>
      <c r="O37" s="239"/>
      <c r="P37" s="239"/>
      <c r="Q37" s="237"/>
    </row>
    <row r="38" ht="22.5" customHeight="1">
      <c r="B38" s="237"/>
      <c r="C38" s="234"/>
      <c r="D38" s="238"/>
      <c r="E38" s="234"/>
      <c r="F38" s="234"/>
      <c r="G38" s="245"/>
      <c r="H38" s="245"/>
      <c r="I38" s="237"/>
      <c r="J38" s="239"/>
      <c r="K38" s="244"/>
      <c r="L38" s="237"/>
      <c r="M38" s="239"/>
      <c r="N38" s="237"/>
      <c r="O38" s="239"/>
      <c r="P38" s="239"/>
      <c r="Q38" s="237"/>
    </row>
    <row r="39" ht="22.5" customHeight="1">
      <c r="B39" s="237"/>
      <c r="C39" s="234"/>
      <c r="D39" s="238"/>
      <c r="E39" s="234"/>
      <c r="F39" s="234"/>
      <c r="G39" s="245"/>
      <c r="H39" s="245"/>
      <c r="I39" s="237"/>
      <c r="J39" s="239"/>
      <c r="K39" s="244"/>
      <c r="L39" s="237"/>
      <c r="M39" s="239"/>
      <c r="N39" s="237"/>
      <c r="O39" s="239"/>
      <c r="P39" s="239"/>
      <c r="Q39" s="237"/>
    </row>
    <row r="40" ht="22.5" customHeight="1">
      <c r="B40" s="237"/>
      <c r="C40" s="234"/>
      <c r="D40" s="238"/>
      <c r="E40" s="234"/>
      <c r="F40" s="234"/>
      <c r="G40" s="245"/>
      <c r="H40" s="245"/>
      <c r="I40" s="237"/>
      <c r="J40" s="239"/>
      <c r="K40" s="244"/>
      <c r="L40" s="237"/>
      <c r="M40" s="239"/>
      <c r="N40" s="237"/>
      <c r="O40" s="239"/>
      <c r="P40" s="239"/>
      <c r="Q40" s="237"/>
    </row>
    <row r="41" ht="22.5" customHeight="1">
      <c r="B41" s="237"/>
      <c r="C41" s="234"/>
      <c r="D41" s="238"/>
      <c r="E41" s="234"/>
      <c r="F41" s="234"/>
      <c r="G41" s="245"/>
      <c r="H41" s="245"/>
      <c r="I41" s="237"/>
      <c r="J41" s="239"/>
      <c r="K41" s="244"/>
      <c r="L41" s="237"/>
      <c r="M41" s="239"/>
      <c r="N41" s="237"/>
      <c r="O41" s="239"/>
      <c r="P41" s="239"/>
      <c r="Q41" s="237"/>
    </row>
    <row r="42" ht="22.5" customHeight="1">
      <c r="B42" s="237"/>
      <c r="C42" s="234"/>
      <c r="D42" s="238"/>
      <c r="E42" s="234"/>
      <c r="F42" s="234"/>
      <c r="G42" s="245"/>
      <c r="H42" s="245"/>
      <c r="I42" s="237"/>
      <c r="J42" s="239"/>
      <c r="K42" s="244"/>
      <c r="L42" s="237"/>
      <c r="M42" s="239"/>
      <c r="N42" s="237"/>
      <c r="O42" s="239"/>
      <c r="P42" s="239"/>
      <c r="Q42" s="237"/>
    </row>
    <row r="43" ht="22.5" customHeight="1">
      <c r="B43" s="237"/>
      <c r="C43" s="234"/>
      <c r="D43" s="238"/>
      <c r="E43" s="234"/>
      <c r="F43" s="234"/>
      <c r="G43" s="245"/>
      <c r="H43" s="245"/>
      <c r="I43" s="237"/>
      <c r="J43" s="239"/>
      <c r="K43" s="244"/>
      <c r="L43" s="237"/>
      <c r="M43" s="239"/>
      <c r="N43" s="237"/>
      <c r="O43" s="239"/>
      <c r="P43" s="239"/>
      <c r="Q43" s="237"/>
    </row>
    <row r="44" ht="22.5" customHeight="1">
      <c r="B44" s="237"/>
      <c r="C44" s="234"/>
      <c r="D44" s="238"/>
      <c r="E44" s="234"/>
      <c r="F44" s="234"/>
      <c r="G44" s="245"/>
      <c r="H44" s="245"/>
      <c r="I44" s="237"/>
      <c r="J44" s="239"/>
      <c r="K44" s="244"/>
      <c r="L44" s="237"/>
      <c r="M44" s="239"/>
      <c r="N44" s="237"/>
      <c r="O44" s="239"/>
      <c r="P44" s="239"/>
      <c r="Q44" s="237"/>
    </row>
    <row r="45" ht="22.5" customHeight="1">
      <c r="B45" s="237"/>
      <c r="C45" s="234"/>
      <c r="D45" s="238"/>
      <c r="E45" s="234"/>
      <c r="F45" s="234"/>
      <c r="G45" s="245"/>
      <c r="H45" s="245"/>
      <c r="I45" s="237"/>
      <c r="J45" s="239"/>
      <c r="K45" s="244"/>
      <c r="L45" s="237"/>
      <c r="M45" s="239"/>
      <c r="N45" s="237"/>
      <c r="O45" s="239"/>
      <c r="P45" s="239"/>
      <c r="Q45" s="237"/>
    </row>
    <row r="46" ht="22.5" customHeight="1">
      <c r="B46" s="237"/>
      <c r="C46" s="234"/>
      <c r="D46" s="238"/>
      <c r="E46" s="234"/>
      <c r="F46" s="234"/>
      <c r="G46" s="245"/>
      <c r="H46" s="245"/>
      <c r="I46" s="237"/>
      <c r="J46" s="239"/>
      <c r="K46" s="244"/>
      <c r="L46" s="237"/>
      <c r="M46" s="239"/>
      <c r="N46" s="237"/>
      <c r="O46" s="239"/>
      <c r="P46" s="239"/>
      <c r="Q46" s="237"/>
    </row>
    <row r="47" ht="22.5" customHeight="1">
      <c r="B47" s="237"/>
      <c r="C47" s="234"/>
      <c r="D47" s="238"/>
      <c r="E47" s="234"/>
      <c r="F47" s="234"/>
      <c r="G47" s="245"/>
      <c r="H47" s="245"/>
      <c r="I47" s="237"/>
      <c r="J47" s="239"/>
      <c r="K47" s="244"/>
      <c r="L47" s="237"/>
      <c r="M47" s="239"/>
      <c r="N47" s="237"/>
      <c r="O47" s="239"/>
      <c r="P47" s="239"/>
      <c r="Q47" s="237"/>
    </row>
    <row r="48" ht="22.5" customHeight="1">
      <c r="B48" s="237"/>
      <c r="C48" s="234"/>
      <c r="D48" s="238"/>
      <c r="E48" s="234"/>
      <c r="F48" s="234"/>
      <c r="G48" s="245"/>
      <c r="H48" s="245"/>
      <c r="I48" s="237"/>
      <c r="J48" s="239"/>
      <c r="K48" s="244"/>
      <c r="L48" s="237"/>
      <c r="M48" s="239"/>
      <c r="N48" s="237"/>
      <c r="O48" s="239"/>
      <c r="P48" s="239"/>
      <c r="Q48" s="237"/>
    </row>
    <row r="49" ht="22.5" customHeight="1">
      <c r="B49" s="237"/>
      <c r="C49" s="234"/>
      <c r="D49" s="238"/>
      <c r="E49" s="234"/>
      <c r="F49" s="234"/>
      <c r="G49" s="245"/>
      <c r="H49" s="245"/>
      <c r="I49" s="237"/>
      <c r="J49" s="239"/>
      <c r="K49" s="244"/>
      <c r="L49" s="237"/>
      <c r="M49" s="239"/>
      <c r="N49" s="237"/>
      <c r="O49" s="239"/>
      <c r="P49" s="239"/>
      <c r="Q49" s="237"/>
    </row>
    <row r="50" ht="22.5" customHeight="1">
      <c r="B50" s="237"/>
      <c r="C50" s="234"/>
      <c r="D50" s="238"/>
      <c r="E50" s="234"/>
      <c r="F50" s="234"/>
      <c r="G50" s="245"/>
      <c r="H50" s="245"/>
      <c r="I50" s="237"/>
      <c r="J50" s="239"/>
      <c r="K50" s="244"/>
      <c r="L50" s="237"/>
      <c r="M50" s="239"/>
      <c r="N50" s="237"/>
      <c r="O50" s="239"/>
      <c r="P50" s="239"/>
      <c r="Q50" s="237"/>
    </row>
    <row r="51" ht="22.5" customHeight="1">
      <c r="B51" s="237"/>
      <c r="C51" s="234"/>
      <c r="D51" s="238"/>
      <c r="E51" s="234"/>
      <c r="F51" s="234"/>
      <c r="G51" s="245"/>
      <c r="H51" s="245"/>
      <c r="I51" s="237"/>
      <c r="J51" s="239"/>
      <c r="K51" s="244"/>
      <c r="L51" s="237"/>
      <c r="M51" s="239"/>
      <c r="N51" s="237"/>
      <c r="O51" s="239"/>
      <c r="P51" s="239"/>
      <c r="Q51" s="237"/>
    </row>
    <row r="52" ht="22.5" customHeight="1">
      <c r="B52" s="237"/>
      <c r="C52" s="234"/>
      <c r="D52" s="238"/>
      <c r="E52" s="234"/>
      <c r="F52" s="234"/>
      <c r="G52" s="245"/>
      <c r="H52" s="245"/>
      <c r="I52" s="237"/>
      <c r="J52" s="239"/>
      <c r="K52" s="244"/>
      <c r="L52" s="237"/>
      <c r="M52" s="239"/>
      <c r="N52" s="237"/>
      <c r="O52" s="239"/>
      <c r="P52" s="239"/>
      <c r="Q52" s="237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479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SUMIFS(OPI_16[MAF NETO],OPI_16[ESTADO],"Desembolsado")</f>
        <v>86200</v>
      </c>
      <c r="G4" s="15">
        <f>F4-E4</f>
        <v>-913800</v>
      </c>
      <c r="H4" s="16">
        <f>SUMIFS(OPI_16[MAF NETO],OPI_16[ESTADO],H$3)</f>
        <v>0</v>
      </c>
      <c r="I4" s="16">
        <f>SUMIFS(OPI_16[MAF NETO],OPI_16[ESTADO],I$3)</f>
        <v>0</v>
      </c>
      <c r="J4" s="16">
        <f>SUMIFS(OPI_16[MAF NETO],OPI_16[ESTADO],J$3)</f>
        <v>0</v>
      </c>
      <c r="K4" s="16">
        <f>SUMIFS(OPI_16[MAF NETO],OPI_16[ESTADO],K$3)</f>
        <v>0</v>
      </c>
      <c r="L4" s="16">
        <f>SUMIFS(OPI_16[MAF NETO],OPI_16[ESTADO],L$3)</f>
        <v>0</v>
      </c>
      <c r="M4" s="16">
        <f>SUMIFS(OPI_16[MAF NETO],OPI_16[ESTADO],M$3)</f>
        <v>0</v>
      </c>
      <c r="N4" s="16">
        <f>SUMIFS(OPI_16[MAF NETO],OPI_16[ESTADO],N$3)</f>
        <v>0</v>
      </c>
    </row>
    <row r="5" ht="26.25" customHeight="1">
      <c r="D5" s="17" t="s">
        <v>31</v>
      </c>
      <c r="E5" s="18" t="s">
        <v>32</v>
      </c>
      <c r="F5" s="19">
        <f>COUNTIFS(OPI_16[ESTADO],"Desembolsado")</f>
        <v>1</v>
      </c>
      <c r="G5" s="20">
        <f>IFERROR(F4/E4,"")</f>
        <v>0.0862</v>
      </c>
      <c r="H5" s="19">
        <f>COUNTIFS(OPI_16[ESTADO],H$3)</f>
        <v>0</v>
      </c>
      <c r="I5" s="19">
        <f>COUNTIFS(OPI_16[ESTADO],I$3)</f>
        <v>0</v>
      </c>
      <c r="J5" s="19">
        <f>COUNTIFS(OPI_16[ESTADO],J$3)</f>
        <v>0</v>
      </c>
      <c r="K5" s="19">
        <f>COUNTIFS(OPI_16[ESTADO],K$3)</f>
        <v>0</v>
      </c>
      <c r="L5" s="19">
        <f>COUNTIFS(OPI_16[ESTADO],L$3)</f>
        <v>0</v>
      </c>
      <c r="M5" s="19">
        <f>COUNTIFS(OPI_16[ESTADO],M$3)</f>
        <v>0</v>
      </c>
      <c r="N5" s="19">
        <f>COUNTIFS(OPI_16[ESTADO],N$3)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6"/>
      <c r="C10" s="28">
        <v>46113.0</v>
      </c>
      <c r="D10" s="30" t="s">
        <v>52</v>
      </c>
      <c r="E10" s="28">
        <v>46269.0</v>
      </c>
      <c r="F10" s="26"/>
      <c r="G10" s="33" t="s">
        <v>503</v>
      </c>
      <c r="H10" s="33" t="s">
        <v>504</v>
      </c>
      <c r="I10" s="26" t="s">
        <v>63</v>
      </c>
      <c r="J10" s="30" t="s">
        <v>19</v>
      </c>
      <c r="K10" s="36">
        <v>86200.0</v>
      </c>
      <c r="L10" s="26" t="s">
        <v>505</v>
      </c>
      <c r="M10" s="30"/>
      <c r="N10" s="42"/>
      <c r="O10" s="51"/>
      <c r="P10" s="44"/>
      <c r="Q10" s="26"/>
    </row>
    <row r="11" ht="22.5" customHeight="1">
      <c r="B11" s="26"/>
      <c r="C11" s="28"/>
      <c r="D11" s="30"/>
      <c r="E11" s="28"/>
      <c r="F11" s="28"/>
      <c r="G11" s="33"/>
      <c r="H11" s="33"/>
      <c r="I11" s="26"/>
      <c r="J11" s="30"/>
      <c r="K11" s="36"/>
      <c r="L11" s="26"/>
      <c r="M11" s="30"/>
      <c r="N11" s="46"/>
      <c r="O11" s="30"/>
      <c r="P11" s="30"/>
      <c r="Q11" s="42"/>
    </row>
    <row r="12" ht="22.5" customHeight="1">
      <c r="B12" s="26"/>
      <c r="C12" s="28"/>
      <c r="D12" s="30"/>
      <c r="E12" s="28"/>
      <c r="F12" s="28"/>
      <c r="G12" s="33"/>
      <c r="H12" s="33"/>
      <c r="I12" s="26"/>
      <c r="J12" s="30"/>
      <c r="K12" s="36"/>
      <c r="L12" s="26"/>
      <c r="M12" s="30"/>
      <c r="N12" s="42"/>
      <c r="O12" s="30"/>
      <c r="P12" s="44"/>
      <c r="Q12" s="42"/>
    </row>
    <row r="13" ht="22.5" customHeight="1">
      <c r="B13" s="26"/>
      <c r="C13" s="28"/>
      <c r="D13" s="30"/>
      <c r="E13" s="28"/>
      <c r="F13" s="60"/>
      <c r="G13" s="33"/>
      <c r="H13" s="33"/>
      <c r="I13" s="26"/>
      <c r="J13" s="30"/>
      <c r="K13" s="36"/>
      <c r="L13" s="26"/>
      <c r="M13" s="30"/>
      <c r="N13" s="42"/>
      <c r="O13" s="30"/>
      <c r="P13" s="44"/>
      <c r="Q13" s="42"/>
    </row>
    <row r="14" ht="22.5" customHeight="1">
      <c r="B14" s="26"/>
      <c r="C14" s="28"/>
      <c r="D14" s="51"/>
      <c r="E14" s="60"/>
      <c r="F14" s="60"/>
      <c r="G14" s="33"/>
      <c r="H14" s="33"/>
      <c r="I14" s="42"/>
      <c r="J14" s="44"/>
      <c r="K14" s="115"/>
      <c r="L14" s="42"/>
      <c r="M14" s="44"/>
      <c r="N14" s="42"/>
      <c r="O14" s="44"/>
      <c r="P14" s="44"/>
      <c r="Q14" s="42"/>
    </row>
    <row r="15" ht="22.5" customHeight="1">
      <c r="B15" s="42"/>
      <c r="C15" s="60"/>
      <c r="D15" s="51"/>
      <c r="E15" s="60"/>
      <c r="F15" s="60"/>
      <c r="G15" s="114"/>
      <c r="H15" s="114"/>
      <c r="I15" s="42"/>
      <c r="J15" s="44"/>
      <c r="K15" s="115"/>
      <c r="L15" s="42"/>
      <c r="M15" s="44"/>
      <c r="N15" s="42"/>
      <c r="O15" s="44"/>
      <c r="P15" s="44"/>
      <c r="Q15" s="42"/>
    </row>
    <row r="16" ht="22.5" customHeight="1">
      <c r="B16" s="42"/>
      <c r="C16" s="60"/>
      <c r="D16" s="51"/>
      <c r="E16" s="60"/>
      <c r="F16" s="60"/>
      <c r="G16" s="114"/>
      <c r="H16" s="114"/>
      <c r="I16" s="42"/>
      <c r="J16" s="44"/>
      <c r="K16" s="115"/>
      <c r="L16" s="42"/>
      <c r="M16" s="44"/>
      <c r="N16" s="42"/>
      <c r="O16" s="44"/>
      <c r="P16" s="44"/>
      <c r="Q16" s="42"/>
    </row>
    <row r="17" ht="22.5" customHeight="1">
      <c r="B17" s="42"/>
      <c r="C17" s="60"/>
      <c r="D17" s="51"/>
      <c r="E17" s="60"/>
      <c r="F17" s="60"/>
      <c r="G17" s="114"/>
      <c r="H17" s="114"/>
      <c r="I17" s="42"/>
      <c r="J17" s="44"/>
      <c r="K17" s="115"/>
      <c r="L17" s="42"/>
      <c r="M17" s="44"/>
      <c r="N17" s="42"/>
      <c r="O17" s="44"/>
      <c r="P17" s="44"/>
      <c r="Q17" s="42"/>
    </row>
    <row r="18" ht="22.5" customHeight="1">
      <c r="B18" s="42"/>
      <c r="C18" s="60"/>
      <c r="D18" s="51"/>
      <c r="E18" s="60"/>
      <c r="F18" s="60"/>
      <c r="G18" s="114"/>
      <c r="H18" s="114"/>
      <c r="I18" s="42"/>
      <c r="J18" s="44"/>
      <c r="K18" s="115"/>
      <c r="L18" s="42"/>
      <c r="M18" s="44"/>
      <c r="N18" s="42"/>
      <c r="O18" s="44"/>
      <c r="P18" s="44"/>
      <c r="Q18" s="42"/>
    </row>
    <row r="19" ht="22.5" customHeight="1">
      <c r="B19" s="42"/>
      <c r="C19" s="60"/>
      <c r="D19" s="51"/>
      <c r="E19" s="60"/>
      <c r="F19" s="60"/>
      <c r="G19" s="114"/>
      <c r="H19" s="114"/>
      <c r="I19" s="42"/>
      <c r="J19" s="44"/>
      <c r="K19" s="115"/>
      <c r="L19" s="42"/>
      <c r="M19" s="44"/>
      <c r="N19" s="42"/>
      <c r="O19" s="44"/>
      <c r="P19" s="44"/>
      <c r="Q19" s="42"/>
    </row>
    <row r="20" ht="22.5" customHeight="1">
      <c r="B20" s="42"/>
      <c r="C20" s="60"/>
      <c r="D20" s="51"/>
      <c r="E20" s="60"/>
      <c r="F20" s="60"/>
      <c r="G20" s="114"/>
      <c r="H20" s="114"/>
      <c r="I20" s="42"/>
      <c r="J20" s="44"/>
      <c r="K20" s="115"/>
      <c r="L20" s="42"/>
      <c r="M20" s="44"/>
      <c r="N20" s="42"/>
      <c r="O20" s="44"/>
      <c r="P20" s="44"/>
      <c r="Q20" s="42"/>
    </row>
    <row r="21" ht="22.5" customHeight="1">
      <c r="B21" s="42"/>
      <c r="C21" s="254"/>
      <c r="D21" s="51"/>
      <c r="E21" s="60"/>
      <c r="F21" s="60"/>
      <c r="G21" s="114"/>
      <c r="H21" s="114"/>
      <c r="I21" s="42"/>
      <c r="J21" s="44"/>
      <c r="K21" s="115"/>
      <c r="L21" s="42"/>
      <c r="M21" s="44"/>
      <c r="N21" s="42"/>
      <c r="O21" s="44"/>
      <c r="P21" s="44"/>
      <c r="Q21" s="42"/>
    </row>
    <row r="22" ht="22.5" customHeight="1">
      <c r="B22" s="42"/>
      <c r="C22" s="60"/>
      <c r="D22" s="51"/>
      <c r="E22" s="60"/>
      <c r="F22" s="60"/>
      <c r="G22" s="114"/>
      <c r="H22" s="114"/>
      <c r="I22" s="42"/>
      <c r="J22" s="44"/>
      <c r="K22" s="115"/>
      <c r="L22" s="42"/>
      <c r="M22" s="44"/>
      <c r="N22" s="42"/>
      <c r="O22" s="44"/>
      <c r="P22" s="44"/>
      <c r="Q22" s="42"/>
    </row>
    <row r="23" ht="22.5" customHeight="1">
      <c r="B23" s="42"/>
      <c r="C23" s="60"/>
      <c r="D23" s="51"/>
      <c r="E23" s="60"/>
      <c r="F23" s="60"/>
      <c r="G23" s="114"/>
      <c r="H23" s="114"/>
      <c r="I23" s="42"/>
      <c r="J23" s="44"/>
      <c r="K23" s="115"/>
      <c r="L23" s="42"/>
      <c r="M23" s="44"/>
      <c r="N23" s="42"/>
      <c r="O23" s="44"/>
      <c r="P23" s="44"/>
      <c r="Q23" s="42"/>
    </row>
    <row r="24" ht="22.5" customHeight="1">
      <c r="B24" s="42"/>
      <c r="C24" s="60"/>
      <c r="D24" s="51"/>
      <c r="E24" s="60"/>
      <c r="F24" s="60"/>
      <c r="G24" s="114"/>
      <c r="H24" s="114"/>
      <c r="I24" s="42"/>
      <c r="J24" s="44"/>
      <c r="K24" s="115"/>
      <c r="L24" s="42"/>
      <c r="M24" s="44"/>
      <c r="N24" s="42"/>
      <c r="O24" s="44"/>
      <c r="P24" s="44"/>
      <c r="Q24" s="42"/>
    </row>
    <row r="25" ht="22.5" customHeight="1">
      <c r="B25" s="42"/>
      <c r="C25" s="60"/>
      <c r="D25" s="51"/>
      <c r="E25" s="60"/>
      <c r="F25" s="60"/>
      <c r="G25" s="114"/>
      <c r="H25" s="114"/>
      <c r="I25" s="42"/>
      <c r="J25" s="44"/>
      <c r="K25" s="115"/>
      <c r="L25" s="42"/>
      <c r="M25" s="44"/>
      <c r="N25" s="42"/>
      <c r="O25" s="44"/>
      <c r="P25" s="44"/>
      <c r="Q25" s="42"/>
    </row>
    <row r="26" ht="22.5" customHeight="1">
      <c r="B26" s="42"/>
      <c r="C26" s="60"/>
      <c r="D26" s="51"/>
      <c r="E26" s="60"/>
      <c r="F26" s="60"/>
      <c r="G26" s="114"/>
      <c r="H26" s="114"/>
      <c r="I26" s="42"/>
      <c r="J26" s="44"/>
      <c r="K26" s="115"/>
      <c r="L26" s="42"/>
      <c r="M26" s="44"/>
      <c r="N26" s="42"/>
      <c r="O26" s="44"/>
      <c r="P26" s="44"/>
      <c r="Q26" s="42"/>
    </row>
    <row r="27" ht="22.5" customHeight="1">
      <c r="B27" s="42"/>
      <c r="C27" s="60"/>
      <c r="D27" s="51"/>
      <c r="E27" s="60"/>
      <c r="F27" s="60"/>
      <c r="G27" s="114"/>
      <c r="H27" s="114"/>
      <c r="I27" s="42"/>
      <c r="J27" s="44"/>
      <c r="K27" s="115"/>
      <c r="L27" s="42"/>
      <c r="M27" s="44"/>
      <c r="N27" s="42"/>
      <c r="O27" s="44"/>
      <c r="P27" s="44"/>
      <c r="Q27" s="42"/>
    </row>
    <row r="28" ht="22.5" customHeight="1">
      <c r="B28" s="42"/>
      <c r="C28" s="60"/>
      <c r="D28" s="51"/>
      <c r="E28" s="60"/>
      <c r="F28" s="60"/>
      <c r="G28" s="114"/>
      <c r="H28" s="114"/>
      <c r="I28" s="42"/>
      <c r="J28" s="44"/>
      <c r="K28" s="115"/>
      <c r="L28" s="42"/>
      <c r="M28" s="44"/>
      <c r="N28" s="42"/>
      <c r="O28" s="44"/>
      <c r="P28" s="44"/>
      <c r="Q28" s="42"/>
    </row>
    <row r="29" ht="22.5" customHeight="1">
      <c r="B29" s="42"/>
      <c r="C29" s="60"/>
      <c r="D29" s="51"/>
      <c r="E29" s="60"/>
      <c r="F29" s="60"/>
      <c r="G29" s="114"/>
      <c r="H29" s="114"/>
      <c r="I29" s="42"/>
      <c r="J29" s="44"/>
      <c r="K29" s="115"/>
      <c r="L29" s="42"/>
      <c r="M29" s="44"/>
      <c r="N29" s="42"/>
      <c r="O29" s="44"/>
      <c r="P29" s="44"/>
      <c r="Q29" s="42"/>
    </row>
    <row r="30" ht="22.5" customHeight="1">
      <c r="B30" s="42"/>
      <c r="C30" s="60"/>
      <c r="D30" s="51"/>
      <c r="E30" s="60"/>
      <c r="F30" s="60"/>
      <c r="G30" s="114"/>
      <c r="H30" s="114"/>
      <c r="I30" s="42"/>
      <c r="J30" s="44"/>
      <c r="K30" s="115"/>
      <c r="L30" s="42"/>
      <c r="M30" s="44"/>
      <c r="N30" s="42"/>
      <c r="O30" s="44"/>
      <c r="P30" s="44"/>
      <c r="Q30" s="42"/>
    </row>
    <row r="31" ht="22.5" customHeight="1">
      <c r="B31" s="42"/>
      <c r="C31" s="60"/>
      <c r="D31" s="51"/>
      <c r="E31" s="60"/>
      <c r="F31" s="60"/>
      <c r="G31" s="114"/>
      <c r="H31" s="114"/>
      <c r="I31" s="42"/>
      <c r="J31" s="44"/>
      <c r="K31" s="115"/>
      <c r="L31" s="42"/>
      <c r="M31" s="44"/>
      <c r="N31" s="42"/>
      <c r="O31" s="44"/>
      <c r="P31" s="44"/>
      <c r="Q31" s="42"/>
    </row>
    <row r="32" ht="22.5" customHeight="1">
      <c r="B32" s="42"/>
      <c r="C32" s="60"/>
      <c r="D32" s="51"/>
      <c r="E32" s="60"/>
      <c r="F32" s="60"/>
      <c r="G32" s="114"/>
      <c r="H32" s="114"/>
      <c r="I32" s="42"/>
      <c r="J32" s="44"/>
      <c r="K32" s="115"/>
      <c r="L32" s="42"/>
      <c r="M32" s="44"/>
      <c r="N32" s="42"/>
      <c r="O32" s="44"/>
      <c r="P32" s="44"/>
      <c r="Q32" s="42"/>
    </row>
    <row r="33" ht="22.5" customHeight="1">
      <c r="B33" s="42"/>
      <c r="C33" s="60"/>
      <c r="D33" s="51"/>
      <c r="E33" s="60"/>
      <c r="F33" s="60"/>
      <c r="G33" s="114"/>
      <c r="H33" s="114"/>
      <c r="I33" s="42"/>
      <c r="J33" s="44"/>
      <c r="K33" s="115"/>
      <c r="L33" s="42"/>
      <c r="M33" s="44"/>
      <c r="N33" s="42"/>
      <c r="O33" s="44"/>
      <c r="P33" s="44"/>
      <c r="Q33" s="42"/>
    </row>
    <row r="34" ht="22.5" customHeight="1">
      <c r="B34" s="42"/>
      <c r="C34" s="60"/>
      <c r="D34" s="51"/>
      <c r="E34" s="60"/>
      <c r="F34" s="60"/>
      <c r="G34" s="114"/>
      <c r="H34" s="114"/>
      <c r="I34" s="42"/>
      <c r="J34" s="44"/>
      <c r="K34" s="115"/>
      <c r="L34" s="42"/>
      <c r="M34" s="44"/>
      <c r="N34" s="42"/>
      <c r="O34" s="44"/>
      <c r="P34" s="44"/>
      <c r="Q34" s="42"/>
    </row>
    <row r="35" ht="22.5" customHeight="1">
      <c r="B35" s="42"/>
      <c r="C35" s="60"/>
      <c r="D35" s="51"/>
      <c r="E35" s="60"/>
      <c r="F35" s="60"/>
      <c r="G35" s="114"/>
      <c r="H35" s="114"/>
      <c r="I35" s="42"/>
      <c r="J35" s="44"/>
      <c r="K35" s="115"/>
      <c r="L35" s="42"/>
      <c r="M35" s="44"/>
      <c r="N35" s="42"/>
      <c r="O35" s="44"/>
      <c r="P35" s="44"/>
      <c r="Q35" s="42"/>
    </row>
    <row r="36" ht="22.5" customHeight="1">
      <c r="B36" s="42"/>
      <c r="C36" s="60"/>
      <c r="D36" s="51"/>
      <c r="E36" s="60"/>
      <c r="F36" s="60"/>
      <c r="G36" s="114"/>
      <c r="H36" s="114"/>
      <c r="I36" s="42"/>
      <c r="J36" s="44"/>
      <c r="K36" s="115"/>
      <c r="L36" s="42"/>
      <c r="M36" s="44"/>
      <c r="N36" s="42"/>
      <c r="O36" s="44"/>
      <c r="P36" s="44"/>
      <c r="Q36" s="42"/>
    </row>
    <row r="37" ht="22.5" customHeight="1">
      <c r="B37" s="42"/>
      <c r="C37" s="60"/>
      <c r="D37" s="51"/>
      <c r="E37" s="60"/>
      <c r="F37" s="60"/>
      <c r="G37" s="114"/>
      <c r="H37" s="114"/>
      <c r="I37" s="42"/>
      <c r="J37" s="44"/>
      <c r="K37" s="115"/>
      <c r="L37" s="42"/>
      <c r="M37" s="44"/>
      <c r="N37" s="42"/>
      <c r="O37" s="44"/>
      <c r="P37" s="44"/>
      <c r="Q37" s="42"/>
    </row>
    <row r="38" ht="22.5" customHeight="1">
      <c r="B38" s="42"/>
      <c r="C38" s="60"/>
      <c r="D38" s="51"/>
      <c r="E38" s="60"/>
      <c r="F38" s="60"/>
      <c r="G38" s="114"/>
      <c r="H38" s="114"/>
      <c r="I38" s="42"/>
      <c r="J38" s="44"/>
      <c r="K38" s="115"/>
      <c r="L38" s="42"/>
      <c r="M38" s="44"/>
      <c r="N38" s="42"/>
      <c r="O38" s="44"/>
      <c r="P38" s="44"/>
      <c r="Q38" s="42"/>
    </row>
    <row r="39" ht="22.5" customHeight="1">
      <c r="B39" s="42"/>
      <c r="C39" s="60"/>
      <c r="D39" s="51"/>
      <c r="E39" s="60"/>
      <c r="F39" s="60"/>
      <c r="G39" s="114"/>
      <c r="H39" s="114"/>
      <c r="I39" s="42"/>
      <c r="J39" s="44"/>
      <c r="K39" s="115"/>
      <c r="L39" s="42"/>
      <c r="M39" s="44"/>
      <c r="N39" s="42"/>
      <c r="O39" s="44"/>
      <c r="P39" s="44"/>
      <c r="Q39" s="42"/>
    </row>
    <row r="40" ht="22.5" customHeight="1">
      <c r="B40" s="42"/>
      <c r="C40" s="60"/>
      <c r="D40" s="51"/>
      <c r="E40" s="60"/>
      <c r="F40" s="60"/>
      <c r="G40" s="114"/>
      <c r="H40" s="114"/>
      <c r="I40" s="42"/>
      <c r="J40" s="44"/>
      <c r="K40" s="115"/>
      <c r="L40" s="42"/>
      <c r="M40" s="44"/>
      <c r="N40" s="42"/>
      <c r="O40" s="44"/>
      <c r="P40" s="44"/>
      <c r="Q40" s="42"/>
    </row>
    <row r="41" ht="22.5" customHeight="1">
      <c r="B41" s="42"/>
      <c r="C41" s="60"/>
      <c r="D41" s="51"/>
      <c r="E41" s="60"/>
      <c r="F41" s="60"/>
      <c r="G41" s="114"/>
      <c r="H41" s="114"/>
      <c r="I41" s="42"/>
      <c r="J41" s="44"/>
      <c r="K41" s="115"/>
      <c r="L41" s="42"/>
      <c r="M41" s="44"/>
      <c r="N41" s="42"/>
      <c r="O41" s="44"/>
      <c r="P41" s="44"/>
      <c r="Q41" s="42"/>
    </row>
    <row r="42" ht="22.5" customHeight="1">
      <c r="B42" s="42"/>
      <c r="C42" s="60"/>
      <c r="D42" s="51"/>
      <c r="E42" s="60"/>
      <c r="F42" s="60"/>
      <c r="G42" s="114"/>
      <c r="H42" s="114"/>
      <c r="I42" s="42"/>
      <c r="J42" s="44"/>
      <c r="K42" s="115"/>
      <c r="L42" s="42"/>
      <c r="M42" s="44"/>
      <c r="N42" s="42"/>
      <c r="O42" s="44"/>
      <c r="P42" s="44"/>
      <c r="Q42" s="42"/>
    </row>
    <row r="43" ht="22.5" customHeight="1">
      <c r="B43" s="42"/>
      <c r="C43" s="60"/>
      <c r="D43" s="51"/>
      <c r="E43" s="60"/>
      <c r="F43" s="60"/>
      <c r="G43" s="114"/>
      <c r="H43" s="114"/>
      <c r="I43" s="42"/>
      <c r="J43" s="44"/>
      <c r="K43" s="115"/>
      <c r="L43" s="42"/>
      <c r="M43" s="44"/>
      <c r="N43" s="42"/>
      <c r="O43" s="44"/>
      <c r="P43" s="44"/>
      <c r="Q43" s="42"/>
    </row>
    <row r="44" ht="22.5" customHeight="1">
      <c r="B44" s="42"/>
      <c r="C44" s="60"/>
      <c r="D44" s="51"/>
      <c r="E44" s="60"/>
      <c r="F44" s="60"/>
      <c r="G44" s="114"/>
      <c r="H44" s="114"/>
      <c r="I44" s="42"/>
      <c r="J44" s="44"/>
      <c r="K44" s="115"/>
      <c r="L44" s="42"/>
      <c r="M44" s="44"/>
      <c r="N44" s="42"/>
      <c r="O44" s="44"/>
      <c r="P44" s="44"/>
      <c r="Q44" s="42"/>
    </row>
    <row r="45" ht="22.5" customHeight="1">
      <c r="B45" s="42"/>
      <c r="C45" s="60"/>
      <c r="D45" s="51"/>
      <c r="E45" s="60"/>
      <c r="F45" s="60"/>
      <c r="G45" s="114"/>
      <c r="H45" s="114"/>
      <c r="I45" s="42"/>
      <c r="J45" s="44"/>
      <c r="K45" s="115"/>
      <c r="L45" s="42"/>
      <c r="M45" s="44"/>
      <c r="N45" s="42"/>
      <c r="O45" s="44"/>
      <c r="P45" s="44"/>
      <c r="Q45" s="42"/>
    </row>
    <row r="46" ht="22.5" customHeight="1">
      <c r="B46" s="42"/>
      <c r="C46" s="60"/>
      <c r="D46" s="51"/>
      <c r="E46" s="60"/>
      <c r="F46" s="60"/>
      <c r="G46" s="114"/>
      <c r="H46" s="114"/>
      <c r="I46" s="42"/>
      <c r="J46" s="44"/>
      <c r="K46" s="115"/>
      <c r="L46" s="42"/>
      <c r="M46" s="44"/>
      <c r="N46" s="42"/>
      <c r="O46" s="44"/>
      <c r="P46" s="44"/>
      <c r="Q46" s="42"/>
    </row>
    <row r="47" ht="22.5" customHeight="1">
      <c r="B47" s="42"/>
      <c r="C47" s="60"/>
      <c r="D47" s="51"/>
      <c r="E47" s="60"/>
      <c r="F47" s="60"/>
      <c r="G47" s="114"/>
      <c r="H47" s="114"/>
      <c r="I47" s="42"/>
      <c r="J47" s="44"/>
      <c r="K47" s="115"/>
      <c r="L47" s="42"/>
      <c r="M47" s="44"/>
      <c r="N47" s="42"/>
      <c r="O47" s="44"/>
      <c r="P47" s="44"/>
      <c r="Q47" s="42"/>
    </row>
    <row r="48" ht="22.5" customHeight="1">
      <c r="B48" s="42"/>
      <c r="C48" s="60"/>
      <c r="D48" s="51"/>
      <c r="E48" s="60"/>
      <c r="F48" s="60"/>
      <c r="G48" s="114"/>
      <c r="H48" s="114"/>
      <c r="I48" s="42"/>
      <c r="J48" s="44"/>
      <c r="K48" s="115"/>
      <c r="L48" s="42"/>
      <c r="M48" s="44"/>
      <c r="N48" s="42"/>
      <c r="O48" s="44"/>
      <c r="P48" s="44"/>
      <c r="Q48" s="42"/>
    </row>
    <row r="49" ht="22.5" customHeight="1">
      <c r="B49" s="42"/>
      <c r="C49" s="60"/>
      <c r="D49" s="51"/>
      <c r="E49" s="60"/>
      <c r="F49" s="60"/>
      <c r="G49" s="114"/>
      <c r="H49" s="114"/>
      <c r="I49" s="42"/>
      <c r="J49" s="44"/>
      <c r="K49" s="115"/>
      <c r="L49" s="42"/>
      <c r="M49" s="44"/>
      <c r="N49" s="42"/>
      <c r="O49" s="44"/>
      <c r="P49" s="44"/>
      <c r="Q49" s="42"/>
    </row>
    <row r="50" ht="22.5" customHeight="1">
      <c r="B50" s="42"/>
      <c r="C50" s="60"/>
      <c r="D50" s="51"/>
      <c r="E50" s="60"/>
      <c r="F50" s="60"/>
      <c r="G50" s="114"/>
      <c r="H50" s="114"/>
      <c r="I50" s="42"/>
      <c r="J50" s="44"/>
      <c r="K50" s="115"/>
      <c r="L50" s="42"/>
      <c r="M50" s="44"/>
      <c r="N50" s="42"/>
      <c r="O50" s="44"/>
      <c r="P50" s="44"/>
      <c r="Q50" s="42"/>
    </row>
    <row r="51" ht="22.5" customHeight="1">
      <c r="B51" s="42"/>
      <c r="C51" s="60"/>
      <c r="D51" s="51"/>
      <c r="E51" s="60"/>
      <c r="F51" s="60"/>
      <c r="G51" s="114"/>
      <c r="H51" s="114"/>
      <c r="I51" s="42"/>
      <c r="J51" s="44"/>
      <c r="K51" s="115"/>
      <c r="L51" s="42"/>
      <c r="M51" s="44"/>
      <c r="N51" s="42"/>
      <c r="O51" s="44"/>
      <c r="P51" s="44"/>
      <c r="Q51" s="42"/>
    </row>
    <row r="52" ht="22.5" customHeight="1">
      <c r="B52" s="42"/>
      <c r="C52" s="60"/>
      <c r="D52" s="51"/>
      <c r="E52" s="60"/>
      <c r="F52" s="60"/>
      <c r="G52" s="114"/>
      <c r="H52" s="114"/>
      <c r="I52" s="42"/>
      <c r="J52" s="44"/>
      <c r="K52" s="115"/>
      <c r="L52" s="42"/>
      <c r="M52" s="44"/>
      <c r="N52" s="42"/>
      <c r="O52" s="44"/>
      <c r="P52" s="44"/>
      <c r="Q52" s="42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9" t="s">
        <v>17</v>
      </c>
      <c r="E3" s="10" t="s">
        <v>18</v>
      </c>
      <c r="F3" s="10" t="s">
        <v>19</v>
      </c>
      <c r="G3" s="11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</row>
    <row r="4" ht="26.25" customHeight="1">
      <c r="D4" s="12" t="s">
        <v>28</v>
      </c>
      <c r="E4" s="13">
        <v>1000000.0</v>
      </c>
      <c r="F4" s="15">
        <f>SUMIFS(OPI_15[MAF NETO],OPI_15[ESTADO],"Desembolsado")</f>
        <v>0</v>
      </c>
      <c r="G4" s="15">
        <f>F4-E4</f>
        <v>-1000000</v>
      </c>
      <c r="H4" s="16">
        <f>SUMIFS(OPI_15[MAF NETO],OPI_15[ESTADO],H$3)</f>
        <v>0</v>
      </c>
      <c r="I4" s="16">
        <f>SUMIFS(OPI_15[MAF NETO],OPI_15[ESTADO],I$3)</f>
        <v>0</v>
      </c>
      <c r="J4" s="16">
        <f>SUMIFS(OPI_15[MAF NETO],OPI_15[ESTADO],J$3)</f>
        <v>0</v>
      </c>
      <c r="K4" s="16">
        <f>SUMIFS(OPI_15[MAF NETO],OPI_15[ESTADO],K$3)</f>
        <v>0</v>
      </c>
      <c r="L4" s="16">
        <f>SUMIFS(OPI_15[MAF NETO],OPI_15[ESTADO],L$3)</f>
        <v>0</v>
      </c>
      <c r="M4" s="16">
        <f>SUMIFS(OPI_15[MAF NETO],OPI_15[ESTADO],M$3)</f>
        <v>0</v>
      </c>
      <c r="N4" s="16">
        <f>SUMIFS(OPI_15[MAF NETO],OPI_15[ESTADO],N$3)</f>
        <v>0</v>
      </c>
    </row>
    <row r="5" ht="26.25" customHeight="1">
      <c r="D5" s="17" t="s">
        <v>31</v>
      </c>
      <c r="E5" s="18" t="s">
        <v>32</v>
      </c>
      <c r="F5" s="19">
        <f>COUNTIFS(OPI_15[ESTADO],"Desembolsado")</f>
        <v>0</v>
      </c>
      <c r="G5" s="20">
        <f>IFERROR(F4/E4,"")</f>
        <v>0</v>
      </c>
      <c r="H5" s="19">
        <f>COUNTIFS(OPI_15[ESTADO],H$3)</f>
        <v>0</v>
      </c>
      <c r="I5" s="19">
        <f>COUNTIFS(OPI_15[ESTADO],I$3)</f>
        <v>0</v>
      </c>
      <c r="J5" s="19">
        <f>COUNTIFS(OPI_15[ESTADO],J$3)</f>
        <v>0</v>
      </c>
      <c r="K5" s="19">
        <f>COUNTIFS(OPI_15[ESTADO],K$3)</f>
        <v>0</v>
      </c>
      <c r="L5" s="19">
        <f>COUNTIFS(OPI_15[ESTADO],L$3)</f>
        <v>0</v>
      </c>
      <c r="M5" s="19">
        <f>COUNTIFS(OPI_15[ESTADO],M$3)</f>
        <v>0</v>
      </c>
      <c r="N5" s="19">
        <f>COUNTIFS(OPI_15[ESTADO],N$3)</f>
        <v>0</v>
      </c>
    </row>
    <row r="9" ht="22.5" customHeight="1">
      <c r="A9" s="21"/>
      <c r="B9" s="22" t="s">
        <v>35</v>
      </c>
      <c r="C9" s="22" t="s">
        <v>36</v>
      </c>
      <c r="D9" s="24" t="s">
        <v>37</v>
      </c>
      <c r="E9" s="22" t="s">
        <v>38</v>
      </c>
      <c r="F9" s="22" t="s">
        <v>39</v>
      </c>
      <c r="G9" s="22" t="s">
        <v>40</v>
      </c>
      <c r="H9" s="22" t="s">
        <v>42</v>
      </c>
      <c r="I9" s="22" t="s">
        <v>43</v>
      </c>
      <c r="J9" s="24" t="s">
        <v>44</v>
      </c>
      <c r="K9" s="22" t="s">
        <v>45</v>
      </c>
      <c r="L9" s="22" t="s">
        <v>46</v>
      </c>
      <c r="M9" s="24" t="s">
        <v>47</v>
      </c>
      <c r="N9" s="22" t="s">
        <v>48</v>
      </c>
      <c r="O9" s="24" t="s">
        <v>49</v>
      </c>
      <c r="P9" s="24" t="s">
        <v>50</v>
      </c>
      <c r="Q9" s="22" t="s">
        <v>51</v>
      </c>
    </row>
    <row r="10" ht="22.5" customHeight="1">
      <c r="B10" s="231"/>
      <c r="C10" s="232"/>
      <c r="D10" s="233"/>
      <c r="E10" s="234"/>
      <c r="F10" s="234"/>
      <c r="G10" s="235"/>
      <c r="H10" s="235"/>
      <c r="I10" s="231"/>
      <c r="J10" s="233"/>
      <c r="K10" s="236"/>
      <c r="L10" s="231"/>
      <c r="M10" s="233"/>
      <c r="N10" s="237"/>
      <c r="O10" s="238"/>
      <c r="P10" s="239"/>
      <c r="Q10" s="231"/>
    </row>
    <row r="11" ht="22.5" customHeight="1">
      <c r="B11" s="231"/>
      <c r="C11" s="232"/>
      <c r="D11" s="238"/>
      <c r="E11" s="234"/>
      <c r="F11" s="234"/>
      <c r="G11" s="235"/>
      <c r="H11" s="235"/>
      <c r="I11" s="231"/>
      <c r="J11" s="238"/>
      <c r="K11" s="236"/>
      <c r="L11" s="231"/>
      <c r="M11" s="238"/>
      <c r="N11" s="237"/>
      <c r="O11" s="238"/>
      <c r="P11" s="239"/>
      <c r="Q11" s="237"/>
    </row>
    <row r="12" ht="22.5" customHeight="1">
      <c r="B12" s="231"/>
      <c r="C12" s="232"/>
      <c r="D12" s="238"/>
      <c r="E12" s="234"/>
      <c r="F12" s="234"/>
      <c r="G12" s="235"/>
      <c r="H12" s="235"/>
      <c r="I12" s="231"/>
      <c r="J12" s="238"/>
      <c r="K12" s="236"/>
      <c r="L12" s="231"/>
      <c r="M12" s="238"/>
      <c r="N12" s="237"/>
      <c r="O12" s="238"/>
      <c r="P12" s="239"/>
      <c r="Q12" s="237"/>
    </row>
    <row r="13" ht="22.5" customHeight="1">
      <c r="B13" s="231"/>
      <c r="C13" s="232"/>
      <c r="D13" s="238"/>
      <c r="E13" s="234"/>
      <c r="F13" s="234"/>
      <c r="G13" s="235"/>
      <c r="H13" s="235"/>
      <c r="I13" s="231"/>
      <c r="J13" s="238"/>
      <c r="K13" s="236"/>
      <c r="L13" s="231"/>
      <c r="M13" s="238"/>
      <c r="N13" s="237"/>
      <c r="O13" s="238"/>
      <c r="P13" s="239"/>
      <c r="Q13" s="237"/>
    </row>
    <row r="14" ht="22.5" customHeight="1">
      <c r="B14" s="231"/>
      <c r="C14" s="232"/>
      <c r="D14" s="238"/>
      <c r="E14" s="234"/>
      <c r="F14" s="234"/>
      <c r="G14" s="235"/>
      <c r="H14" s="235"/>
      <c r="I14" s="237"/>
      <c r="J14" s="239"/>
      <c r="K14" s="244"/>
      <c r="L14" s="237"/>
      <c r="M14" s="239"/>
      <c r="N14" s="237"/>
      <c r="O14" s="239"/>
      <c r="P14" s="239"/>
      <c r="Q14" s="237"/>
    </row>
    <row r="15" ht="22.5" customHeight="1">
      <c r="B15" s="237"/>
      <c r="C15" s="234"/>
      <c r="D15" s="238"/>
      <c r="E15" s="234"/>
      <c r="F15" s="234"/>
      <c r="G15" s="245"/>
      <c r="H15" s="245"/>
      <c r="I15" s="237"/>
      <c r="J15" s="239"/>
      <c r="K15" s="244"/>
      <c r="L15" s="237"/>
      <c r="M15" s="239"/>
      <c r="N15" s="237"/>
      <c r="O15" s="239"/>
      <c r="P15" s="239"/>
      <c r="Q15" s="237"/>
    </row>
    <row r="16" ht="22.5" customHeight="1">
      <c r="B16" s="237"/>
      <c r="C16" s="234"/>
      <c r="D16" s="238"/>
      <c r="E16" s="234"/>
      <c r="F16" s="234"/>
      <c r="G16" s="245"/>
      <c r="H16" s="245"/>
      <c r="I16" s="237"/>
      <c r="J16" s="239"/>
      <c r="K16" s="244"/>
      <c r="L16" s="237"/>
      <c r="M16" s="239"/>
      <c r="N16" s="237"/>
      <c r="O16" s="239"/>
      <c r="P16" s="239"/>
      <c r="Q16" s="237"/>
    </row>
    <row r="17" ht="22.5" customHeight="1">
      <c r="B17" s="237"/>
      <c r="C17" s="234"/>
      <c r="D17" s="238"/>
      <c r="E17" s="234"/>
      <c r="F17" s="234"/>
      <c r="G17" s="245"/>
      <c r="H17" s="245"/>
      <c r="I17" s="237"/>
      <c r="J17" s="239"/>
      <c r="K17" s="244"/>
      <c r="L17" s="237"/>
      <c r="M17" s="239"/>
      <c r="N17" s="237"/>
      <c r="O17" s="239"/>
      <c r="P17" s="239"/>
      <c r="Q17" s="237"/>
    </row>
    <row r="18" ht="22.5" customHeight="1">
      <c r="B18" s="237"/>
      <c r="C18" s="234"/>
      <c r="D18" s="238"/>
      <c r="E18" s="234"/>
      <c r="F18" s="234"/>
      <c r="G18" s="245"/>
      <c r="H18" s="245"/>
      <c r="I18" s="237"/>
      <c r="J18" s="239"/>
      <c r="K18" s="244"/>
      <c r="L18" s="237"/>
      <c r="M18" s="239"/>
      <c r="N18" s="237"/>
      <c r="O18" s="239"/>
      <c r="P18" s="239"/>
      <c r="Q18" s="237"/>
    </row>
    <row r="19" ht="22.5" customHeight="1">
      <c r="B19" s="237"/>
      <c r="C19" s="234"/>
      <c r="D19" s="238"/>
      <c r="E19" s="234"/>
      <c r="F19" s="234"/>
      <c r="G19" s="245"/>
      <c r="H19" s="245"/>
      <c r="I19" s="237"/>
      <c r="J19" s="239"/>
      <c r="K19" s="244"/>
      <c r="L19" s="237"/>
      <c r="M19" s="239"/>
      <c r="N19" s="237"/>
      <c r="O19" s="239"/>
      <c r="P19" s="239"/>
      <c r="Q19" s="237"/>
    </row>
    <row r="20" ht="22.5" customHeight="1">
      <c r="B20" s="237"/>
      <c r="C20" s="234"/>
      <c r="D20" s="238"/>
      <c r="E20" s="234"/>
      <c r="F20" s="234"/>
      <c r="G20" s="245"/>
      <c r="H20" s="245"/>
      <c r="I20" s="237"/>
      <c r="J20" s="239"/>
      <c r="K20" s="244"/>
      <c r="L20" s="237"/>
      <c r="M20" s="239"/>
      <c r="N20" s="237"/>
      <c r="O20" s="239"/>
      <c r="P20" s="239"/>
      <c r="Q20" s="237"/>
    </row>
    <row r="21" ht="22.5" customHeight="1">
      <c r="B21" s="237"/>
      <c r="C21" s="234"/>
      <c r="D21" s="238"/>
      <c r="E21" s="234"/>
      <c r="F21" s="234"/>
      <c r="G21" s="245"/>
      <c r="H21" s="245"/>
      <c r="I21" s="237"/>
      <c r="J21" s="239"/>
      <c r="K21" s="244"/>
      <c r="L21" s="237"/>
      <c r="M21" s="239"/>
      <c r="N21" s="237"/>
      <c r="O21" s="239"/>
      <c r="P21" s="239"/>
      <c r="Q21" s="237"/>
    </row>
    <row r="22" ht="22.5" customHeight="1">
      <c r="B22" s="237"/>
      <c r="C22" s="234"/>
      <c r="D22" s="238"/>
      <c r="E22" s="234"/>
      <c r="F22" s="234"/>
      <c r="G22" s="245"/>
      <c r="H22" s="245"/>
      <c r="I22" s="237"/>
      <c r="J22" s="239"/>
      <c r="K22" s="244"/>
      <c r="L22" s="237"/>
      <c r="M22" s="239"/>
      <c r="N22" s="237"/>
      <c r="O22" s="239"/>
      <c r="P22" s="239"/>
      <c r="Q22" s="237"/>
    </row>
    <row r="23" ht="22.5" customHeight="1">
      <c r="B23" s="237"/>
      <c r="C23" s="234"/>
      <c r="D23" s="238"/>
      <c r="E23" s="234"/>
      <c r="F23" s="234"/>
      <c r="G23" s="245"/>
      <c r="H23" s="245"/>
      <c r="I23" s="237"/>
      <c r="J23" s="239"/>
      <c r="K23" s="244"/>
      <c r="L23" s="237"/>
      <c r="M23" s="239"/>
      <c r="N23" s="237"/>
      <c r="O23" s="239"/>
      <c r="P23" s="239"/>
      <c r="Q23" s="237"/>
    </row>
    <row r="24" ht="22.5" customHeight="1">
      <c r="B24" s="237"/>
      <c r="C24" s="234"/>
      <c r="D24" s="238"/>
      <c r="E24" s="234"/>
      <c r="F24" s="234"/>
      <c r="G24" s="245"/>
      <c r="H24" s="245"/>
      <c r="I24" s="237"/>
      <c r="J24" s="239"/>
      <c r="K24" s="244"/>
      <c r="L24" s="237"/>
      <c r="M24" s="239"/>
      <c r="N24" s="237"/>
      <c r="O24" s="239"/>
      <c r="P24" s="239"/>
      <c r="Q24" s="237"/>
    </row>
    <row r="25" ht="22.5" customHeight="1">
      <c r="B25" s="237"/>
      <c r="C25" s="234"/>
      <c r="D25" s="238"/>
      <c r="E25" s="234"/>
      <c r="F25" s="234"/>
      <c r="G25" s="245"/>
      <c r="H25" s="245"/>
      <c r="I25" s="237"/>
      <c r="J25" s="239"/>
      <c r="K25" s="244"/>
      <c r="L25" s="237"/>
      <c r="M25" s="239"/>
      <c r="N25" s="237"/>
      <c r="O25" s="239"/>
      <c r="P25" s="239"/>
      <c r="Q25" s="237"/>
    </row>
    <row r="26" ht="22.5" customHeight="1">
      <c r="B26" s="237"/>
      <c r="C26" s="234"/>
      <c r="D26" s="238"/>
      <c r="E26" s="234"/>
      <c r="F26" s="234"/>
      <c r="G26" s="245"/>
      <c r="H26" s="245"/>
      <c r="I26" s="237"/>
      <c r="J26" s="239"/>
      <c r="K26" s="244"/>
      <c r="L26" s="237"/>
      <c r="M26" s="239"/>
      <c r="N26" s="237"/>
      <c r="O26" s="239"/>
      <c r="P26" s="239"/>
      <c r="Q26" s="237"/>
    </row>
    <row r="27" ht="22.5" customHeight="1">
      <c r="B27" s="237"/>
      <c r="C27" s="234"/>
      <c r="D27" s="238"/>
      <c r="E27" s="234"/>
      <c r="F27" s="234"/>
      <c r="G27" s="245"/>
      <c r="H27" s="245"/>
      <c r="I27" s="237"/>
      <c r="J27" s="239"/>
      <c r="K27" s="244"/>
      <c r="L27" s="237"/>
      <c r="M27" s="239"/>
      <c r="N27" s="237"/>
      <c r="O27" s="239"/>
      <c r="P27" s="239"/>
      <c r="Q27" s="237"/>
    </row>
    <row r="28" ht="22.5" customHeight="1">
      <c r="B28" s="237"/>
      <c r="C28" s="234"/>
      <c r="D28" s="238"/>
      <c r="E28" s="234"/>
      <c r="F28" s="234"/>
      <c r="G28" s="245"/>
      <c r="H28" s="245"/>
      <c r="I28" s="237"/>
      <c r="J28" s="239"/>
      <c r="K28" s="244"/>
      <c r="L28" s="237"/>
      <c r="M28" s="239"/>
      <c r="N28" s="237"/>
      <c r="O28" s="239"/>
      <c r="P28" s="239"/>
      <c r="Q28" s="237"/>
    </row>
    <row r="29" ht="22.5" customHeight="1">
      <c r="B29" s="237"/>
      <c r="C29" s="234"/>
      <c r="D29" s="238"/>
      <c r="E29" s="234"/>
      <c r="F29" s="234"/>
      <c r="G29" s="245"/>
      <c r="H29" s="245"/>
      <c r="I29" s="237"/>
      <c r="J29" s="239"/>
      <c r="K29" s="244"/>
      <c r="L29" s="237"/>
      <c r="M29" s="239"/>
      <c r="N29" s="237"/>
      <c r="O29" s="239"/>
      <c r="P29" s="239"/>
      <c r="Q29" s="237"/>
    </row>
    <row r="30" ht="22.5" customHeight="1">
      <c r="B30" s="237"/>
      <c r="C30" s="234"/>
      <c r="D30" s="238"/>
      <c r="E30" s="234"/>
      <c r="F30" s="234"/>
      <c r="G30" s="245"/>
      <c r="H30" s="245"/>
      <c r="I30" s="237"/>
      <c r="J30" s="239"/>
      <c r="K30" s="244"/>
      <c r="L30" s="237"/>
      <c r="M30" s="239"/>
      <c r="N30" s="237"/>
      <c r="O30" s="239"/>
      <c r="P30" s="239"/>
      <c r="Q30" s="237"/>
    </row>
    <row r="31" ht="22.5" customHeight="1">
      <c r="B31" s="237"/>
      <c r="C31" s="234"/>
      <c r="D31" s="238"/>
      <c r="E31" s="234"/>
      <c r="F31" s="234"/>
      <c r="G31" s="245"/>
      <c r="H31" s="245"/>
      <c r="I31" s="237"/>
      <c r="J31" s="239"/>
      <c r="K31" s="244"/>
      <c r="L31" s="237"/>
      <c r="M31" s="239"/>
      <c r="N31" s="237"/>
      <c r="O31" s="239"/>
      <c r="P31" s="239"/>
      <c r="Q31" s="237"/>
    </row>
    <row r="32" ht="22.5" customHeight="1">
      <c r="B32" s="237"/>
      <c r="C32" s="234"/>
      <c r="D32" s="238"/>
      <c r="E32" s="234"/>
      <c r="F32" s="234"/>
      <c r="G32" s="245"/>
      <c r="H32" s="245"/>
      <c r="I32" s="237"/>
      <c r="J32" s="239"/>
      <c r="K32" s="244"/>
      <c r="L32" s="237"/>
      <c r="M32" s="239"/>
      <c r="N32" s="237"/>
      <c r="O32" s="239"/>
      <c r="P32" s="239"/>
      <c r="Q32" s="237"/>
    </row>
    <row r="33" ht="22.5" customHeight="1">
      <c r="B33" s="237"/>
      <c r="C33" s="234"/>
      <c r="D33" s="238"/>
      <c r="E33" s="234"/>
      <c r="F33" s="234"/>
      <c r="G33" s="245"/>
      <c r="H33" s="245"/>
      <c r="I33" s="237"/>
      <c r="J33" s="239"/>
      <c r="K33" s="244"/>
      <c r="L33" s="237"/>
      <c r="M33" s="239"/>
      <c r="N33" s="237"/>
      <c r="O33" s="239"/>
      <c r="P33" s="239"/>
      <c r="Q33" s="237"/>
    </row>
    <row r="34" ht="22.5" customHeight="1">
      <c r="B34" s="237"/>
      <c r="C34" s="234"/>
      <c r="D34" s="238"/>
      <c r="E34" s="234"/>
      <c r="F34" s="234"/>
      <c r="G34" s="245"/>
      <c r="H34" s="245"/>
      <c r="I34" s="237"/>
      <c r="J34" s="239"/>
      <c r="K34" s="244"/>
      <c r="L34" s="237"/>
      <c r="M34" s="239"/>
      <c r="N34" s="237"/>
      <c r="O34" s="239"/>
      <c r="P34" s="239"/>
      <c r="Q34" s="237"/>
    </row>
    <row r="35" ht="22.5" customHeight="1">
      <c r="B35" s="237"/>
      <c r="C35" s="234"/>
      <c r="D35" s="238"/>
      <c r="E35" s="234"/>
      <c r="F35" s="234"/>
      <c r="G35" s="245"/>
      <c r="H35" s="245"/>
      <c r="I35" s="237"/>
      <c r="J35" s="239"/>
      <c r="K35" s="244"/>
      <c r="L35" s="237"/>
      <c r="M35" s="239"/>
      <c r="N35" s="237"/>
      <c r="O35" s="239"/>
      <c r="P35" s="239"/>
      <c r="Q35" s="237"/>
    </row>
    <row r="36" ht="22.5" customHeight="1">
      <c r="B36" s="237"/>
      <c r="C36" s="234"/>
      <c r="D36" s="238"/>
      <c r="E36" s="234"/>
      <c r="F36" s="234"/>
      <c r="G36" s="245"/>
      <c r="H36" s="245"/>
      <c r="I36" s="237"/>
      <c r="J36" s="239"/>
      <c r="K36" s="244"/>
      <c r="L36" s="237"/>
      <c r="M36" s="239"/>
      <c r="N36" s="237"/>
      <c r="O36" s="239"/>
      <c r="P36" s="239"/>
      <c r="Q36" s="237"/>
    </row>
    <row r="37" ht="22.5" customHeight="1">
      <c r="B37" s="237"/>
      <c r="C37" s="234"/>
      <c r="D37" s="238"/>
      <c r="E37" s="234"/>
      <c r="F37" s="234"/>
      <c r="G37" s="245"/>
      <c r="H37" s="245"/>
      <c r="I37" s="237"/>
      <c r="J37" s="239"/>
      <c r="K37" s="244"/>
      <c r="L37" s="237"/>
      <c r="M37" s="239"/>
      <c r="N37" s="237"/>
      <c r="O37" s="239"/>
      <c r="P37" s="239"/>
      <c r="Q37" s="237"/>
    </row>
    <row r="38" ht="22.5" customHeight="1">
      <c r="B38" s="237"/>
      <c r="C38" s="234"/>
      <c r="D38" s="238"/>
      <c r="E38" s="234"/>
      <c r="F38" s="234"/>
      <c r="G38" s="245"/>
      <c r="H38" s="245"/>
      <c r="I38" s="237"/>
      <c r="J38" s="239"/>
      <c r="K38" s="244"/>
      <c r="L38" s="237"/>
      <c r="M38" s="239"/>
      <c r="N38" s="237"/>
      <c r="O38" s="239"/>
      <c r="P38" s="239"/>
      <c r="Q38" s="237"/>
    </row>
    <row r="39" ht="22.5" customHeight="1">
      <c r="B39" s="237"/>
      <c r="C39" s="234"/>
      <c r="D39" s="238"/>
      <c r="E39" s="234"/>
      <c r="F39" s="234"/>
      <c r="G39" s="245"/>
      <c r="H39" s="245"/>
      <c r="I39" s="237"/>
      <c r="J39" s="239"/>
      <c r="K39" s="244"/>
      <c r="L39" s="237"/>
      <c r="M39" s="239"/>
      <c r="N39" s="237"/>
      <c r="O39" s="239"/>
      <c r="P39" s="239"/>
      <c r="Q39" s="237"/>
    </row>
    <row r="40" ht="22.5" customHeight="1">
      <c r="B40" s="237"/>
      <c r="C40" s="234"/>
      <c r="D40" s="238"/>
      <c r="E40" s="234"/>
      <c r="F40" s="234"/>
      <c r="G40" s="245"/>
      <c r="H40" s="245"/>
      <c r="I40" s="237"/>
      <c r="J40" s="239"/>
      <c r="K40" s="244"/>
      <c r="L40" s="237"/>
      <c r="M40" s="239"/>
      <c r="N40" s="237"/>
      <c r="O40" s="239"/>
      <c r="P40" s="239"/>
      <c r="Q40" s="237"/>
    </row>
    <row r="41" ht="22.5" customHeight="1">
      <c r="B41" s="237"/>
      <c r="C41" s="234"/>
      <c r="D41" s="238"/>
      <c r="E41" s="234"/>
      <c r="F41" s="234"/>
      <c r="G41" s="245"/>
      <c r="H41" s="245"/>
      <c r="I41" s="237"/>
      <c r="J41" s="239"/>
      <c r="K41" s="244"/>
      <c r="L41" s="237"/>
      <c r="M41" s="239"/>
      <c r="N41" s="237"/>
      <c r="O41" s="239"/>
      <c r="P41" s="239"/>
      <c r="Q41" s="237"/>
    </row>
    <row r="42" ht="22.5" customHeight="1">
      <c r="B42" s="237"/>
      <c r="C42" s="234"/>
      <c r="D42" s="238"/>
      <c r="E42" s="234"/>
      <c r="F42" s="234"/>
      <c r="G42" s="245"/>
      <c r="H42" s="245"/>
      <c r="I42" s="237"/>
      <c r="J42" s="239"/>
      <c r="K42" s="244"/>
      <c r="L42" s="237"/>
      <c r="M42" s="239"/>
      <c r="N42" s="237"/>
      <c r="O42" s="239"/>
      <c r="P42" s="239"/>
      <c r="Q42" s="237"/>
    </row>
    <row r="43" ht="22.5" customHeight="1">
      <c r="B43" s="237"/>
      <c r="C43" s="234"/>
      <c r="D43" s="238"/>
      <c r="E43" s="234"/>
      <c r="F43" s="234"/>
      <c r="G43" s="245"/>
      <c r="H43" s="245"/>
      <c r="I43" s="237"/>
      <c r="J43" s="239"/>
      <c r="K43" s="244"/>
      <c r="L43" s="237"/>
      <c r="M43" s="239"/>
      <c r="N43" s="237"/>
      <c r="O43" s="239"/>
      <c r="P43" s="239"/>
      <c r="Q43" s="237"/>
    </row>
    <row r="44" ht="22.5" customHeight="1">
      <c r="B44" s="237"/>
      <c r="C44" s="234"/>
      <c r="D44" s="238"/>
      <c r="E44" s="234"/>
      <c r="F44" s="234"/>
      <c r="G44" s="245"/>
      <c r="H44" s="245"/>
      <c r="I44" s="237"/>
      <c r="J44" s="239"/>
      <c r="K44" s="244"/>
      <c r="L44" s="237"/>
      <c r="M44" s="239"/>
      <c r="N44" s="237"/>
      <c r="O44" s="239"/>
      <c r="P44" s="239"/>
      <c r="Q44" s="237"/>
    </row>
    <row r="45" ht="22.5" customHeight="1">
      <c r="B45" s="237"/>
      <c r="C45" s="234"/>
      <c r="D45" s="238"/>
      <c r="E45" s="234"/>
      <c r="F45" s="234"/>
      <c r="G45" s="245"/>
      <c r="H45" s="245"/>
      <c r="I45" s="237"/>
      <c r="J45" s="239"/>
      <c r="K45" s="244"/>
      <c r="L45" s="237"/>
      <c r="M45" s="239"/>
      <c r="N45" s="237"/>
      <c r="O45" s="239"/>
      <c r="P45" s="239"/>
      <c r="Q45" s="237"/>
    </row>
    <row r="46" ht="22.5" customHeight="1">
      <c r="B46" s="237"/>
      <c r="C46" s="234"/>
      <c r="D46" s="238"/>
      <c r="E46" s="234"/>
      <c r="F46" s="234"/>
      <c r="G46" s="245"/>
      <c r="H46" s="245"/>
      <c r="I46" s="237"/>
      <c r="J46" s="239"/>
      <c r="K46" s="244"/>
      <c r="L46" s="237"/>
      <c r="M46" s="239"/>
      <c r="N46" s="237"/>
      <c r="O46" s="239"/>
      <c r="P46" s="239"/>
      <c r="Q46" s="237"/>
    </row>
    <row r="47" ht="22.5" customHeight="1">
      <c r="B47" s="237"/>
      <c r="C47" s="234"/>
      <c r="D47" s="238"/>
      <c r="E47" s="234"/>
      <c r="F47" s="234"/>
      <c r="G47" s="245"/>
      <c r="H47" s="245"/>
      <c r="I47" s="237"/>
      <c r="J47" s="239"/>
      <c r="K47" s="244"/>
      <c r="L47" s="237"/>
      <c r="M47" s="239"/>
      <c r="N47" s="237"/>
      <c r="O47" s="239"/>
      <c r="P47" s="239"/>
      <c r="Q47" s="237"/>
    </row>
    <row r="48" ht="22.5" customHeight="1">
      <c r="B48" s="237"/>
      <c r="C48" s="234"/>
      <c r="D48" s="238"/>
      <c r="E48" s="234"/>
      <c r="F48" s="234"/>
      <c r="G48" s="245"/>
      <c r="H48" s="245"/>
      <c r="I48" s="237"/>
      <c r="J48" s="239"/>
      <c r="K48" s="244"/>
      <c r="L48" s="237"/>
      <c r="M48" s="239"/>
      <c r="N48" s="237"/>
      <c r="O48" s="239"/>
      <c r="P48" s="239"/>
      <c r="Q48" s="237"/>
    </row>
    <row r="49" ht="22.5" customHeight="1">
      <c r="B49" s="237"/>
      <c r="C49" s="234"/>
      <c r="D49" s="238"/>
      <c r="E49" s="234"/>
      <c r="F49" s="234"/>
      <c r="G49" s="245"/>
      <c r="H49" s="245"/>
      <c r="I49" s="237"/>
      <c r="J49" s="239"/>
      <c r="K49" s="244"/>
      <c r="L49" s="237"/>
      <c r="M49" s="239"/>
      <c r="N49" s="237"/>
      <c r="O49" s="239"/>
      <c r="P49" s="239"/>
      <c r="Q49" s="237"/>
    </row>
    <row r="50" ht="22.5" customHeight="1">
      <c r="B50" s="237"/>
      <c r="C50" s="234"/>
      <c r="D50" s="238"/>
      <c r="E50" s="234"/>
      <c r="F50" s="234"/>
      <c r="G50" s="245"/>
      <c r="H50" s="245"/>
      <c r="I50" s="237"/>
      <c r="J50" s="239"/>
      <c r="K50" s="244"/>
      <c r="L50" s="237"/>
      <c r="M50" s="239"/>
      <c r="N50" s="237"/>
      <c r="O50" s="239"/>
      <c r="P50" s="239"/>
      <c r="Q50" s="237"/>
    </row>
    <row r="51" ht="22.5" customHeight="1">
      <c r="B51" s="237"/>
      <c r="C51" s="234"/>
      <c r="D51" s="238"/>
      <c r="E51" s="234"/>
      <c r="F51" s="234"/>
      <c r="G51" s="245"/>
      <c r="H51" s="245"/>
      <c r="I51" s="237"/>
      <c r="J51" s="239"/>
      <c r="K51" s="244"/>
      <c r="L51" s="237"/>
      <c r="M51" s="239"/>
      <c r="N51" s="237"/>
      <c r="O51" s="239"/>
      <c r="P51" s="239"/>
      <c r="Q51" s="237"/>
    </row>
    <row r="52" ht="22.5" customHeight="1">
      <c r="B52" s="237"/>
      <c r="C52" s="234"/>
      <c r="D52" s="238"/>
      <c r="E52" s="234"/>
      <c r="F52" s="234"/>
      <c r="G52" s="245"/>
      <c r="H52" s="245"/>
      <c r="I52" s="237"/>
      <c r="J52" s="239"/>
      <c r="K52" s="244"/>
      <c r="L52" s="237"/>
      <c r="M52" s="239"/>
      <c r="N52" s="237"/>
      <c r="O52" s="239"/>
      <c r="P52" s="239"/>
      <c r="Q52" s="237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