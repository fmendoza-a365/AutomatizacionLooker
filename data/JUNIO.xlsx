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NAHOMI DIAZ" sheetId="2" r:id="rId6"/>
    <sheet state="visible" name="ANGIE SILVERA" sheetId="3" r:id="rId7"/>
    <sheet state="visible" name="JIMMY COLLAZOS" sheetId="4" r:id="rId8"/>
    <sheet state="visible" name="JHON ZAMORA" sheetId="5" r:id="rId9"/>
    <sheet state="visible" name="LUIS CHUSE" sheetId="6" r:id="rId10"/>
    <sheet state="visible" name="OMAR MINAYA" sheetId="7" r:id="rId11"/>
    <sheet state="visible" name="KENNY MORALES" sheetId="8" r:id="rId12"/>
    <sheet state="visible" name="WENDY IPANEQUE" sheetId="9" r:id="rId13"/>
    <sheet state="visible" name="JOSE LUIS QUINTEROS" sheetId="10" r:id="rId14"/>
    <sheet state="visible" name="MILAGROS TUESTA" sheetId="11" r:id="rId15"/>
    <sheet state="visible" name="MARIELLA PAÑAHUA" sheetId="12" r:id="rId16"/>
    <sheet state="visible" name="ALEXANDRA GUZMAN" sheetId="13" r:id="rId17"/>
    <sheet state="visible" name="AMALIA QUINDE" sheetId="14" r:id="rId18"/>
    <sheet state="visible" name="JORGE CASTILLO" sheetId="15" r:id="rId19"/>
    <sheet state="visible" name="VIOLETA LLERENA" sheetId="16" r:id="rId20"/>
    <sheet state="visible" name="CRISTINA BRACAMONTE" sheetId="17" r:id="rId21"/>
  </sheets>
  <definedNames>
    <definedName hidden="1" localSheetId="0" name="_xlnm._FilterDatabase">CONSOLIDADO!$B$4:$M$21</definedName>
    <definedName hidden="1" localSheetId="5" name="_xlnm._FilterDatabase">'LUIS CHUSE'!$B$9:$Q$52</definedName>
    <definedName hidden="1" localSheetId="8" name="_xlnm._FilterDatabase">'WENDY IPANEQUE'!$B$9:$Q$52</definedName>
    <definedName hidden="1" localSheetId="10" name="_xlnm._FilterDatabase">'MILAGROS TUESTA'!$B$9:$Q$52</definedName>
  </definedNames>
  <calcPr/>
</workbook>
</file>

<file path=xl/sharedStrings.xml><?xml version="1.0" encoding="utf-8"?>
<sst xmlns="http://schemas.openxmlformats.org/spreadsheetml/2006/main" count="1676" uniqueCount="464">
  <si>
    <t>Tablas de Gestión:</t>
  </si>
  <si>
    <t>SUPERVISOR</t>
  </si>
  <si>
    <t>ZONA</t>
  </si>
  <si>
    <t>TOTAL DESEMBOLSO</t>
  </si>
  <si>
    <t>Q DESEMBOLSO</t>
  </si>
  <si>
    <t>EVALUACION BCP</t>
  </si>
  <si>
    <t>PENDIENTE DE BACK</t>
  </si>
  <si>
    <t>PENDIENTE DE REMESA</t>
  </si>
  <si>
    <t>PENDIENTE DE DOCUMENTAR</t>
  </si>
  <si>
    <t>META OBJETIVO</t>
  </si>
  <si>
    <t>AVANCE</t>
  </si>
  <si>
    <t>Q EVALUACION BCP</t>
  </si>
  <si>
    <t>Q PENDIENTE DE BACK</t>
  </si>
  <si>
    <t>JIMMY COLLAZOS</t>
  </si>
  <si>
    <t>LIMA</t>
  </si>
  <si>
    <t>TARAPOTO</t>
  </si>
  <si>
    <t>CHICLAYO</t>
  </si>
  <si>
    <t>Meta</t>
  </si>
  <si>
    <t>Desembolsado</t>
  </si>
  <si>
    <t>Avance</t>
  </si>
  <si>
    <t>Pendiente De Documentar</t>
  </si>
  <si>
    <t>Pendiente De Remesa</t>
  </si>
  <si>
    <t>Pendiente De Backoffice</t>
  </si>
  <si>
    <t>Evaluación BCP</t>
  </si>
  <si>
    <t>Obs Backoffice</t>
  </si>
  <si>
    <t>Obs BCP</t>
  </si>
  <si>
    <t>Rechazado</t>
  </si>
  <si>
    <t>S/.</t>
  </si>
  <si>
    <t>ALEXANDRA GUZMAN</t>
  </si>
  <si>
    <t>AMALIA QUINDE</t>
  </si>
  <si>
    <t>Q / %</t>
  </si>
  <si>
    <t>-</t>
  </si>
  <si>
    <t>JORGE CASTILLO</t>
  </si>
  <si>
    <t>PLAZA DE VENTA</t>
  </si>
  <si>
    <t>FECHA DE ENVIO DE REMESA</t>
  </si>
  <si>
    <t>ESTADO DE REMESA</t>
  </si>
  <si>
    <t>FECHA DE INGRESO</t>
  </si>
  <si>
    <t>FECHA DE DESEMBOLSO</t>
  </si>
  <si>
    <t>DOCUMENTO</t>
  </si>
  <si>
    <t>NOMBRES Y APELLIDOS</t>
  </si>
  <si>
    <t>CONVENIO</t>
  </si>
  <si>
    <t>WENDY IPANAQUÉ</t>
  </si>
  <si>
    <t>ESTADO</t>
  </si>
  <si>
    <t>MAF NETO</t>
  </si>
  <si>
    <t>EJECUTIVO</t>
  </si>
  <si>
    <t>FILE ENVIADO A BANCO</t>
  </si>
  <si>
    <t>FECHA DE ENVIÓ CARTA PODER A BCP</t>
  </si>
  <si>
    <t>COMPRA DE DEUDA REALIZADA</t>
  </si>
  <si>
    <t>LIBERACIÓN</t>
  </si>
  <si>
    <t>FEEDBACK</t>
  </si>
  <si>
    <t>Aprobada</t>
  </si>
  <si>
    <t>44988215</t>
  </si>
  <si>
    <t>TICONA SOTO WILSON</t>
  </si>
  <si>
    <t>ANGIE SILVERA</t>
  </si>
  <si>
    <t>PNP</t>
  </si>
  <si>
    <t>75730489</t>
  </si>
  <si>
    <t>TORRES MURAYARI PIERO ALBERTO</t>
  </si>
  <si>
    <t>JUAN CORDOVA</t>
  </si>
  <si>
    <t>46176.0</t>
  </si>
  <si>
    <t>41514627</t>
  </si>
  <si>
    <t>ELVIS ACOSTA BARBARAN</t>
  </si>
  <si>
    <t>CARRION CAVERO ROSA AMARILIS</t>
  </si>
  <si>
    <t>No</t>
  </si>
  <si>
    <t xml:space="preserve">AZUCENA BARBA </t>
  </si>
  <si>
    <t>KENNY MORALES</t>
  </si>
  <si>
    <t>LUIS CHUSE</t>
  </si>
  <si>
    <t>70618860</t>
  </si>
  <si>
    <t>MARQUEZ ANDRES LUDDY JACINTO</t>
  </si>
  <si>
    <t>DIRIS CENTRO</t>
  </si>
  <si>
    <t>77666939</t>
  </si>
  <si>
    <t>45521394</t>
  </si>
  <si>
    <t>MAMANI INQUILLA VICTOR HUGO</t>
  </si>
  <si>
    <t>FERNANDEZ GARCIA GLORIA JESUS</t>
  </si>
  <si>
    <t>AURELIA FERNANDEZ</t>
  </si>
  <si>
    <t>EP</t>
  </si>
  <si>
    <t>ALCIDES FERNANDEZ PERALTA</t>
  </si>
  <si>
    <t>MARIELLA PAÑAHUA</t>
  </si>
  <si>
    <t>46250678</t>
  </si>
  <si>
    <t>RAMOS SOPLAPUCO JOSE EDWARD</t>
  </si>
  <si>
    <t>44386537</t>
  </si>
  <si>
    <t>BERNAOLA FLORES SUSANA CATHERINE</t>
  </si>
  <si>
    <t>MILAGROS TUESTA</t>
  </si>
  <si>
    <t>ESSALUD</t>
  </si>
  <si>
    <t>Si</t>
  </si>
  <si>
    <t>76403160</t>
  </si>
  <si>
    <t>IZQUIERDO DIAZ ANDER</t>
  </si>
  <si>
    <t>JOSE LUIS QUINTEROS</t>
  </si>
  <si>
    <t>76214250</t>
  </si>
  <si>
    <t>VELA UPIACHIHUA IMELDA CRISTINA</t>
  </si>
  <si>
    <t>77235490</t>
  </si>
  <si>
    <t>ELUQUIZ SANTISTEBAN KANDY MARICIELO</t>
  </si>
  <si>
    <t>CRISTINA BRACAMONTE</t>
  </si>
  <si>
    <t>71666083</t>
  </si>
  <si>
    <t>MAS TORRES CRISTIAN NILO</t>
  </si>
  <si>
    <t>72147906</t>
  </si>
  <si>
    <t>PUCALLPA</t>
  </si>
  <si>
    <t>FLOREZ SUICO MARCO ANTONIO</t>
  </si>
  <si>
    <t>JHON ZAMORA</t>
  </si>
  <si>
    <t>esperar que actualice SCORE BCP</t>
  </si>
  <si>
    <t>00126266</t>
  </si>
  <si>
    <t>PEÑA TORRES MARLLULY YUSVILDE</t>
  </si>
  <si>
    <t>EYLIN VELASCO</t>
  </si>
  <si>
    <t>OMAR MINAYA</t>
  </si>
  <si>
    <t>78019686</t>
  </si>
  <si>
    <t>BARRANTES GRAVELO KENNEDY JEAN</t>
  </si>
  <si>
    <t>42650106</t>
  </si>
  <si>
    <t>PONCE SANCHEZ CESAR JUNIOR</t>
  </si>
  <si>
    <t>48547143</t>
  </si>
  <si>
    <t>VALUIS BERNUY GILMER ROMELIO</t>
  </si>
  <si>
    <t>NAHOMI DIAZ</t>
  </si>
  <si>
    <t>46127105</t>
  </si>
  <si>
    <t>SUCLUPE MATALLANA PABLO EDUARDO</t>
  </si>
  <si>
    <t>TRUJILLO</t>
  </si>
  <si>
    <t>VIOLETA LLERENA</t>
  </si>
  <si>
    <t>17815555</t>
  </si>
  <si>
    <t>FLORIAN PAREDES JUAN ENRIQUE</t>
  </si>
  <si>
    <t>TOTAL</t>
  </si>
  <si>
    <t>44833448</t>
  </si>
  <si>
    <t>LABRIN PEÑA JUAN HUMBERTO</t>
  </si>
  <si>
    <t>AN FUERTE</t>
  </si>
  <si>
    <t>74556306</t>
  </si>
  <si>
    <t>GARCIA MENDOZA EDWIN</t>
  </si>
  <si>
    <t>PLAZA</t>
  </si>
  <si>
    <t>72295901</t>
  </si>
  <si>
    <t>TORRES INGA VICTOR MATEO</t>
  </si>
  <si>
    <t>NORTE</t>
  </si>
  <si>
    <t>40342749</t>
  </si>
  <si>
    <t>BENITES CARTY DE COBOS LORENA</t>
  </si>
  <si>
    <t>MGP</t>
  </si>
  <si>
    <t>Rechazada</t>
  </si>
  <si>
    <t>10710796</t>
  </si>
  <si>
    <t>ÑAUPAS NEGRETE ROBERTO ALEXANDER</t>
  </si>
  <si>
    <t>AYACUCHO</t>
  </si>
  <si>
    <t>70652455</t>
  </si>
  <si>
    <t>ROSAS OLORTEGUI CARLOS</t>
  </si>
  <si>
    <t>47057610</t>
  </si>
  <si>
    <t>YESICA HEREDIA</t>
  </si>
  <si>
    <t>BRAVO GALVEZ NOHELY MARISOL</t>
  </si>
  <si>
    <t xml:space="preserve">EYLIN VELASCO </t>
  </si>
  <si>
    <t>AREQUIPA</t>
  </si>
  <si>
    <t>48319584</t>
  </si>
  <si>
    <t>10408873</t>
  </si>
  <si>
    <t>VALLADOLID VALLEJOS ESGAR ANDRES</t>
  </si>
  <si>
    <t>CHUCTAYA BAUTISTA RAUL</t>
  </si>
  <si>
    <t>JUDITH FARRO</t>
  </si>
  <si>
    <t>CAJAMARCA</t>
  </si>
  <si>
    <t>73526922</t>
  </si>
  <si>
    <t>73468156</t>
  </si>
  <si>
    <t>NUÑEZ OLIVERA JONATHAN JAIR</t>
  </si>
  <si>
    <t>RAFAEL BUSTAMANTE FRANCISCO JAVIER</t>
  </si>
  <si>
    <t>46298504</t>
  </si>
  <si>
    <t>42541929</t>
  </si>
  <si>
    <t>CORDOVA LOPEZ REYDI MISAEL</t>
  </si>
  <si>
    <t>SANCHEZ CHONATE JULIO CESAR</t>
  </si>
  <si>
    <t>46630020</t>
  </si>
  <si>
    <t>73341946</t>
  </si>
  <si>
    <t>AYCA ZAMORA CINTHYA FIAMMA</t>
  </si>
  <si>
    <t>CORONEL LLAMO GEINER OMAR</t>
  </si>
  <si>
    <t>AMAZONAS</t>
  </si>
  <si>
    <t>46068727</t>
  </si>
  <si>
    <t>IZQUIERDO SANTA CRUZ LUZ MARINA</t>
  </si>
  <si>
    <t>72307920</t>
  </si>
  <si>
    <t xml:space="preserve">FUSTAMANTE HERRERA CARLOS ALBERTO </t>
  </si>
  <si>
    <t>YURIKO OSPINO</t>
  </si>
  <si>
    <t>71769225</t>
  </si>
  <si>
    <t>GOMEZ GARCIA SERGIO FERNANDO</t>
  </si>
  <si>
    <t>70489731</t>
  </si>
  <si>
    <t>FAJARDO MONROY CHRISTIAN JUNIOR</t>
  </si>
  <si>
    <t>NORMA ARRAIZA</t>
  </si>
  <si>
    <t>NO PROCEDE POR CARTERA TRANSFERIDA</t>
  </si>
  <si>
    <t>73121372</t>
  </si>
  <si>
    <t>ROMERO GARCIA WALTER LUIS</t>
  </si>
  <si>
    <t>FLOR LLATAS</t>
  </si>
  <si>
    <t>SIN INGRESO</t>
  </si>
  <si>
    <t>42047411</t>
  </si>
  <si>
    <t>CUMPEN LARA EDGAR SMITH</t>
  </si>
  <si>
    <t>SOBREENDEUDADO</t>
  </si>
  <si>
    <t>76394324</t>
  </si>
  <si>
    <t>PALIZA USCAPI ALVARO</t>
  </si>
  <si>
    <t>72625968</t>
  </si>
  <si>
    <t>ALFARO VASQUEZ ALEXANDER WILMER</t>
  </si>
  <si>
    <t>72625309</t>
  </si>
  <si>
    <t>PACHERREZ MARRUFO JAMES MAYKOL DNI</t>
  </si>
  <si>
    <t>48409811</t>
  </si>
  <si>
    <t>MUCHA HUARACA JHOEL KENDELL DNI</t>
  </si>
  <si>
    <t>47277730</t>
  </si>
  <si>
    <t>UBILLUS SILVA JHONATAN ALEXANDER DNI</t>
  </si>
  <si>
    <t>70557656</t>
  </si>
  <si>
    <t>PACOTAIPE QUISPE,YANET MILAGROS</t>
  </si>
  <si>
    <t>AMPLIO EN GNB</t>
  </si>
  <si>
    <t>75019634</t>
  </si>
  <si>
    <t>PEÑA ORTIZ CRISTHIAN OMAR</t>
  </si>
  <si>
    <t>73787399</t>
  </si>
  <si>
    <t>SUAREZ HERNANDEZ EDITH MADELEYNE</t>
  </si>
  <si>
    <t>73803001</t>
  </si>
  <si>
    <t>SANGAMA SANTILLAN CESAR VALERIO</t>
  </si>
  <si>
    <t>EDGAR CHOTA</t>
  </si>
  <si>
    <t>46180058</t>
  </si>
  <si>
    <t>VASQUEZ EFFIO SMITH ALAN</t>
  </si>
  <si>
    <t>VICTOR  CIEZA LA MADRID</t>
  </si>
  <si>
    <t>NO VA POR SEGMENTO PYME</t>
  </si>
  <si>
    <t>09570721</t>
  </si>
  <si>
    <t>ESPINOZA BRAVO ESTHER CARIDAD</t>
  </si>
  <si>
    <t>DIRIS ESTE</t>
  </si>
  <si>
    <t>LUIS SHEPERD</t>
  </si>
  <si>
    <t>76930166</t>
  </si>
  <si>
    <t>CASTRO MILLONES ROBERT CRISTIAN MIGUEL</t>
  </si>
  <si>
    <t>70394920</t>
  </si>
  <si>
    <t xml:space="preserve">MANDAR EL 15 CON LA NUEVA BOLETA </t>
  </si>
  <si>
    <t>ESCUDERO BORDA DIEGO ARMANDO</t>
  </si>
  <si>
    <t>KELLY SARMIENTO</t>
  </si>
  <si>
    <t>74838041</t>
  </si>
  <si>
    <t>RAMOS TORO MAYK KEVIN</t>
  </si>
  <si>
    <t>40866413</t>
  </si>
  <si>
    <t>PADILLA FIESTAS CARMEN ROSA</t>
  </si>
  <si>
    <t>PENDIENTE DE FIRMA CLIENTE</t>
  </si>
  <si>
    <t>40863375</t>
  </si>
  <si>
    <t>SALDAÑA RAMIREZ JAVIER</t>
  </si>
  <si>
    <t>73812702</t>
  </si>
  <si>
    <t>SANCHEZ GALVEZ PIERO CESAR</t>
  </si>
  <si>
    <t>74373039</t>
  </si>
  <si>
    <t xml:space="preserve">EN ESPERA DE REMESA Y DOCUMENTACION </t>
  </si>
  <si>
    <t>GONZALES SERNAQUE SANDRO</t>
  </si>
  <si>
    <t>LUIS MENDOZA</t>
  </si>
  <si>
    <t>77084817</t>
  </si>
  <si>
    <t>NAPA CASTILLA WALTER JORDAN</t>
  </si>
  <si>
    <t>76586265</t>
  </si>
  <si>
    <t>CAQUI VARGAS ALFREDO</t>
  </si>
  <si>
    <t>77415152</t>
  </si>
  <si>
    <t xml:space="preserve">DIAZ SANDOVAL JHENNYFER TATIANA </t>
  </si>
  <si>
    <t xml:space="preserve">PNP </t>
  </si>
  <si>
    <t>45858644</t>
  </si>
  <si>
    <t>CASTILLA NAVA PAOLA SILVANA</t>
  </si>
  <si>
    <t>43370018</t>
  </si>
  <si>
    <t>CARMONA CORTES SANIEL JHONATAN</t>
  </si>
  <si>
    <t>71777971</t>
  </si>
  <si>
    <t>MAYTA PALOMINO HELEN SHARON</t>
  </si>
  <si>
    <t>CARLOS ESPINOZA</t>
  </si>
  <si>
    <t>77050724</t>
  </si>
  <si>
    <t>73998174</t>
  </si>
  <si>
    <t>FLORES CORMAN MARYORI VERONICA</t>
  </si>
  <si>
    <t>RIVEROS QUICO,JULIO ALONSO</t>
  </si>
  <si>
    <t>FAP</t>
  </si>
  <si>
    <t>PAOLA REYES</t>
  </si>
  <si>
    <t>71074332</t>
  </si>
  <si>
    <t>CHOQUE GOMEZ JOSE ANTONIO</t>
  </si>
  <si>
    <t>ESPERANDO QUE BCP APRUEBE OPERATIVA DE COMPRA COOP. MUTUALISTA</t>
  </si>
  <si>
    <t>06629783</t>
  </si>
  <si>
    <t>73340045</t>
  </si>
  <si>
    <t>QUIROZ MENESES PEDRO JESUS</t>
  </si>
  <si>
    <t>MORENO CODINA JHONATTAN JUNIOR</t>
  </si>
  <si>
    <t>AGRORURAL</t>
  </si>
  <si>
    <t>--</t>
  </si>
  <si>
    <t>10431123</t>
  </si>
  <si>
    <t>CASTROMONTE MONTES GILMER RENZO</t>
  </si>
  <si>
    <t>44613353</t>
  </si>
  <si>
    <t>RIOS LAURA DANIELA FLOR DE MARIA</t>
  </si>
  <si>
    <t>SILVIA CASTAÑEDA</t>
  </si>
  <si>
    <t>HUANCAYO</t>
  </si>
  <si>
    <t>45939401</t>
  </si>
  <si>
    <t>FERNANDEZ SOLAR ALDO JUNIOR</t>
  </si>
  <si>
    <t>19873855</t>
  </si>
  <si>
    <t>MONTOYA PIÑAS LUZ VIOLETA</t>
  </si>
  <si>
    <t>45459949</t>
  </si>
  <si>
    <t xml:space="preserve">CANGALAYA MONTALVO IVONNE STEPHANI </t>
  </si>
  <si>
    <t>48209353</t>
  </si>
  <si>
    <t>GUTIERREZ SOLANO JOSE JAVIER</t>
  </si>
  <si>
    <t>46394010</t>
  </si>
  <si>
    <t>YOVERA PAZ CLORINDA</t>
  </si>
  <si>
    <t>22514212</t>
  </si>
  <si>
    <t>BRANCACHO GARAY ANDRES EUGENIO</t>
  </si>
  <si>
    <t>76013469</t>
  </si>
  <si>
    <t>PILCO NORIEGA MACLINDER STIWEN</t>
  </si>
  <si>
    <t>42196321</t>
  </si>
  <si>
    <t>HUARACA ZECENARRO GABRIEL FERNANDO</t>
  </si>
  <si>
    <t>PRONABEC</t>
  </si>
  <si>
    <t>72188058</t>
  </si>
  <si>
    <t>SANTILLAN RUIZ LIZANDRO GIAMPIER</t>
  </si>
  <si>
    <t>SE OBSERVO FECHA DE VENCIMIENTO DE DNI</t>
  </si>
  <si>
    <t>42070102</t>
  </si>
  <si>
    <t>OTINIANO GONZALES MIGUEL ANGEL</t>
  </si>
  <si>
    <t>SALLY SAAVEDRA</t>
  </si>
  <si>
    <t xml:space="preserve">40340008 </t>
  </si>
  <si>
    <t>QUIÑONES TALLEDO CHARLES HARRINSON</t>
  </si>
  <si>
    <t>MINJUS</t>
  </si>
  <si>
    <t>44378424</t>
  </si>
  <si>
    <t>SATALAYA GUTIERREZ PATRICIA</t>
  </si>
  <si>
    <t>76793329</t>
  </si>
  <si>
    <t>CISNEROS CERCADO JEYNER ALEXANDER</t>
  </si>
  <si>
    <t>TOMA DE FIRMA EN AGENCIA CARABAYLLO</t>
  </si>
  <si>
    <t>10150655</t>
  </si>
  <si>
    <t>CHAVEZ VASQUEZ HENRY FREDY</t>
  </si>
  <si>
    <t>48161791</t>
  </si>
  <si>
    <t>JOSEFAT CERVANTES MELCHOR</t>
  </si>
  <si>
    <t>TOMA DE FIRMA EN AGENCIA CHOSICA</t>
  </si>
  <si>
    <t>47596637</t>
  </si>
  <si>
    <t>DIAZ MIRANDA JUNIOR</t>
  </si>
  <si>
    <t>16748464</t>
  </si>
  <si>
    <t>ALARCON CUBAS PAUL ALEXANDER</t>
  </si>
  <si>
    <t>MINISTERIO JUSTICIA</t>
  </si>
  <si>
    <t>ROXANA FERNANDEZ</t>
  </si>
  <si>
    <t>48641487</t>
  </si>
  <si>
    <t>SAAVEDRA PRINCIPE DAVID JERSON</t>
  </si>
  <si>
    <t>45862778</t>
  </si>
  <si>
    <t>GAMERO MUÑOZ NELIDA CRISTINA</t>
  </si>
  <si>
    <t>43357799</t>
  </si>
  <si>
    <t>POMA MATOS ELEM</t>
  </si>
  <si>
    <t>45243969</t>
  </si>
  <si>
    <t>YLLACONZA CAYO KAREN LUISA</t>
  </si>
  <si>
    <t>72436908</t>
  </si>
  <si>
    <t>PONCE ABANTO LICETH</t>
  </si>
  <si>
    <t>JOSSEF PFARE</t>
  </si>
  <si>
    <t>73983987</t>
  </si>
  <si>
    <t>GALLEGOS   PANTIGOSO ALEXIS XAVIER</t>
  </si>
  <si>
    <t>46083895</t>
  </si>
  <si>
    <t>MARTIN ZAVALETA KATHERINE LIZETH</t>
  </si>
  <si>
    <t>77505087</t>
  </si>
  <si>
    <t>PAREDES TICONA ANTONY FRANK</t>
  </si>
  <si>
    <t>44477675</t>
  </si>
  <si>
    <t>LAZO MURRIETA DIANA CAROLINA</t>
  </si>
  <si>
    <t>PIURA</t>
  </si>
  <si>
    <t>76441686</t>
  </si>
  <si>
    <t>BRIAN STUARD ZAPATA BRAVO</t>
  </si>
  <si>
    <t>KRIS BARRAGAN</t>
  </si>
  <si>
    <t>46314307</t>
  </si>
  <si>
    <t>DIOMEDES ENRIQUE IZQUIERDO TRONCOS</t>
  </si>
  <si>
    <t>AN CONYUGE, SE ENVIO CARTA DE NO ADEUDO</t>
  </si>
  <si>
    <t>45796061</t>
  </si>
  <si>
    <t>DEYVIS FRANCISCO ADRIANO VALENCIA</t>
  </si>
  <si>
    <t>MILAGROS IPANAQUÉ</t>
  </si>
  <si>
    <t>SE INGRESARÁ CON BOLETA DE JULIO</t>
  </si>
  <si>
    <t>42676370</t>
  </si>
  <si>
    <t>LUCIANA CECILIA SOSA GARAY</t>
  </si>
  <si>
    <t>48607422</t>
  </si>
  <si>
    <t>VARGAS MALDONADO FELICIANO</t>
  </si>
  <si>
    <t>41149463</t>
  </si>
  <si>
    <t>AGURTO CASTRO BLANCA LUCIA</t>
  </si>
  <si>
    <t xml:space="preserve">FALTA NÚMERO DE CUENTA </t>
  </si>
  <si>
    <t>45868982</t>
  </si>
  <si>
    <t>CORDOVA PALOMINO JOYSI STEPHANIE</t>
  </si>
  <si>
    <t>EN TOMA DE FIRMAS LIMA</t>
  </si>
  <si>
    <t>73045033</t>
  </si>
  <si>
    <t>MORAN RAMOS BRAYAN KENYI</t>
  </si>
  <si>
    <t>41487157</t>
  </si>
  <si>
    <t>COSQUILLO MENDOZA KENNY DANIEL</t>
  </si>
  <si>
    <t>wq</t>
  </si>
  <si>
    <t>qsAZ&gt;</t>
  </si>
  <si>
    <t>77566032</t>
  </si>
  <si>
    <t>YEVGENY ANDRE LOAYZA BENITES</t>
  </si>
  <si>
    <t>MARIA VERGARA</t>
  </si>
  <si>
    <t xml:space="preserve">LIMA </t>
  </si>
  <si>
    <t>10557824</t>
  </si>
  <si>
    <t>GUZMAN ARMAS JULIO CESAR</t>
  </si>
  <si>
    <t>ERIKA EZETA</t>
  </si>
  <si>
    <t>72504753</t>
  </si>
  <si>
    <t>PAREDES CARRILLO,ARELIS ELIZBETH .MARIELLA</t>
  </si>
  <si>
    <t>MILY FERNANDEZ</t>
  </si>
  <si>
    <t>71657103</t>
  </si>
  <si>
    <t>BAZAN CHUQUIPIONDO,SHIRLY MARILYN</t>
  </si>
  <si>
    <t>JOSE CONTRERAS</t>
  </si>
  <si>
    <t>75370680</t>
  </si>
  <si>
    <t xml:space="preserve">CACERES SOTELO, JOSE ANTONIO- PIO </t>
  </si>
  <si>
    <t>72509274</t>
  </si>
  <si>
    <t>QUISPE SUPO,JORGE MANUEL</t>
  </si>
  <si>
    <t>73017905</t>
  </si>
  <si>
    <t>SULCA AGAPITO DIEGO ARMAND</t>
  </si>
  <si>
    <t>4353402</t>
  </si>
  <si>
    <t xml:space="preserve">MOGOLLON ORTIZ JEFFERSON MODESTO </t>
  </si>
  <si>
    <t>76581719</t>
  </si>
  <si>
    <t xml:space="preserve">PAREDES SAQUIRAY TONY GARDEL - CARLA </t>
  </si>
  <si>
    <t>73209640</t>
  </si>
  <si>
    <t>MEZA QUISPE,LIZANDRO</t>
  </si>
  <si>
    <t xml:space="preserve">ELIZABETH ESQUIVEL </t>
  </si>
  <si>
    <t xml:space="preserve">  </t>
  </si>
  <si>
    <t>43225556</t>
  </si>
  <si>
    <t xml:space="preserve"> CLAUDIO ALANYA NIDIA CELICA</t>
  </si>
  <si>
    <t>DELIA VENTURA</t>
  </si>
  <si>
    <t>TC INTERBANK</t>
  </si>
  <si>
    <t>73800486</t>
  </si>
  <si>
    <t>MALDONADO VILLANUEVA,WILDER ARNOLD MATTH- fer</t>
  </si>
  <si>
    <t>43697933</t>
  </si>
  <si>
    <t>ESCRIBA MITMA GILSON</t>
  </si>
  <si>
    <t>74572463</t>
  </si>
  <si>
    <t xml:space="preserve">HURTADO QUISPE CARLOS JHONATAN </t>
  </si>
  <si>
    <t>74479930</t>
  </si>
  <si>
    <t>GUTIERREZ GAMBOA PERCY MIRCO</t>
  </si>
  <si>
    <t>72295711</t>
  </si>
  <si>
    <t xml:space="preserve">BAZAN SANTA CRUZ ROBERT ISABEL </t>
  </si>
  <si>
    <t>BANCO GNB</t>
  </si>
  <si>
    <t>71228638</t>
  </si>
  <si>
    <t>TABOADA PAICO JACSSON</t>
  </si>
  <si>
    <t>76631246</t>
  </si>
  <si>
    <t xml:space="preserve">CAUNA HUAMAN LUCIO </t>
  </si>
  <si>
    <t>JORGE ALFARO</t>
  </si>
  <si>
    <t>46333960</t>
  </si>
  <si>
    <t>HUAMANI</t>
  </si>
  <si>
    <t>72174572</t>
  </si>
  <si>
    <t xml:space="preserve">REYES CORAL,PERCY JHOAREET </t>
  </si>
  <si>
    <t>45294287</t>
  </si>
  <si>
    <t>TOVAR SULCA SHIRLEY</t>
  </si>
  <si>
    <t>45723291</t>
  </si>
  <si>
    <t xml:space="preserve">ENCINAS HERNANI,URIEL GUIDO </t>
  </si>
  <si>
    <t>SCOTIABANK</t>
  </si>
  <si>
    <t>71040822</t>
  </si>
  <si>
    <t xml:space="preserve">CARDENAS JERI ALEXANDER </t>
  </si>
  <si>
    <t>73800437</t>
  </si>
  <si>
    <t>CHOQUE CCAMA,JHAIR PEDRO</t>
  </si>
  <si>
    <t>28316557</t>
  </si>
  <si>
    <t>YUPANQUI QUIQUIN MONICA</t>
  </si>
  <si>
    <t>73088037</t>
  </si>
  <si>
    <t>DELGADO CUBAS,YORSIN OMAR</t>
  </si>
  <si>
    <t>EDDY HUAYNALAYA</t>
  </si>
  <si>
    <t>71227850</t>
  </si>
  <si>
    <t>PARIONA RAMIREZ YAANDI</t>
  </si>
  <si>
    <t>72724697</t>
  </si>
  <si>
    <t>71248471</t>
  </si>
  <si>
    <t>GARCIA CRISANTI, MAXITO</t>
  </si>
  <si>
    <t xml:space="preserve"> -70171724</t>
  </si>
  <si>
    <t>44254146</t>
  </si>
  <si>
    <t>70455739</t>
  </si>
  <si>
    <t xml:space="preserve">EP </t>
  </si>
  <si>
    <t>CHAVEZ GAMBOA ROQUE</t>
  </si>
  <si>
    <t>73241946</t>
  </si>
  <si>
    <t>77566245</t>
  </si>
  <si>
    <t>MONDRAGON PEREZ JAYNS YARLEY</t>
  </si>
  <si>
    <t>75523889</t>
  </si>
  <si>
    <t>46249059</t>
  </si>
  <si>
    <t>CUBAS NUÑEZ GILMER</t>
  </si>
  <si>
    <t>75452035</t>
  </si>
  <si>
    <t>FLORES TINEO, JHOVAN</t>
  </si>
  <si>
    <t>45485936</t>
  </si>
  <si>
    <t>YUPANQUI CCOICCA JULIO CESAR</t>
  </si>
  <si>
    <t>47312284</t>
  </si>
  <si>
    <t>ROSEL LLANQUE YUCRA</t>
  </si>
  <si>
    <t>71561365</t>
  </si>
  <si>
    <t xml:space="preserve">ALCAYAURI CUCHUÑAUPA BERNABE </t>
  </si>
  <si>
    <t>71423781</t>
  </si>
  <si>
    <t>RODRIGO AARON ROCA FLORES</t>
  </si>
  <si>
    <t>MIXSY SANJINEZ BERMEO</t>
  </si>
  <si>
    <t>47713443</t>
  </si>
  <si>
    <t>LUIS ALBERTO ZURITA RIVERA</t>
  </si>
  <si>
    <t>NICOLAS MORE</t>
  </si>
  <si>
    <t>73095622</t>
  </si>
  <si>
    <t>VELASQUEZ ALZAMORA JOSE MIGUEL</t>
  </si>
  <si>
    <t>40029056</t>
  </si>
  <si>
    <t>LEOPOLDO NEIRA CHAMBA</t>
  </si>
  <si>
    <t>FLOR LESCANO ZAPATA</t>
  </si>
  <si>
    <t>45517847</t>
  </si>
  <si>
    <t>CHAVEZ IRAZAVAL RUGGIRI</t>
  </si>
  <si>
    <t>46995464</t>
  </si>
  <si>
    <t>CONDORCALLO CAMA LOURDES</t>
  </si>
  <si>
    <t>RUTH CLARITA CJURO URACCAHUA</t>
  </si>
  <si>
    <t>29409175</t>
  </si>
  <si>
    <t>MANSILLA FLORES GIOVANNA MARIBEL</t>
  </si>
  <si>
    <t>41032897</t>
  </si>
  <si>
    <t>VELASQUEZ ALMEIDA GALO RODOLFO</t>
  </si>
  <si>
    <t>75781848</t>
  </si>
  <si>
    <t>GUPIO DELGADO LLERMIS ESMEÑA</t>
  </si>
  <si>
    <t>74563351</t>
  </si>
  <si>
    <t>FERNANDEZ LLERENA RUFFO LEONARDO</t>
  </si>
  <si>
    <t>70981515</t>
  </si>
  <si>
    <t>CHINCHAYHUARA LOPEZ JASMIN STEFANNY</t>
  </si>
  <si>
    <t>75356882</t>
  </si>
  <si>
    <t>FLORES HUAYHUAS PATRICIA MARIELA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</si>
</sst>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S/.]#,##0.00"/>
    <numFmt numFmtId="165" formatCode="00.0%"/>
    <numFmt numFmtId="166" formatCode="d/MM/yyyy"/>
    <numFmt numFmtId="167" formatCode="dd/mm/yyyy"/>
    <numFmt numFmtId="168" formatCode="dd-mm-yyyy"/>
    <numFmt numFmtId="169" formatCode="dd-mm"/>
  </numFmts>
  <fonts count="33">
    <font>
      <sz val="10.0"/>
      <color rgb="FF000000"/>
      <name val="Arial"/>
      <scheme val="minor"/>
    </font>
    <font>
      <b/>
      <sz val="14.0"/>
      <color rgb="FF002D74"/>
      <name val="Arial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8.0"/>
      <color rgb="FFFFFFFF"/>
      <name val="Arial"/>
      <scheme val="minor"/>
    </font>
    <font>
      <sz val="11.0"/>
      <color rgb="FF000000"/>
      <name val="Calibri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sz val="10.0"/>
      <color rgb="FF000000"/>
      <name val="Roboto"/>
    </font>
    <font>
      <sz val="9.0"/>
      <color rgb="FF000000"/>
      <name val="Roboto"/>
    </font>
    <font>
      <color rgb="FF000000"/>
      <name val="Arial"/>
      <scheme val="minor"/>
    </font>
    <font>
      <sz val="9.0"/>
      <color rgb="FF1F1F1F"/>
      <name val="&quot;Google Sans&quot;"/>
    </font>
    <font>
      <sz val="9.0"/>
      <color rgb="FF000000"/>
      <name val="-apple-system"/>
    </font>
    <font>
      <sz val="9.0"/>
      <color rgb="FF000000"/>
      <name val="Arial"/>
    </font>
    <font>
      <sz val="9.0"/>
      <color rgb="FF000000"/>
      <name val="Arial"/>
      <scheme val="minor"/>
    </font>
    <font>
      <b/>
      <sz val="11.0"/>
      <color rgb="FFFF4F00"/>
      <name val="Calibri"/>
    </font>
    <font>
      <b/>
      <sz val="11.0"/>
      <color rgb="FF002D74"/>
      <name val="Calibri"/>
    </font>
    <font>
      <color rgb="FF000000"/>
      <name val="-apple-system"/>
    </font>
    <font/>
    <font>
      <sz val="9.0"/>
      <color rgb="FF000000"/>
      <name val="&quot;Google Sans&quot;"/>
    </font>
    <font>
      <color rgb="FF000000"/>
      <name val="Arial"/>
    </font>
    <font>
      <sz val="9.0"/>
      <color rgb="FF1F1F1F"/>
      <name val="&quot;Calibri Light&quot;"/>
    </font>
    <font>
      <sz val="9.0"/>
      <color rgb="FF000000"/>
      <name val="&quot;Calibri Light&quot;"/>
    </font>
    <font>
      <color rgb="FF473821"/>
      <name val="Roboto"/>
    </font>
    <font>
      <color rgb="FFB10202"/>
      <name val="Roboto"/>
    </font>
    <font>
      <color rgb="FF753800"/>
      <name val="Roboto"/>
    </font>
    <font>
      <color rgb="FF11734B"/>
      <name val="Roboto"/>
    </font>
    <font>
      <sz val="8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002D74"/>
        <bgColor rgb="FF002D74"/>
      </patternFill>
    </fill>
    <fill>
      <patternFill patternType="solid">
        <fgColor rgb="FFEFEFEF"/>
        <bgColor rgb="FFEFEFEF"/>
      </patternFill>
    </fill>
    <fill>
      <patternFill patternType="solid">
        <fgColor rgb="FFC4090F"/>
        <bgColor rgb="FFC4090F"/>
      </patternFill>
    </fill>
    <fill>
      <patternFill patternType="solid">
        <fgColor rgb="FFFF4F00"/>
        <bgColor rgb="FFFF4F00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E5A0"/>
        <bgColor rgb="FFFFE5A0"/>
      </patternFill>
    </fill>
    <fill>
      <patternFill patternType="solid">
        <fgColor rgb="FFFFCFC9"/>
        <bgColor rgb="FFFFCFC9"/>
      </patternFill>
    </fill>
    <fill>
      <patternFill patternType="solid">
        <fgColor rgb="FFFFC8AA"/>
        <bgColor rgb="FFFFC8AA"/>
      </patternFill>
    </fill>
    <fill>
      <patternFill patternType="solid">
        <fgColor rgb="FFD4EDBC"/>
        <bgColor rgb="FFD4EDB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readingOrder="0" shrinkToFit="0" vertical="center" wrapText="0"/>
    </xf>
    <xf borderId="0" fillId="5" fontId="4" numFmtId="0" xfId="0" applyAlignment="1" applyFill="1" applyFont="1">
      <alignment horizontal="center" readingOrder="0" vertical="center"/>
    </xf>
    <xf borderId="1" fillId="4" fontId="5" numFmtId="164" xfId="0" applyAlignment="1" applyBorder="1" applyFill="1" applyFont="1" applyNumberFormat="1">
      <alignment horizontal="center" readingOrder="0" shrinkToFit="0" vertical="center" wrapText="0"/>
    </xf>
    <xf borderId="2" fillId="6" fontId="6" numFmtId="0" xfId="0" applyAlignment="1" applyBorder="1" applyFill="1" applyFont="1">
      <alignment horizontal="center" readingOrder="0" vertical="center"/>
    </xf>
    <xf borderId="2" fillId="3" fontId="6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shrinkToFit="0" vertical="center" wrapText="0"/>
    </xf>
    <xf borderId="2" fillId="7" fontId="6" numFmtId="0" xfId="0" applyAlignment="1" applyBorder="1" applyFill="1" applyFont="1">
      <alignment horizontal="center" readingOrder="0" vertical="center"/>
    </xf>
    <xf borderId="2" fillId="8" fontId="7" numFmtId="164" xfId="0" applyAlignment="1" applyBorder="1" applyFill="1" applyFont="1" applyNumberFormat="1">
      <alignment horizontal="center" readingOrder="0" vertical="center"/>
    </xf>
    <xf borderId="1" fillId="4" fontId="5" numFmtId="165" xfId="0" applyAlignment="1" applyBorder="1" applyFill="1" applyFont="1" applyNumberFormat="1">
      <alignment horizontal="center" readingOrder="0" shrinkToFit="0" vertical="center" wrapText="0"/>
    </xf>
    <xf borderId="2" fillId="8" fontId="7" numFmtId="164" xfId="0" applyAlignment="1" applyBorder="1" applyFill="1" applyFont="1" applyNumberFormat="1">
      <alignment horizontal="center" vertical="center"/>
    </xf>
    <xf borderId="2" fillId="8" fontId="8" numFmtId="164" xfId="0" applyAlignment="1" applyBorder="1" applyFill="1" applyFont="1" applyNumberFormat="1">
      <alignment horizontal="center" vertical="center"/>
    </xf>
    <xf borderId="2" fillId="9" fontId="6" numFmtId="0" xfId="0" applyAlignment="1" applyBorder="1" applyFill="1" applyFont="1">
      <alignment horizontal="center" readingOrder="0" vertical="center"/>
    </xf>
    <xf borderId="2" fillId="8" fontId="7" numFmtId="0" xfId="0" applyAlignment="1" applyBorder="1" applyFill="1" applyFont="1">
      <alignment horizontal="center" readingOrder="0" vertical="center"/>
    </xf>
    <xf borderId="2" fillId="8" fontId="7" numFmtId="0" xfId="0" applyAlignment="1" applyBorder="1" applyFill="1" applyFont="1">
      <alignment horizontal="center" vertical="center"/>
    </xf>
    <xf borderId="2" fillId="8" fontId="7" numFmtId="10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 shrinkToFit="0" vertical="center" wrapText="0"/>
    </xf>
    <xf borderId="0" fillId="6" fontId="10" numFmtId="0" xfId="0" applyAlignment="1" applyFill="1" applyFont="1">
      <alignment horizontal="center" readingOrder="0" shrinkToFit="0" vertical="center" wrapText="0"/>
    </xf>
    <xf borderId="3" fillId="4" fontId="11" numFmtId="0" xfId="0" applyAlignment="1" applyBorder="1" applyFill="1" applyFont="1">
      <alignment horizontal="center" readingOrder="0" shrinkToFit="0" vertical="center" wrapText="0"/>
    </xf>
    <xf borderId="3" fillId="4" fontId="11" numFmtId="166" xfId="0" applyAlignment="1" applyBorder="1" applyFill="1" applyFont="1" applyNumberFormat="1">
      <alignment horizontal="center" readingOrder="0" shrinkToFit="0" vertical="center" wrapText="0"/>
    </xf>
    <xf borderId="2" fillId="4" fontId="12" numFmtId="0" xfId="0" applyAlignment="1" applyBorder="1" applyFill="1" applyFont="1">
      <alignment horizontal="center" readingOrder="0" shrinkToFit="0" vertical="center" wrapText="0"/>
    </xf>
    <xf borderId="3" fillId="4" fontId="11" numFmtId="0" xfId="0" applyAlignment="1" applyBorder="1" applyFill="1" applyFont="1">
      <alignment horizontal="center" readingOrder="0" shrinkToFit="0" vertical="center" wrapText="0"/>
    </xf>
    <xf borderId="2" fillId="4" fontId="12" numFmtId="166" xfId="0" applyAlignment="1" applyBorder="1" applyFill="1" applyFont="1" applyNumberFormat="1">
      <alignment horizontal="center" readingOrder="0" shrinkToFit="0" vertical="center" wrapText="0"/>
    </xf>
    <xf borderId="2" fillId="4" fontId="12" numFmtId="0" xfId="0" applyAlignment="1" applyBorder="1" applyFill="1" applyFont="1">
      <alignment horizontal="center" readingOrder="0" shrinkToFit="0" vertical="center" wrapText="0"/>
    </xf>
    <xf borderId="3" fillId="4" fontId="11" numFmtId="49" xfId="0" applyAlignment="1" applyBorder="1" applyFill="1" applyFont="1" applyNumberFormat="1">
      <alignment horizontal="center" readingOrder="0" shrinkToFit="0" vertical="center" wrapText="0"/>
    </xf>
    <xf borderId="3" fillId="4" fontId="10" numFmtId="164" xfId="0" applyAlignment="1" applyBorder="1" applyFill="1" applyFont="1" applyNumberFormat="1">
      <alignment horizontal="center" readingOrder="0" shrinkToFit="0" vertical="center" wrapText="0"/>
    </xf>
    <xf borderId="2" fillId="4" fontId="13" numFmtId="166" xfId="0" applyAlignment="1" applyBorder="1" applyFill="1" applyFont="1" applyNumberFormat="1">
      <alignment horizontal="center" readingOrder="0" shrinkToFit="0" vertical="center" wrapText="0"/>
    </xf>
    <xf borderId="2" fillId="4" fontId="13" numFmtId="0" xfId="0" applyAlignment="1" applyBorder="1" applyFill="1" applyFont="1">
      <alignment horizontal="center" readingOrder="0" shrinkToFit="0" vertical="center" wrapText="0"/>
    </xf>
    <xf borderId="2" fillId="4" fontId="14" numFmtId="49" xfId="0" applyAlignment="1" applyBorder="1" applyFill="1" applyFont="1" applyNumberFormat="1">
      <alignment horizontal="center" readingOrder="0" shrinkToFit="0" vertical="center" wrapText="0"/>
    </xf>
    <xf borderId="3" fillId="4" fontId="11" numFmtId="167" xfId="0" applyAlignment="1" applyBorder="1" applyFill="1" applyFont="1" applyNumberFormat="1">
      <alignment horizontal="center" readingOrder="0" shrinkToFit="0" vertical="center" wrapText="0"/>
    </xf>
    <xf borderId="3" fillId="4" fontId="11" numFmtId="49" xfId="0" applyAlignment="1" applyBorder="1" applyFill="1" applyFont="1" applyNumberFormat="1">
      <alignment horizontal="left" readingOrder="0" shrinkToFit="0" vertical="center" wrapText="0"/>
    </xf>
    <xf borderId="3" fillId="4" fontId="11" numFmtId="0" xfId="0" applyAlignment="1" applyBorder="1" applyFill="1" applyFont="1">
      <alignment horizontal="center" readingOrder="0" shrinkToFit="0" vertical="center" wrapText="0"/>
    </xf>
    <xf borderId="2" fillId="4" fontId="13" numFmtId="0" xfId="0" applyAlignment="1" applyBorder="1" applyFill="1" applyFont="1">
      <alignment horizontal="center" readingOrder="0" shrinkToFit="0" vertical="center" wrapText="0"/>
    </xf>
    <xf borderId="3" fillId="4" fontId="11" numFmtId="0" xfId="0" applyAlignment="1" applyBorder="1" applyFill="1" applyFont="1">
      <alignment horizontal="center" shrinkToFit="0" vertical="center" wrapText="0"/>
    </xf>
    <xf borderId="2" fillId="4" fontId="14" numFmtId="164" xfId="0" applyAlignment="1" applyBorder="1" applyFill="1" applyFont="1" applyNumberFormat="1">
      <alignment horizontal="center" readingOrder="0" shrinkToFit="0" vertical="center" wrapText="0"/>
    </xf>
    <xf borderId="3" fillId="4" fontId="11" numFmtId="0" xfId="0" applyAlignment="1" applyBorder="1" applyFill="1" applyFont="1">
      <alignment horizontal="center" shrinkToFit="0" vertical="center" wrapText="0"/>
    </xf>
    <xf borderId="2" fillId="4" fontId="14" numFmtId="0" xfId="0" applyAlignment="1" applyBorder="1" applyFill="1" applyFont="1">
      <alignment horizontal="center" readingOrder="0" shrinkToFit="0" vertical="center" wrapText="0"/>
    </xf>
    <xf borderId="2" fillId="4" fontId="12" numFmtId="0" xfId="0" applyAlignment="1" applyBorder="1" applyFill="1" applyFont="1">
      <alignment horizontal="center" readingOrder="0" shrinkToFit="0" vertical="center" wrapText="0"/>
    </xf>
    <xf borderId="2" fillId="4" fontId="15" numFmtId="0" xfId="0" applyAlignment="1" applyBorder="1" applyFill="1" applyFont="1">
      <alignment horizontal="center" shrinkToFit="0" vertical="center" wrapText="0"/>
    </xf>
    <xf borderId="2" fillId="4" fontId="15" numFmtId="0" xfId="0" applyAlignment="1" applyBorder="1" applyFill="1" applyFont="1">
      <alignment horizontal="center" shrinkToFit="0" vertical="center" wrapText="0"/>
    </xf>
    <xf borderId="2" fillId="4" fontId="15" numFmtId="0" xfId="0" applyAlignment="1" applyBorder="1" applyFill="1" applyFont="1">
      <alignment horizontal="center" readingOrder="0" shrinkToFit="0" vertical="center" wrapText="0"/>
    </xf>
    <xf borderId="2" fillId="4" fontId="12" numFmtId="166" xfId="0" applyAlignment="1" applyBorder="1" applyFill="1" applyFont="1" applyNumberFormat="1">
      <alignment horizontal="center" shrinkToFit="0" vertical="center" wrapText="0"/>
    </xf>
    <xf borderId="2" fillId="4" fontId="16" numFmtId="49" xfId="0" applyAlignment="1" applyBorder="1" applyFill="1" applyFont="1" applyNumberFormat="1">
      <alignment horizontal="center" readingOrder="0" shrinkToFit="0" vertical="center" wrapText="0"/>
    </xf>
    <xf borderId="3" fillId="4" fontId="16" numFmtId="49" xfId="0" applyAlignment="1" applyBorder="1" applyFill="1" applyFont="1" applyNumberFormat="1">
      <alignment readingOrder="0" shrinkToFit="0" vertical="center" wrapText="0"/>
    </xf>
    <xf borderId="2" fillId="4" fontId="12" numFmtId="0" xfId="0" applyAlignment="1" applyBorder="1" applyFill="1" applyFont="1">
      <alignment horizontal="center" shrinkToFit="0" vertical="center" wrapText="0"/>
    </xf>
    <xf borderId="4" fillId="4" fontId="12" numFmtId="166" xfId="0" applyAlignment="1" applyBorder="1" applyFill="1" applyFont="1" applyNumberFormat="1">
      <alignment horizontal="center" readingOrder="0" shrinkToFit="0" vertical="center" wrapText="0"/>
    </xf>
    <xf borderId="5" fillId="4" fontId="12" numFmtId="166" xfId="0" applyAlignment="1" applyBorder="1" applyFill="1" applyFont="1" applyNumberFormat="1">
      <alignment horizontal="center" readingOrder="0" shrinkToFit="0" vertical="center" wrapText="0"/>
    </xf>
    <xf borderId="6" fillId="4" fontId="16" numFmtId="49" xfId="0" applyAlignment="1" applyBorder="1" applyFill="1" applyFont="1" applyNumberFormat="1">
      <alignment horizontal="center" readingOrder="0" shrinkToFit="0" vertical="center" wrapText="0"/>
    </xf>
    <xf borderId="7" fillId="4" fontId="16" numFmtId="49" xfId="0" applyAlignment="1" applyBorder="1" applyFill="1" applyFont="1" applyNumberFormat="1">
      <alignment readingOrder="0" shrinkToFit="0" vertical="center" wrapText="0"/>
    </xf>
    <xf borderId="4" fillId="4" fontId="12" numFmtId="0" xfId="0" applyAlignment="1" applyBorder="1" applyFill="1" applyFont="1">
      <alignment horizontal="center" readingOrder="0" shrinkToFit="0" vertical="center" wrapText="0"/>
    </xf>
    <xf borderId="4" fillId="4" fontId="12" numFmtId="0" xfId="0" applyAlignment="1" applyBorder="1" applyFill="1" applyFont="1">
      <alignment horizontal="center" readingOrder="0" shrinkToFit="0" vertical="center" wrapText="0"/>
    </xf>
    <xf borderId="2" fillId="4" fontId="17" numFmtId="164" xfId="0" applyAlignment="1" applyBorder="1" applyFill="1" applyFont="1" applyNumberFormat="1">
      <alignment horizontal="center" readingOrder="0" shrinkToFit="0" vertical="center" wrapText="0"/>
    </xf>
    <xf borderId="2" fillId="4" fontId="11" numFmtId="166" xfId="0" applyAlignment="1" applyBorder="1" applyFill="1" applyFont="1" applyNumberFormat="1">
      <alignment horizontal="center" readingOrder="0" shrinkToFit="0" vertical="center" wrapText="0"/>
    </xf>
    <xf borderId="8" fillId="4" fontId="15" numFmtId="0" xfId="0" applyAlignment="1" applyBorder="1" applyFill="1" applyFont="1">
      <alignment horizontal="center" readingOrder="0" shrinkToFit="0" vertical="center" wrapText="0"/>
    </xf>
    <xf borderId="9" fillId="4" fontId="15" numFmtId="166" xfId="0" applyAlignment="1" applyBorder="1" applyFill="1" applyFont="1" applyNumberFormat="1">
      <alignment horizontal="center" shrinkToFit="0" vertical="center" wrapText="0"/>
    </xf>
    <xf borderId="9" fillId="10" fontId="16" numFmtId="49" xfId="0" applyAlignment="1" applyBorder="1" applyFill="1" applyFont="1" applyNumberFormat="1">
      <alignment horizontal="center" readingOrder="0" shrinkToFit="0" vertical="center" wrapText="0"/>
    </xf>
    <xf borderId="9" fillId="4" fontId="11" numFmtId="49" xfId="0" applyAlignment="1" applyBorder="1" applyFill="1" applyFont="1" applyNumberFormat="1">
      <alignment horizontal="left" readingOrder="0" shrinkToFit="0" vertical="center" wrapText="0"/>
    </xf>
    <xf borderId="9" fillId="4" fontId="13" numFmtId="0" xfId="0" applyAlignment="1" applyBorder="1" applyFill="1" applyFont="1">
      <alignment horizontal="center" readingOrder="0" shrinkToFit="0" vertical="center" wrapText="0"/>
    </xf>
    <xf borderId="9" fillId="4" fontId="15" numFmtId="0" xfId="0" applyAlignment="1" applyBorder="1" applyFill="1" applyFont="1">
      <alignment horizontal="center" readingOrder="0" shrinkToFit="0" vertical="center" wrapText="0"/>
    </xf>
    <xf borderId="10" fillId="10" fontId="18" numFmtId="164" xfId="0" applyAlignment="1" applyBorder="1" applyFill="1" applyFont="1" applyNumberFormat="1">
      <alignment horizontal="center" readingOrder="0" shrinkToFit="0" vertical="center" wrapText="0"/>
    </xf>
    <xf borderId="2" fillId="4" fontId="19" numFmtId="0" xfId="0" applyAlignment="1" applyBorder="1" applyFill="1" applyFont="1">
      <alignment horizontal="center" readingOrder="0" shrinkToFit="0" vertical="center" wrapText="0"/>
    </xf>
    <xf borderId="8" fillId="4" fontId="12" numFmtId="0" xfId="0" applyAlignment="1" applyBorder="1" applyFill="1" applyFont="1">
      <alignment horizontal="center" readingOrder="0" shrinkToFit="0" vertical="center" wrapText="0"/>
    </xf>
    <xf borderId="9" fillId="4" fontId="13" numFmtId="166" xfId="0" applyAlignment="1" applyBorder="1" applyFill="1" applyFont="1" applyNumberFormat="1">
      <alignment horizontal="center" readingOrder="0" shrinkToFit="0" vertical="center" wrapText="0"/>
    </xf>
    <xf borderId="9" fillId="4" fontId="14" numFmtId="49" xfId="0" applyAlignment="1" applyBorder="1" applyFill="1" applyFont="1" applyNumberFormat="1">
      <alignment horizontal="center" readingOrder="0" shrinkToFit="0" vertical="center" wrapText="0"/>
    </xf>
    <xf borderId="0" fillId="4" fontId="16" numFmtId="49" xfId="0" applyAlignment="1" applyFill="1" applyFont="1" applyNumberFormat="1">
      <alignment readingOrder="0" shrinkToFit="0" vertical="center" wrapText="0"/>
    </xf>
    <xf borderId="4" fillId="4" fontId="13" numFmtId="0" xfId="0" applyAlignment="1" applyBorder="1" applyFill="1" applyFont="1">
      <alignment horizontal="center" readingOrder="0" shrinkToFit="0" vertical="center" wrapText="0"/>
    </xf>
    <xf borderId="9" fillId="4" fontId="13" numFmtId="0" xfId="0" applyAlignment="1" applyBorder="1" applyFill="1" applyFont="1">
      <alignment horizontal="center" readingOrder="0" shrinkToFit="0" vertical="center" wrapText="0"/>
    </xf>
    <xf borderId="10" fillId="4" fontId="14" numFmtId="164" xfId="0" applyAlignment="1" applyBorder="1" applyFill="1" applyFont="1" applyNumberFormat="1">
      <alignment horizontal="center" readingOrder="0" shrinkToFit="0" vertical="center" wrapText="0"/>
    </xf>
    <xf borderId="9" fillId="4" fontId="12" numFmtId="166" xfId="0" applyAlignment="1" applyBorder="1" applyFill="1" applyFont="1" applyNumberFormat="1">
      <alignment horizontal="center" readingOrder="0" shrinkToFit="0" vertical="center" wrapText="0"/>
    </xf>
    <xf borderId="9" fillId="4" fontId="12" numFmtId="0" xfId="0" applyAlignment="1" applyBorder="1" applyFill="1" applyFont="1">
      <alignment horizontal="center" readingOrder="0" shrinkToFit="0" vertical="center" wrapText="0"/>
    </xf>
    <xf borderId="9" fillId="4" fontId="12" numFmtId="0" xfId="0" applyAlignment="1" applyBorder="1" applyFill="1" applyFont="1">
      <alignment horizontal="center" readingOrder="0" shrinkToFit="0" vertical="center" wrapText="0"/>
    </xf>
    <xf borderId="0" fillId="4" fontId="14" numFmtId="164" xfId="0" applyAlignment="1" applyFill="1" applyFont="1" applyNumberFormat="1">
      <alignment horizontal="center" readingOrder="0" shrinkToFit="0" vertical="center" wrapText="0"/>
    </xf>
    <xf borderId="1" fillId="4" fontId="5" numFmtId="3" xfId="0" applyAlignment="1" applyBorder="1" applyFill="1" applyFont="1" applyNumberFormat="1">
      <alignment horizontal="center" readingOrder="0" shrinkToFit="0" vertical="center" wrapText="0"/>
    </xf>
    <xf borderId="2" fillId="4" fontId="15" numFmtId="166" xfId="0" applyAlignment="1" applyBorder="1" applyFill="1" applyFont="1" applyNumberFormat="1">
      <alignment horizontal="center" readingOrder="0" shrinkToFit="0" vertical="center" wrapText="0"/>
    </xf>
    <xf borderId="9" fillId="4" fontId="15" numFmtId="0" xfId="0" applyAlignment="1" applyBorder="1" applyFill="1" applyFont="1">
      <alignment horizontal="center" readingOrder="0" shrinkToFit="0" vertical="center" wrapText="0"/>
    </xf>
    <xf borderId="9" fillId="11" fontId="15" numFmtId="166" xfId="0" applyAlignment="1" applyBorder="1" applyFill="1" applyFont="1" applyNumberFormat="1">
      <alignment horizontal="center" shrinkToFit="0" vertical="center" wrapText="0"/>
    </xf>
    <xf borderId="9" fillId="4" fontId="16" numFmtId="49" xfId="0" applyAlignment="1" applyBorder="1" applyFill="1" applyFont="1" applyNumberFormat="1">
      <alignment horizontal="center" readingOrder="0" shrinkToFit="0" vertical="center" wrapText="0"/>
    </xf>
    <xf borderId="9" fillId="4" fontId="16" numFmtId="49" xfId="0" applyAlignment="1" applyBorder="1" applyFill="1" applyFont="1" applyNumberFormat="1">
      <alignment horizontal="left" readingOrder="0" shrinkToFit="0" vertical="center" wrapText="0"/>
    </xf>
    <xf borderId="10" fillId="4" fontId="13" numFmtId="164" xfId="0" applyAlignment="1" applyBorder="1" applyFill="1" applyFont="1" applyNumberFormat="1">
      <alignment horizontal="center" readingOrder="0" shrinkToFit="0" vertical="center" wrapText="0"/>
    </xf>
    <xf borderId="9" fillId="4" fontId="15" numFmtId="166" xfId="0" applyAlignment="1" applyBorder="1" applyFill="1" applyFont="1" applyNumberFormat="1">
      <alignment horizontal="center" readingOrder="0" shrinkToFit="0" vertical="center" wrapText="0"/>
    </xf>
    <xf borderId="1" fillId="12" fontId="20" numFmtId="0" xfId="0" applyAlignment="1" applyBorder="1" applyFill="1" applyFont="1">
      <alignment readingOrder="0" shrinkToFit="0" vertical="center" wrapText="0"/>
    </xf>
    <xf borderId="9" fillId="11" fontId="15" numFmtId="166" xfId="0" applyAlignment="1" applyBorder="1" applyFill="1" applyFont="1" applyNumberFormat="1">
      <alignment horizontal="center" readingOrder="0" shrinkToFit="0" vertical="center" wrapText="0"/>
    </xf>
    <xf borderId="1" fillId="12" fontId="20" numFmtId="0" xfId="0" applyAlignment="1" applyBorder="1" applyFill="1" applyFont="1">
      <alignment vertical="center"/>
    </xf>
    <xf borderId="4" fillId="4" fontId="15" numFmtId="0" xfId="0" applyAlignment="1" applyBorder="1" applyFill="1" applyFont="1">
      <alignment horizontal="center" readingOrder="0" shrinkToFit="0" vertical="center" wrapText="0"/>
    </xf>
    <xf borderId="1" fillId="13" fontId="21" numFmtId="164" xfId="0" applyAlignment="1" applyBorder="1" applyFill="1" applyFont="1" applyNumberFormat="1">
      <alignment horizontal="center" readingOrder="0" shrinkToFit="0" vertical="center" wrapText="0"/>
    </xf>
    <xf borderId="0" fillId="10" fontId="22" numFmtId="164" xfId="0" applyAlignment="1" applyFill="1" applyFont="1" applyNumberFormat="1">
      <alignment horizontal="center" readingOrder="0" shrinkToFit="0" vertical="center" wrapText="0"/>
    </xf>
    <xf borderId="1" fillId="13" fontId="21" numFmtId="0" xfId="0" applyAlignment="1" applyBorder="1" applyFill="1" applyFont="1">
      <alignment horizontal="center" readingOrder="0" shrinkToFit="0" vertical="center" wrapText="0"/>
    </xf>
    <xf borderId="1" fillId="12" fontId="20" numFmtId="164" xfId="0" applyAlignment="1" applyBorder="1" applyFill="1" applyFont="1" applyNumberFormat="1">
      <alignment horizontal="center" readingOrder="0" shrinkToFit="0" vertical="center" wrapText="0"/>
    </xf>
    <xf borderId="2" fillId="4" fontId="15" numFmtId="0" xfId="0" applyAlignment="1" applyBorder="1" applyFill="1" applyFont="1">
      <alignment horizontal="center" readingOrder="0" shrinkToFit="0" vertical="center" wrapText="0"/>
    </xf>
    <xf borderId="3" fillId="4" fontId="11" numFmtId="166" xfId="0" applyAlignment="1" applyBorder="1" applyFill="1" applyFont="1" applyNumberFormat="1">
      <alignment horizontal="center" shrinkToFit="0" vertical="center" wrapText="0"/>
    </xf>
    <xf borderId="1" fillId="12" fontId="20" numFmtId="165" xfId="0" applyAlignment="1" applyBorder="1" applyFill="1" applyFont="1" applyNumberFormat="1">
      <alignment horizontal="center" readingOrder="0" shrinkToFit="0" vertical="center" wrapText="0"/>
    </xf>
    <xf borderId="1" fillId="12" fontId="20" numFmtId="0" xfId="0" applyAlignment="1" applyBorder="1" applyFill="1" applyFont="1">
      <alignment horizontal="center" readingOrder="0" shrinkToFit="0" vertical="center" wrapText="0"/>
    </xf>
    <xf borderId="3" fillId="4" fontId="11" numFmtId="49" xfId="0" applyAlignment="1" applyBorder="1" applyFill="1" applyFont="1" applyNumberFormat="1">
      <alignment horizontal="center" shrinkToFit="0" vertical="center" wrapText="0"/>
    </xf>
    <xf borderId="11" fillId="2" fontId="2" numFmtId="0" xfId="0" applyAlignment="1" applyBorder="1" applyFill="1" applyFont="1">
      <alignment readingOrder="0" shrinkToFit="0" vertical="center" wrapText="0"/>
    </xf>
    <xf borderId="12" fillId="0" fontId="23" numFmtId="0" xfId="0" applyBorder="1" applyFont="1"/>
    <xf borderId="11" fillId="4" fontId="3" numFmtId="0" xfId="0" applyAlignment="1" applyBorder="1" applyFill="1" applyFont="1">
      <alignment readingOrder="0" shrinkToFit="0" vertical="center" wrapText="0"/>
    </xf>
    <xf borderId="9" fillId="4" fontId="17" numFmtId="49" xfId="0" applyAlignment="1" applyBorder="1" applyFill="1" applyFont="1" applyNumberFormat="1">
      <alignment horizontal="center" readingOrder="0" shrinkToFit="0" vertical="center" wrapText="0"/>
    </xf>
    <xf borderId="9" fillId="4" fontId="16" numFmtId="49" xfId="0" applyAlignment="1" applyBorder="1" applyFill="1" applyFont="1" applyNumberFormat="1">
      <alignment readingOrder="0" shrinkToFit="0" vertical="center" wrapText="0"/>
    </xf>
    <xf borderId="0" fillId="4" fontId="22" numFmtId="164" xfId="0" applyAlignment="1" applyFill="1" applyFont="1" applyNumberFormat="1">
      <alignment horizontal="center" readingOrder="0" shrinkToFit="0" vertical="center" wrapText="0"/>
    </xf>
    <xf borderId="10" fillId="4" fontId="22" numFmtId="164" xfId="0" applyAlignment="1" applyBorder="1" applyFill="1" applyFont="1" applyNumberFormat="1">
      <alignment horizontal="center" readingOrder="0" shrinkToFit="0" vertical="center" wrapText="0"/>
    </xf>
    <xf borderId="3" fillId="4" fontId="10" numFmtId="164" xfId="0" applyAlignment="1" applyBorder="1" applyFill="1" applyFont="1" applyNumberFormat="1">
      <alignment horizontal="center" shrinkToFit="0" vertical="center" wrapText="0"/>
    </xf>
    <xf borderId="9" fillId="4" fontId="19" numFmtId="166" xfId="0" applyAlignment="1" applyBorder="1" applyFill="1" applyFont="1" applyNumberFormat="1">
      <alignment horizontal="center" readingOrder="0" shrinkToFit="0" vertical="center" wrapText="0"/>
    </xf>
    <xf borderId="9" fillId="10" fontId="16" numFmtId="49" xfId="0" applyAlignment="1" applyBorder="1" applyFill="1" applyFont="1" applyNumberFormat="1">
      <alignment readingOrder="0" shrinkToFit="0" vertical="center" wrapText="0"/>
    </xf>
    <xf borderId="13" fillId="4" fontId="15" numFmtId="0" xfId="0" applyAlignment="1" applyBorder="1" applyFill="1" applyFont="1">
      <alignment horizontal="center" readingOrder="0" shrinkToFit="0" vertical="center" wrapText="0"/>
    </xf>
    <xf borderId="11" fillId="12" fontId="20" numFmtId="0" xfId="0" applyAlignment="1" applyBorder="1" applyFill="1" applyFont="1">
      <alignment readingOrder="0" shrinkToFit="0" vertical="center" wrapText="0"/>
    </xf>
    <xf borderId="9" fillId="4" fontId="12" numFmtId="166" xfId="0" applyAlignment="1" applyBorder="1" applyFill="1" applyFont="1" applyNumberFormat="1">
      <alignment horizontal="center" shrinkToFit="0" vertical="center" wrapText="0"/>
    </xf>
    <xf borderId="10" fillId="4" fontId="12" numFmtId="0" xfId="0" applyAlignment="1" applyBorder="1" applyFill="1" applyFont="1">
      <alignment horizontal="center" readingOrder="0" shrinkToFit="0" vertical="center" wrapText="0"/>
    </xf>
    <xf borderId="9" fillId="4" fontId="19" numFmtId="49" xfId="0" applyAlignment="1" applyBorder="1" applyFill="1" applyFont="1" applyNumberFormat="1">
      <alignment horizontal="left" readingOrder="0" shrinkToFit="0" vertical="center" wrapText="0"/>
    </xf>
    <xf borderId="10" fillId="4" fontId="15" numFmtId="0" xfId="0" applyAlignment="1" applyBorder="1" applyFill="1" applyFont="1">
      <alignment horizontal="center" readingOrder="0" shrinkToFit="0" vertical="center" wrapText="0"/>
    </xf>
    <xf borderId="0" fillId="4" fontId="15" numFmtId="164" xfId="0" applyAlignment="1" applyFill="1" applyFont="1" applyNumberFormat="1">
      <alignment horizontal="center" readingOrder="0" shrinkToFit="0" vertical="center" wrapText="0"/>
    </xf>
    <xf borderId="2" fillId="4" fontId="15" numFmtId="164" xfId="0" applyAlignment="1" applyBorder="1" applyFill="1" applyFont="1" applyNumberFormat="1">
      <alignment horizontal="center" readingOrder="0" shrinkToFit="0" vertical="center" wrapText="0"/>
    </xf>
    <xf borderId="14" fillId="4" fontId="15" numFmtId="166" xfId="0" applyAlignment="1" applyBorder="1" applyFill="1" applyFont="1" applyNumberFormat="1">
      <alignment horizontal="center" readingOrder="0" shrinkToFit="0" vertical="center" wrapText="0"/>
    </xf>
    <xf borderId="14" fillId="4" fontId="15" numFmtId="166" xfId="0" applyAlignment="1" applyBorder="1" applyFill="1" applyFont="1" applyNumberFormat="1">
      <alignment horizontal="center" shrinkToFit="0" vertical="center" wrapText="0"/>
    </xf>
    <xf borderId="14" fillId="4" fontId="24" numFmtId="49" xfId="0" applyAlignment="1" applyBorder="1" applyFill="1" applyFont="1" applyNumberFormat="1">
      <alignment horizontal="center" readingOrder="0" shrinkToFit="0" vertical="center" wrapText="0"/>
    </xf>
    <xf borderId="14" fillId="4" fontId="24" numFmtId="49" xfId="0" applyAlignment="1" applyBorder="1" applyFill="1" applyFont="1" applyNumberFormat="1">
      <alignment readingOrder="0" shrinkToFit="0" vertical="center" wrapText="0"/>
    </xf>
    <xf borderId="2" fillId="4" fontId="15" numFmtId="166" xfId="0" applyAlignment="1" applyBorder="1" applyFill="1" applyFont="1" applyNumberFormat="1">
      <alignment horizontal="center" shrinkToFit="0" vertical="center" wrapText="0"/>
    </xf>
    <xf borderId="2" fillId="4" fontId="24" numFmtId="49" xfId="0" applyAlignment="1" applyBorder="1" applyFill="1" applyFont="1" applyNumberFormat="1">
      <alignment horizontal="center" readingOrder="0" shrinkToFit="0" vertical="center" wrapText="0"/>
    </xf>
    <xf borderId="2" fillId="4" fontId="24" numFmtId="49" xfId="0" applyAlignment="1" applyBorder="1" applyFill="1" applyFont="1" applyNumberFormat="1">
      <alignment readingOrder="0" shrinkToFit="0" vertical="center" wrapText="0"/>
    </xf>
    <xf borderId="2" fillId="4" fontId="25" numFmtId="164" xfId="0" applyAlignment="1" applyBorder="1" applyFill="1" applyFont="1" applyNumberFormat="1">
      <alignment horizontal="center" readingOrder="0" shrinkToFit="0" vertical="center" wrapText="0"/>
    </xf>
    <xf borderId="2" fillId="4" fontId="25" numFmtId="164" xfId="0" applyAlignment="1" applyBorder="1" applyFill="1" applyFont="1" applyNumberFormat="1">
      <alignment horizontal="center" readingOrder="0" shrinkToFit="0" vertical="center" wrapText="0"/>
    </xf>
    <xf borderId="2" fillId="4" fontId="15" numFmtId="49" xfId="0" applyAlignment="1" applyBorder="1" applyFill="1" applyFont="1" applyNumberFormat="1">
      <alignment horizontal="center" readingOrder="0" shrinkToFit="0" vertical="center" wrapText="0"/>
    </xf>
    <xf borderId="15" fillId="4" fontId="11" numFmtId="49" xfId="0" applyAlignment="1" applyBorder="1" applyFill="1" applyFont="1" applyNumberFormat="1">
      <alignment horizontal="center" readingOrder="0" shrinkToFit="0" vertical="center" wrapText="0"/>
    </xf>
    <xf borderId="16" fillId="4" fontId="11" numFmtId="49" xfId="0" applyAlignment="1" applyBorder="1" applyFill="1" applyFont="1" applyNumberFormat="1">
      <alignment horizontal="center" readingOrder="0" shrinkToFit="0" vertical="center" wrapText="0"/>
    </xf>
    <xf borderId="2" fillId="4" fontId="19" numFmtId="166" xfId="0" applyAlignment="1" applyBorder="1" applyFill="1" applyFont="1" applyNumberFormat="1">
      <alignment horizontal="center" shrinkToFit="0" vertical="center" wrapText="0"/>
    </xf>
    <xf borderId="3" fillId="4" fontId="11" numFmtId="0" xfId="0" applyAlignment="1" applyBorder="1" applyFill="1" applyFont="1">
      <alignment shrinkToFit="0" vertical="center" wrapText="0"/>
    </xf>
    <xf borderId="17" fillId="4" fontId="11" numFmtId="166" xfId="0" applyAlignment="1" applyBorder="1" applyFill="1" applyFont="1" applyNumberFormat="1">
      <alignment horizontal="center" readingOrder="0" shrinkToFit="0" vertical="center" wrapText="0"/>
    </xf>
    <xf borderId="9" fillId="0" fontId="26" numFmtId="49" xfId="0" applyAlignment="1" applyBorder="1" applyFont="1" applyNumberFormat="1">
      <alignment horizontal="center" readingOrder="0" shrinkToFit="0" vertical="center" wrapText="0"/>
    </xf>
    <xf borderId="18" fillId="4" fontId="11" numFmtId="0" xfId="0" applyAlignment="1" applyBorder="1" applyFill="1" applyFont="1">
      <alignment horizontal="center" readingOrder="0" shrinkToFit="0" vertical="center" wrapText="0"/>
    </xf>
    <xf borderId="3" fillId="4" fontId="11" numFmtId="0" xfId="0" applyAlignment="1" applyBorder="1" applyFill="1" applyFont="1">
      <alignment readingOrder="0" shrinkToFit="0" vertical="center" wrapText="0"/>
    </xf>
    <xf borderId="4" fillId="4" fontId="24" numFmtId="49" xfId="0" applyAlignment="1" applyBorder="1" applyFill="1" applyFont="1" applyNumberFormat="1">
      <alignment horizontal="center" readingOrder="0" shrinkToFit="0" vertical="center" wrapText="0"/>
    </xf>
    <xf borderId="4" fillId="4" fontId="24" numFmtId="49" xfId="0" applyAlignment="1" applyBorder="1" applyFill="1" applyFont="1" applyNumberFormat="1">
      <alignment readingOrder="0" shrinkToFit="0" vertical="center" wrapText="0"/>
    </xf>
    <xf borderId="3" fillId="4" fontId="11" numFmtId="168" xfId="0" applyAlignment="1" applyBorder="1" applyFill="1" applyFont="1" applyNumberFormat="1">
      <alignment horizontal="center" readingOrder="0" shrinkToFit="0" vertical="center" wrapText="0"/>
    </xf>
    <xf borderId="2" fillId="4" fontId="22" numFmtId="164" xfId="0" applyAlignment="1" applyBorder="1" applyFill="1" applyFont="1" applyNumberFormat="1">
      <alignment horizontal="center" readingOrder="0" shrinkToFit="0" vertical="center" wrapText="0"/>
    </xf>
    <xf borderId="8" fillId="4" fontId="15" numFmtId="166" xfId="0" applyAlignment="1" applyBorder="1" applyFill="1" applyFont="1" applyNumberFormat="1">
      <alignment horizontal="center" shrinkToFit="0" vertical="center" wrapText="0"/>
    </xf>
    <xf borderId="10" fillId="4" fontId="15" numFmtId="0" xfId="0" applyAlignment="1" applyBorder="1" applyFill="1" applyFont="1">
      <alignment horizontal="center" readingOrder="0" shrinkToFit="0" vertical="center" wrapText="0"/>
    </xf>
    <xf borderId="2" fillId="4" fontId="15" numFmtId="0" xfId="0" applyAlignment="1" applyBorder="1" applyFill="1" applyFont="1">
      <alignment horizontal="center" readingOrder="0" shrinkToFit="0" vertical="center" wrapText="0"/>
    </xf>
    <xf borderId="14" fillId="4" fontId="15" numFmtId="49" xfId="0" applyAlignment="1" applyBorder="1" applyFill="1" applyFont="1" applyNumberFormat="1">
      <alignment horizontal="center" shrinkToFit="0" vertical="center" wrapText="0"/>
    </xf>
    <xf borderId="2" fillId="4" fontId="15" numFmtId="164" xfId="0" applyAlignment="1" applyBorder="1" applyFill="1" applyFont="1" applyNumberFormat="1">
      <alignment horizontal="center" shrinkToFit="0" vertical="center" wrapText="0"/>
    </xf>
    <xf borderId="9" fillId="0" fontId="27" numFmtId="49" xfId="0" applyAlignment="1" applyBorder="1" applyFont="1" applyNumberFormat="1">
      <alignment horizontal="center" readingOrder="0" shrinkToFit="0" vertical="center" wrapText="0"/>
    </xf>
    <xf borderId="2" fillId="4" fontId="15" numFmtId="49" xfId="0" applyAlignment="1" applyBorder="1" applyFill="1" applyFont="1" applyNumberFormat="1">
      <alignment horizontal="center" shrinkToFit="0" vertical="center" wrapText="0"/>
    </xf>
    <xf borderId="0" fillId="0" fontId="11" numFmtId="166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bottom" wrapText="0"/>
    </xf>
    <xf borderId="3" fillId="14" fontId="28" numFmtId="0" xfId="0" applyAlignment="1" applyBorder="1" applyFill="1" applyFont="1">
      <alignment horizontal="center" readingOrder="0" shrinkToFit="0" vertical="center" wrapText="0"/>
    </xf>
    <xf borderId="3" fillId="15" fontId="29" numFmtId="0" xfId="0" applyAlignment="1" applyBorder="1" applyFill="1" applyFont="1">
      <alignment horizontal="center" readingOrder="0" shrinkToFit="0" vertical="center" wrapText="0"/>
    </xf>
    <xf borderId="3" fillId="4" fontId="11" numFmtId="164" xfId="0" applyAlignment="1" applyBorder="1" applyFill="1" applyFont="1" applyNumberFormat="1">
      <alignment horizontal="center" readingOrder="0" shrinkToFit="0" vertical="center" wrapText="0"/>
    </xf>
    <xf borderId="3" fillId="16" fontId="30" numFmtId="0" xfId="0" applyAlignment="1" applyBorder="1" applyFill="1" applyFont="1">
      <alignment horizontal="center" shrinkToFit="0" vertical="center" wrapText="0"/>
    </xf>
    <xf borderId="3" fillId="17" fontId="31" numFmtId="0" xfId="0" applyAlignment="1" applyBorder="1" applyFill="1" applyFont="1">
      <alignment horizontal="center" readingOrder="0" shrinkToFit="0" vertical="center" wrapText="0"/>
    </xf>
    <xf borderId="3" fillId="18" fontId="11" numFmtId="49" xfId="0" applyAlignment="1" applyBorder="1" applyFill="1" applyFont="1" applyNumberFormat="1">
      <alignment horizontal="center" readingOrder="0" shrinkToFit="0" vertical="center" wrapText="0"/>
    </xf>
    <xf borderId="3" fillId="19" fontId="11" numFmtId="49" xfId="0" applyAlignment="1" applyBorder="1" applyFill="1" applyFont="1" applyNumberFormat="1">
      <alignment horizontal="center" readingOrder="0" shrinkToFit="0" vertical="center" wrapText="0"/>
    </xf>
    <xf borderId="3" fillId="10" fontId="11" numFmtId="49" xfId="0" applyAlignment="1" applyBorder="1" applyFill="1" applyFont="1" applyNumberFormat="1">
      <alignment horizontal="center" readingOrder="0" shrinkToFit="0" vertical="center" wrapText="0"/>
    </xf>
    <xf borderId="0" fillId="0" fontId="11" numFmtId="0" xfId="0" applyAlignment="1" applyFont="1">
      <alignment readingOrder="0"/>
    </xf>
    <xf borderId="0" fillId="11" fontId="10" numFmtId="0" xfId="0" applyAlignment="1" applyFill="1" applyFont="1">
      <alignment horizontal="center" readingOrder="0" shrinkToFit="0" vertical="center" wrapText="0"/>
    </xf>
    <xf borderId="3" fillId="11" fontId="11" numFmtId="49" xfId="0" applyAlignment="1" applyBorder="1" applyFill="1" applyFont="1" applyNumberFormat="1">
      <alignment horizontal="center" readingOrder="0" shrinkToFit="0" vertical="center" wrapText="0"/>
    </xf>
    <xf borderId="3" fillId="4" fontId="11" numFmtId="169" xfId="0" applyAlignment="1" applyBorder="1" applyFill="1" applyFont="1" applyNumberFormat="1">
      <alignment horizontal="center" readingOrder="0" shrinkToFit="0" vertical="center" wrapText="0"/>
    </xf>
    <xf borderId="3" fillId="4" fontId="32" numFmtId="0" xfId="0" applyAlignment="1" applyBorder="1" applyFill="1" applyFont="1">
      <alignment horizontal="center" readingOrder="0" shrinkToFit="0" textRotation="0" vertical="top" wrapText="0"/>
    </xf>
    <xf borderId="3" fillId="11" fontId="10" numFmtId="164" xfId="0" applyAlignment="1" applyBorder="1" applyFill="1" applyFont="1" applyNumberFormat="1">
      <alignment horizontal="center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02D74"/>
          <bgColor rgb="FF002D74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2D74"/>
        </left>
        <right style="thin">
          <color rgb="FF002D74"/>
        </right>
        <top style="thin">
          <color rgb="FF002D74"/>
        </top>
        <bottom style="thin">
          <color rgb="FF002D74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6">
    <tableStyle count="4" pivot="0" name="ANGIE SILVE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IMMY COLLAZ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HOMI DIA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HON ZAMO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UIS CHU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MAR MINA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NNY MOR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NDY IPANEQ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SE LUIS QUINTER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LAGROS TUES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IELLA PAÑAH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XANDRA GUZM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ALIA QUIN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RGE CASTIL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OLETA LLERE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STINA BRACAMO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Q52" displayName="OPI_11" name="OPI_11" id="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NAHOMI DIAZ-style" showColumnStripes="0" showFirstColumn="1" showLastColumn="1" showRowStripes="1"/>
</table>
</file>

<file path=xl/tables/table2.xml><?xml version="1.0" encoding="utf-8"?>
<table xmlns="http://schemas.openxmlformats.org/spreadsheetml/2006/main" ref="B9:Q52" displayName="OPI" name="OPI" id="2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NGIE SILVERA-style" showColumnStripes="0" showFirstColumn="1" showLastColumn="1" showRowStripes="1"/>
</table>
</file>

<file path=xl/tables/table3.xml><?xml version="1.0" encoding="utf-8"?>
<table xmlns="http://schemas.openxmlformats.org/spreadsheetml/2006/main" ref="B9:Q52" displayName="OPI_4" name="OPI_4" id="3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IMMY COLLAZOS-style" showColumnStripes="0" showFirstColumn="1" showLastColumn="1" showRowStripes="1"/>
</table>
</file>

<file path=xl/tables/table4.xml><?xml version="1.0" encoding="utf-8"?>
<table xmlns="http://schemas.openxmlformats.org/spreadsheetml/2006/main" ref="B9:Q52" displayName="OPI_3" name="OPI_3" id="4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HON ZAMORA-style" showColumnStripes="0" showFirstColumn="1" showLastColumn="1" showRowStripes="1"/>
</table>
</file>

<file path=xl/tables/table5.xml><?xml version="1.0" encoding="utf-8"?>
<table xmlns="http://schemas.openxmlformats.org/spreadsheetml/2006/main" ref="B9:Q52" displayName="OPI_7" name="OPI_7" id="5">
  <autoFilter ref="$B$9:$Q$52">
    <filterColumn colId="10">
      <filters blank="1">
        <filter val="JOSSEF PFARE"/>
        <filter val="EDGAR CHOTA"/>
        <filter val="KELLY SARMIENTO"/>
      </filters>
    </filterColumn>
    <filterColumn colId="8">
      <filters/>
    </filterColumn>
  </autoFilter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LUIS CHUSE-style" showColumnStripes="0" showFirstColumn="1" showLastColumn="1" showRowStripes="1"/>
</table>
</file>

<file path=xl/tables/table6.xml><?xml version="1.0" encoding="utf-8"?>
<table xmlns="http://schemas.openxmlformats.org/spreadsheetml/2006/main" ref="B9:Q52" displayName="OPI_5" name="OPI_5" id="6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OMAR MINAYA-style" showColumnStripes="0" showFirstColumn="1" showLastColumn="1" showRowStripes="1"/>
</table>
</file>

<file path=xl/tables/table7.xml><?xml version="1.0" encoding="utf-8"?>
<table xmlns="http://schemas.openxmlformats.org/spreadsheetml/2006/main" ref="B9:Q52" displayName="OPI_6" name="OPI_6" id="7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KENNY MORALES-style" showColumnStripes="0" showFirstColumn="1" showLastColumn="1" showRowStripes="1"/>
</table>
</file>

<file path=xl/tables/table8.xml><?xml version="1.0" encoding="utf-8"?>
<table xmlns="http://schemas.openxmlformats.org/spreadsheetml/2006/main" ref="B9:Q52" displayName="OPI_14" name="OPI_14" id="8">
  <autoFilter ref="$B$9:$Q$52"/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WENDY IPANEQUE-style" showColumnStripes="0" showFirstColumn="1" showLastColumn="1" showRowStripes="1"/>
</table>
</file>

<file path=xl/tables/table9.xml><?xml version="1.0" encoding="utf-8"?>
<table xmlns="http://schemas.openxmlformats.org/spreadsheetml/2006/main" ref="B9:Q52" displayName="OPI_8" name="OPI_8" id="9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OSE LUIS QUINTEROS-style" showColumnStripes="0" showFirstColumn="1" showLastColumn="1" showRowStripes="1"/>
</table>
</file>

<file path=xl/tables/table10.xml><?xml version="1.0" encoding="utf-8"?>
<table xmlns="http://schemas.openxmlformats.org/spreadsheetml/2006/main" ref="B9:Q52" displayName="OPI_10" name="OPI_10" id="10">
  <autoFilter ref="$B$9:$Q$52">
    <filterColumn colId="10">
      <filters blank="1">
        <filter val="MILY FERNANDEZ"/>
        <filter val="JOSE CONTRERAS"/>
      </filters>
    </filterColumn>
  </autoFilter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ILAGROS TUESTA-style" showColumnStripes="0" showFirstColumn="1" showLastColumn="1" showRowStripes="1"/>
</table>
</file>

<file path=xl/tables/table11.xml><?xml version="1.0" encoding="utf-8"?>
<table xmlns="http://schemas.openxmlformats.org/spreadsheetml/2006/main" ref="B9:Q52" displayName="OPI_9" name="OPI_9" id="1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ARIELLA PAÑAHUA-style" showColumnStripes="0" showFirstColumn="1" showLastColumn="1" showRowStripes="1"/>
</table>
</file>

<file path=xl/tables/table12.xml><?xml version="1.0" encoding="utf-8"?>
<table xmlns="http://schemas.openxmlformats.org/spreadsheetml/2006/main" ref="B9:Q52" displayName="OPI_15" name="OPI_15" id="12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LEXANDRA GUZMAN-style" showColumnStripes="0" showFirstColumn="1" showLastColumn="1" showRowStripes="1"/>
</table>
</file>

<file path=xl/tables/table13.xml><?xml version="1.0" encoding="utf-8"?>
<table xmlns="http://schemas.openxmlformats.org/spreadsheetml/2006/main" ref="B9:Q52" displayName="OPI_16" name="OPI_16" id="13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MALIA QUINDE-style" showColumnStripes="0" showFirstColumn="1" showLastColumn="1" showRowStripes="1"/>
</table>
</file>

<file path=xl/tables/table14.xml><?xml version="1.0" encoding="utf-8"?>
<table xmlns="http://schemas.openxmlformats.org/spreadsheetml/2006/main" ref="B9:Q52" displayName="OPI_17" name="OPI_17" id="14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ORGE CASTILLO-style" showColumnStripes="0" showFirstColumn="1" showLastColumn="1" showRowStripes="1"/>
</table>
</file>

<file path=xl/tables/table15.xml><?xml version="1.0" encoding="utf-8"?>
<table xmlns="http://schemas.openxmlformats.org/spreadsheetml/2006/main" ref="B9:Q52" displayName="OPI_13" name="OPI_13" id="15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VIOLETA LLERENA-style" showColumnStripes="0" showFirstColumn="1" showLastColumn="1" showRowStripes="1"/>
</table>
</file>

<file path=xl/tables/table16.xml><?xml version="1.0" encoding="utf-8"?>
<table xmlns="http://schemas.openxmlformats.org/spreadsheetml/2006/main" ref="B9:Q52" displayName="OPI_2" name="OPI_2" id="16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CRISTINA BRACAMO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21.63"/>
    <col customWidth="1" min="3" max="3" width="9.38"/>
    <col customWidth="1" min="4" max="4" width="19.25"/>
    <col customWidth="1" min="5" max="5" width="15.75"/>
    <col customWidth="1" min="6" max="6" width="16.88"/>
    <col customWidth="1" min="7" max="7" width="19.25"/>
    <col customWidth="1" min="8" max="8" width="21.5"/>
    <col customWidth="1" min="9" max="9" width="26.38"/>
    <col customWidth="1" min="10" max="10" width="15.88"/>
    <col customWidth="1" min="11" max="11" width="9.75"/>
    <col customWidth="1" min="12" max="12" width="18.5"/>
    <col customWidth="1" min="13" max="13" width="20.88"/>
    <col hidden="1" min="15" max="23" width="12.63"/>
  </cols>
  <sheetData>
    <row r="2">
      <c r="B2" s="1" t="s">
        <v>0</v>
      </c>
    </row>
    <row r="4" ht="22.5" customHeight="1">
      <c r="B4" s="2" t="s">
        <v>1</v>
      </c>
      <c r="C4" s="2" t="s">
        <v>2</v>
      </c>
      <c r="D4" s="3" t="s">
        <v>3</v>
      </c>
      <c r="E4" s="3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</row>
    <row r="5">
      <c r="B5" s="5" t="s">
        <v>13</v>
      </c>
      <c r="C5" s="5" t="str">
        <f>'JIMMY COLLAZOS'!D3</f>
        <v>TARAPOTO</v>
      </c>
      <c r="D5" s="7">
        <f>'JIMMY COLLAZOS'!$F$4</f>
        <v>258960</v>
      </c>
      <c r="E5" s="10">
        <f>'JIMMY COLLAZOS'!$F$5</f>
        <v>4</v>
      </c>
      <c r="F5" s="7">
        <f>'JIMMY COLLAZOS'!$K$4</f>
        <v>0</v>
      </c>
      <c r="G5" s="7">
        <f>'JIMMY COLLAZOS'!$J$4</f>
        <v>0</v>
      </c>
      <c r="H5" s="7">
        <f>'JIMMY COLLAZOS'!$I$4</f>
        <v>0</v>
      </c>
      <c r="I5" s="7">
        <f>'JIMMY COLLAZOS'!$H$4</f>
        <v>0</v>
      </c>
      <c r="J5" s="7">
        <f>'JIMMY COLLAZOS'!E4</f>
        <v>800000</v>
      </c>
      <c r="K5" s="13">
        <f t="shared" ref="K5:K16" si="1">D5/J5</f>
        <v>0.3237</v>
      </c>
      <c r="L5" s="10">
        <f>'JIMMY COLLAZOS'!$K$5</f>
        <v>0</v>
      </c>
      <c r="M5" s="10">
        <f>'JIMMY COLLAZOS'!$J$5</f>
        <v>0</v>
      </c>
    </row>
    <row r="6">
      <c r="B6" s="5" t="s">
        <v>28</v>
      </c>
      <c r="C6" s="5" t="str">
        <f>'ALEXANDRA GUZMAN'!D3</f>
        <v>PIURA</v>
      </c>
      <c r="D6" s="7">
        <f>'ALEXANDRA GUZMAN'!$F$4</f>
        <v>39650</v>
      </c>
      <c r="E6" s="10">
        <f>'ALEXANDRA GUZMAN'!$F$5</f>
        <v>1</v>
      </c>
      <c r="F6" s="7">
        <f>'ALEXANDRA GUZMAN'!$K$4</f>
        <v>0</v>
      </c>
      <c r="G6" s="7">
        <f>'ALEXANDRA GUZMAN'!$J$4</f>
        <v>0</v>
      </c>
      <c r="H6" s="7">
        <f>'ALEXANDRA GUZMAN'!$I$4</f>
        <v>0</v>
      </c>
      <c r="I6" s="7">
        <f>'ALEXANDRA GUZMAN'!$H$4</f>
        <v>0</v>
      </c>
      <c r="J6" s="7">
        <v>1000000.0</v>
      </c>
      <c r="K6" s="13">
        <f t="shared" si="1"/>
        <v>0.03965</v>
      </c>
      <c r="L6" s="10">
        <f>'ALEXANDRA GUZMAN'!$K$5</f>
        <v>0</v>
      </c>
      <c r="M6" s="10">
        <f>'ALEXANDRA GUZMAN'!$J$5</f>
        <v>0</v>
      </c>
    </row>
    <row r="7">
      <c r="B7" s="5" t="s">
        <v>29</v>
      </c>
      <c r="C7" s="5" t="str">
        <f>'AMALIA QUINDE'!D3</f>
        <v>PIURA</v>
      </c>
      <c r="D7" s="7">
        <f>'AMALIA QUINDE'!$F$4</f>
        <v>64200</v>
      </c>
      <c r="E7" s="10">
        <f>'AMALIA QUINDE'!$F$5</f>
        <v>1</v>
      </c>
      <c r="F7" s="7">
        <f>'AMALIA QUINDE'!$K$4</f>
        <v>0</v>
      </c>
      <c r="G7" s="7">
        <f>'AMALIA QUINDE'!$J$4</f>
        <v>0</v>
      </c>
      <c r="H7" s="7">
        <f>'AMALIA QUINDE'!$I$4</f>
        <v>0</v>
      </c>
      <c r="I7" s="7">
        <f>'AMALIA QUINDE'!$H$4</f>
        <v>0</v>
      </c>
      <c r="J7" s="7">
        <v>1000000.0</v>
      </c>
      <c r="K7" s="13">
        <f t="shared" si="1"/>
        <v>0.0642</v>
      </c>
      <c r="L7" s="10">
        <f>'AMALIA QUINDE'!$K$5</f>
        <v>0</v>
      </c>
      <c r="M7" s="10">
        <f>'AMALIA QUINDE'!$J$5</f>
        <v>0</v>
      </c>
    </row>
    <row r="8">
      <c r="B8" s="5" t="s">
        <v>32</v>
      </c>
      <c r="C8" s="5" t="str">
        <f>'JORGE CASTILLO'!D3</f>
        <v>PIURA</v>
      </c>
      <c r="D8" s="7">
        <f>'JORGE CASTILLO'!$F$4</f>
        <v>123500</v>
      </c>
      <c r="E8" s="10">
        <f>'JORGE CASTILLO'!$F$5</f>
        <v>2</v>
      </c>
      <c r="F8" s="7">
        <f>'JORGE CASTILLO'!$K$4</f>
        <v>0</v>
      </c>
      <c r="G8" s="7">
        <f>'JORGE CASTILLO'!$J$4</f>
        <v>0</v>
      </c>
      <c r="H8" s="7">
        <f>'JORGE CASTILLO'!$I$4</f>
        <v>0</v>
      </c>
      <c r="I8" s="7">
        <f>'JORGE CASTILLO'!$H$4</f>
        <v>0</v>
      </c>
      <c r="J8" s="7">
        <v>1000000.0</v>
      </c>
      <c r="K8" s="13">
        <f t="shared" si="1"/>
        <v>0.1235</v>
      </c>
      <c r="L8" s="10">
        <f>'JORGE CASTILLO'!$K$5</f>
        <v>0</v>
      </c>
      <c r="M8" s="10">
        <f>'JORGE CASTILLO'!$J$5</f>
        <v>0</v>
      </c>
    </row>
    <row r="9">
      <c r="B9" s="5" t="s">
        <v>41</v>
      </c>
      <c r="C9" s="5" t="str">
        <f>'WENDY IPANEQUE'!D3</f>
        <v>PIURA</v>
      </c>
      <c r="D9" s="7">
        <f>'WENDY IPANEQUE'!$F$4</f>
        <v>451270</v>
      </c>
      <c r="E9" s="10">
        <f>'WENDY IPANEQUE'!$F$5</f>
        <v>7</v>
      </c>
      <c r="F9" s="7">
        <f>'WENDY IPANEQUE'!$K$4</f>
        <v>0</v>
      </c>
      <c r="G9" s="7">
        <f>'WENDY IPANEQUE'!$J$4</f>
        <v>0</v>
      </c>
      <c r="H9" s="7">
        <f>'WENDY IPANEQUE'!$I$4</f>
        <v>0</v>
      </c>
      <c r="I9" s="7">
        <f>'WENDY IPANEQUE'!$H$4</f>
        <v>0</v>
      </c>
      <c r="J9" s="7">
        <v>1000000.0</v>
      </c>
      <c r="K9" s="13">
        <f t="shared" si="1"/>
        <v>0.45127</v>
      </c>
      <c r="L9" s="10">
        <f>'WENDY IPANEQUE'!$K$5</f>
        <v>0</v>
      </c>
      <c r="M9" s="10">
        <f>'WENDY IPANEQUE'!$J$5</f>
        <v>0</v>
      </c>
    </row>
    <row r="10">
      <c r="B10" s="5" t="s">
        <v>53</v>
      </c>
      <c r="C10" s="5" t="str">
        <f>'ANGIE SILVERA'!D3</f>
        <v>LIMA</v>
      </c>
      <c r="D10" s="7">
        <f>'ANGIE SILVERA'!$F$4</f>
        <v>1083450</v>
      </c>
      <c r="E10" s="10">
        <f>'ANGIE SILVERA'!$F$5</f>
        <v>16</v>
      </c>
      <c r="F10" s="7">
        <f>'ANGIE SILVERA'!$K$4</f>
        <v>0</v>
      </c>
      <c r="G10" s="7">
        <f>'ANGIE SILVERA'!$J$4</f>
        <v>0</v>
      </c>
      <c r="H10" s="7">
        <f>'ANGIE SILVERA'!$I$4</f>
        <v>0</v>
      </c>
      <c r="I10" s="7">
        <f>'ANGIE SILVERA'!$H$4</f>
        <v>0</v>
      </c>
      <c r="J10" s="7">
        <f>'ANGIE SILVERA'!E4</f>
        <v>2000000</v>
      </c>
      <c r="K10" s="13">
        <f t="shared" si="1"/>
        <v>0.541725</v>
      </c>
      <c r="L10" s="10">
        <f>'ANGIE SILVERA'!$K$5</f>
        <v>0</v>
      </c>
      <c r="M10" s="10">
        <f>'ANGIE SILVERA'!$J$5</f>
        <v>0</v>
      </c>
    </row>
    <row r="11">
      <c r="B11" s="5" t="s">
        <v>64</v>
      </c>
      <c r="C11" s="5" t="str">
        <f>'KENNY MORALES'!D3</f>
        <v>LIMA</v>
      </c>
      <c r="D11" s="7">
        <f>'KENNY MORALES'!$F$4</f>
        <v>836020</v>
      </c>
      <c r="E11" s="10">
        <f>'KENNY MORALES'!$F$5</f>
        <v>12</v>
      </c>
      <c r="F11" s="7">
        <f>'KENNY MORALES'!$K$4</f>
        <v>0</v>
      </c>
      <c r="G11" s="7">
        <f>'KENNY MORALES'!$J$4</f>
        <v>0</v>
      </c>
      <c r="H11" s="7">
        <f>'KENNY MORALES'!$I$4</f>
        <v>0</v>
      </c>
      <c r="I11" s="7">
        <f>'KENNY MORALES'!$H$4</f>
        <v>0</v>
      </c>
      <c r="J11" s="7">
        <f>'KENNY MORALES'!E4</f>
        <v>1000000</v>
      </c>
      <c r="K11" s="13">
        <f t="shared" si="1"/>
        <v>0.83602</v>
      </c>
      <c r="L11" s="10">
        <f>'KENNY MORALES'!$K$5</f>
        <v>0</v>
      </c>
      <c r="M11" s="10">
        <f>'KENNY MORALES'!$J$5</f>
        <v>0</v>
      </c>
    </row>
    <row r="12">
      <c r="B12" s="5" t="s">
        <v>65</v>
      </c>
      <c r="C12" s="5" t="str">
        <f>'LUIS CHUSE'!D3</f>
        <v>LIMA</v>
      </c>
      <c r="D12" s="7">
        <f>'LUIS CHUSE'!$F$4</f>
        <v>1428953</v>
      </c>
      <c r="E12" s="10">
        <f>'LUIS CHUSE'!$F$5</f>
        <v>21</v>
      </c>
      <c r="F12" s="7">
        <f>'LUIS CHUSE'!$K$4</f>
        <v>0</v>
      </c>
      <c r="G12" s="7">
        <f>'LUIS CHUSE'!$J$4</f>
        <v>0</v>
      </c>
      <c r="H12" s="7">
        <f>'LUIS CHUSE'!$I$4</f>
        <v>0</v>
      </c>
      <c r="I12" s="7">
        <f>'LUIS CHUSE'!$H$4</f>
        <v>0</v>
      </c>
      <c r="J12" s="7">
        <f>'LUIS CHUSE'!E4</f>
        <v>2000000</v>
      </c>
      <c r="K12" s="13">
        <f t="shared" si="1"/>
        <v>0.7144765</v>
      </c>
      <c r="L12" s="10">
        <f>'LUIS CHUSE'!$K$5</f>
        <v>0</v>
      </c>
      <c r="M12" s="10">
        <f>'LUIS CHUSE'!$J$5</f>
        <v>0</v>
      </c>
    </row>
    <row r="13">
      <c r="B13" s="5" t="s">
        <v>76</v>
      </c>
      <c r="C13" s="5" t="str">
        <f>'MARIELLA PAÑAHUA'!D3</f>
        <v>AYACUCHO</v>
      </c>
      <c r="D13" s="7">
        <f>'MARIELLA PAÑAHUA'!$F$4</f>
        <v>857400</v>
      </c>
      <c r="E13" s="10">
        <f>'MARIELLA PAÑAHUA'!$F$5</f>
        <v>14</v>
      </c>
      <c r="F13" s="7">
        <f>'MARIELLA PAÑAHUA'!$K$4</f>
        <v>0</v>
      </c>
      <c r="G13" s="7">
        <f>'MARIELLA PAÑAHUA'!$J$4</f>
        <v>0</v>
      </c>
      <c r="H13" s="7">
        <f>'MARIELLA PAÑAHUA'!$I$4</f>
        <v>0</v>
      </c>
      <c r="I13" s="7">
        <f>'MARIELLA PAÑAHUA'!$H$4</f>
        <v>0</v>
      </c>
      <c r="J13" s="7">
        <f>'MARIELLA PAÑAHUA'!E4</f>
        <v>800000</v>
      </c>
      <c r="K13" s="13">
        <f t="shared" si="1"/>
        <v>1.07175</v>
      </c>
      <c r="L13" s="10">
        <f>'MARIELLA PAÑAHUA'!$K$5</f>
        <v>0</v>
      </c>
      <c r="M13" s="10">
        <f>'MARIELLA PAÑAHUA'!$J$5</f>
        <v>0</v>
      </c>
    </row>
    <row r="14">
      <c r="B14" s="5" t="s">
        <v>81</v>
      </c>
      <c r="C14" s="5" t="str">
        <f>'MILAGROS TUESTA'!D3</f>
        <v>LIMA</v>
      </c>
      <c r="D14" s="7">
        <f>'MILAGROS TUESTA'!$F$4</f>
        <v>1049520</v>
      </c>
      <c r="E14" s="10">
        <f>'MILAGROS TUESTA'!$F$5</f>
        <v>16</v>
      </c>
      <c r="F14" s="7">
        <f>'MILAGROS TUESTA'!$K$4</f>
        <v>0</v>
      </c>
      <c r="G14" s="7">
        <f>'MILAGROS TUESTA'!$J$4</f>
        <v>0</v>
      </c>
      <c r="H14" s="7">
        <f>'MILAGROS TUESTA'!$I$4</f>
        <v>0</v>
      </c>
      <c r="I14" s="7">
        <f>'MILAGROS TUESTA'!$H$4</f>
        <v>0</v>
      </c>
      <c r="J14" s="7">
        <f>'MILAGROS TUESTA'!E4</f>
        <v>2000000</v>
      </c>
      <c r="K14" s="13">
        <f t="shared" si="1"/>
        <v>0.52476</v>
      </c>
      <c r="L14" s="10">
        <f>'MILAGROS TUESTA'!$K$5</f>
        <v>0</v>
      </c>
      <c r="M14" s="10">
        <f>'MILAGROS TUESTA'!$J$5</f>
        <v>0</v>
      </c>
    </row>
    <row r="15">
      <c r="B15" s="5" t="s">
        <v>86</v>
      </c>
      <c r="C15" s="5" t="s">
        <v>14</v>
      </c>
      <c r="D15" s="7">
        <f>'JOSE LUIS QUINTEROS'!$F$4</f>
        <v>68200</v>
      </c>
      <c r="E15" s="10">
        <f>'JOSE LUIS QUINTEROS'!$F$5</f>
        <v>1</v>
      </c>
      <c r="F15" s="7">
        <f>'JOSE LUIS QUINTEROS'!$K$4</f>
        <v>0</v>
      </c>
      <c r="G15" s="7">
        <f>'JOSE LUIS QUINTEROS'!$J$4</f>
        <v>0</v>
      </c>
      <c r="H15" s="7">
        <f>'JOSE LUIS QUINTEROS'!$I$4</f>
        <v>0</v>
      </c>
      <c r="I15" s="7">
        <f>'JOSE LUIS QUINTEROS'!$H$4</f>
        <v>0</v>
      </c>
      <c r="J15" s="7">
        <f>'JOSE LUIS QUINTEROS'!E4</f>
        <v>1000000</v>
      </c>
      <c r="K15" s="13">
        <f t="shared" si="1"/>
        <v>0.0682</v>
      </c>
      <c r="L15" s="10">
        <f>'JOSE LUIS QUINTEROS'!$K$5</f>
        <v>0</v>
      </c>
      <c r="M15" s="10">
        <f>'JOSE LUIS QUINTEROS'!$J$5</f>
        <v>0</v>
      </c>
    </row>
    <row r="16">
      <c r="B16" s="5" t="s">
        <v>91</v>
      </c>
      <c r="C16" s="5" t="str">
        <f>'CRISTINA BRACAMONTE'!D3</f>
        <v>TRUJILLO</v>
      </c>
      <c r="D16" s="7">
        <f>'CRISTINA BRACAMONTE'!$F$4</f>
        <v>0</v>
      </c>
      <c r="E16" s="10">
        <f>'CRISTINA BRACAMONTE'!$F$5</f>
        <v>0</v>
      </c>
      <c r="F16" s="7">
        <f>'CRISTINA BRACAMONTE'!$K$4</f>
        <v>0</v>
      </c>
      <c r="G16" s="7">
        <f>'CRISTINA BRACAMONTE'!$J$4</f>
        <v>0</v>
      </c>
      <c r="H16" s="7">
        <f>'CRISTINA BRACAMONTE'!$I$4</f>
        <v>0</v>
      </c>
      <c r="I16" s="7">
        <f>'CRISTINA BRACAMONTE'!$H$4</f>
        <v>0</v>
      </c>
      <c r="J16" s="7">
        <v>1000000.0</v>
      </c>
      <c r="K16" s="13">
        <f t="shared" si="1"/>
        <v>0</v>
      </c>
      <c r="L16" s="10">
        <f>'CRISTINA BRACAMONTE'!$K$5</f>
        <v>0</v>
      </c>
      <c r="M16" s="10">
        <f>'CRISTINA BRACAMONTE'!$J$5</f>
        <v>0</v>
      </c>
    </row>
    <row r="17">
      <c r="B17" s="5" t="s">
        <v>97</v>
      </c>
      <c r="C17" s="5" t="str">
        <f>'JHON ZAMORA'!D3</f>
        <v>CHICLAYO</v>
      </c>
      <c r="D17" s="7">
        <f>'JHON ZAMORA'!$F$4</f>
        <v>505900</v>
      </c>
      <c r="E17" s="10">
        <f>'JHON ZAMORA'!$F$5</f>
        <v>7</v>
      </c>
      <c r="F17" s="7">
        <f>'JHON ZAMORA'!$K$4</f>
        <v>0</v>
      </c>
      <c r="G17" s="7">
        <f>'JHON ZAMORA'!$J$4</f>
        <v>0</v>
      </c>
      <c r="H17" s="7">
        <f>'JHON ZAMORA'!$I$4</f>
        <v>0</v>
      </c>
      <c r="I17" s="7">
        <f>'JHON ZAMORA'!$H$4</f>
        <v>0</v>
      </c>
      <c r="J17" s="7">
        <v>1000000.0</v>
      </c>
      <c r="K17" s="13" t="str">
        <f>#REF!/J17</f>
        <v>#REF!</v>
      </c>
      <c r="L17" s="10">
        <f>'JHON ZAMORA'!$K$5</f>
        <v>0</v>
      </c>
      <c r="M17" s="10">
        <f>'JHON ZAMORA'!$J$5</f>
        <v>0</v>
      </c>
    </row>
    <row r="18">
      <c r="B18" s="5" t="s">
        <v>102</v>
      </c>
      <c r="C18" s="5" t="str">
        <f>'OMAR MINAYA'!D3</f>
        <v>CHICLAYO</v>
      </c>
      <c r="D18" s="7">
        <f>'OMAR MINAYA'!$F$4</f>
        <v>327840</v>
      </c>
      <c r="E18" s="10">
        <f>'OMAR MINAYA'!$F$5</f>
        <v>5</v>
      </c>
      <c r="F18" s="7">
        <f>'OMAR MINAYA'!$K$4</f>
        <v>0</v>
      </c>
      <c r="G18" s="7">
        <f>'OMAR MINAYA'!$J$4</f>
        <v>0</v>
      </c>
      <c r="H18" s="7">
        <f>'OMAR MINAYA'!$I$4</f>
        <v>0</v>
      </c>
      <c r="I18" s="7">
        <f>'OMAR MINAYA'!$H$4</f>
        <v>0</v>
      </c>
      <c r="J18" s="7">
        <v>1000000.0</v>
      </c>
      <c r="K18" s="77">
        <v>19899.0</v>
      </c>
      <c r="L18" s="10">
        <f>'OMAR MINAYA'!$K$5</f>
        <v>0</v>
      </c>
      <c r="M18" s="10">
        <f>'OMAR MINAYA'!$J$5</f>
        <v>0</v>
      </c>
    </row>
    <row r="19">
      <c r="B19" s="5" t="s">
        <v>109</v>
      </c>
      <c r="C19" s="5" t="str">
        <f>'NAHOMI DIAZ'!D3</f>
        <v>CHICLAYO</v>
      </c>
      <c r="D19" s="7">
        <f>'NAHOMI DIAZ'!$F$4</f>
        <v>1022083</v>
      </c>
      <c r="E19" s="10">
        <f>'NAHOMI DIAZ'!$F$5</f>
        <v>15</v>
      </c>
      <c r="F19" s="7">
        <f>'NAHOMI DIAZ'!$K$4</f>
        <v>0</v>
      </c>
      <c r="G19" s="7">
        <f>'NAHOMI DIAZ'!$J$4</f>
        <v>0</v>
      </c>
      <c r="H19" s="7">
        <f>'NAHOMI DIAZ'!$I$4</f>
        <v>0</v>
      </c>
      <c r="I19" s="7">
        <f>'NAHOMI DIAZ'!$H$4</f>
        <v>0</v>
      </c>
      <c r="J19" s="7">
        <v>1000000.0</v>
      </c>
      <c r="K19" s="13">
        <f t="shared" ref="K19:K21" si="2">D19/J19</f>
        <v>1.022083</v>
      </c>
      <c r="L19" s="10">
        <f>'NAHOMI DIAZ'!$K$5</f>
        <v>0</v>
      </c>
      <c r="M19" s="10">
        <f>'NAHOMI DIAZ'!$J$5</f>
        <v>0</v>
      </c>
    </row>
    <row r="20">
      <c r="B20" s="5" t="s">
        <v>113</v>
      </c>
      <c r="C20" s="5" t="str">
        <f>'VIOLETA LLERENA'!D3</f>
        <v>AREQUIPA</v>
      </c>
      <c r="D20" s="7">
        <f>'VIOLETA LLERENA'!$F$4</f>
        <v>522050</v>
      </c>
      <c r="E20" s="10">
        <f>'VIOLETA LLERENA'!$F$5</f>
        <v>7</v>
      </c>
      <c r="F20" s="7">
        <f>'VIOLETA LLERENA'!$K$4</f>
        <v>0</v>
      </c>
      <c r="G20" s="7">
        <f>'VIOLETA LLERENA'!$J$4</f>
        <v>0</v>
      </c>
      <c r="H20" s="7">
        <f>'VIOLETA LLERENA'!$I$4</f>
        <v>0</v>
      </c>
      <c r="I20" s="7">
        <f>'VIOLETA LLERENA'!$H$4</f>
        <v>0</v>
      </c>
      <c r="J20" s="7">
        <v>1000000.0</v>
      </c>
      <c r="K20" s="13">
        <f t="shared" si="2"/>
        <v>0.52205</v>
      </c>
      <c r="L20" s="10">
        <f>'VIOLETA LLERENA'!$K$5</f>
        <v>0</v>
      </c>
      <c r="M20" s="10">
        <f>'VIOLETA LLERENA'!$J$5</f>
        <v>0</v>
      </c>
    </row>
    <row r="21">
      <c r="B21" s="85" t="s">
        <v>116</v>
      </c>
      <c r="C21" s="87"/>
      <c r="D21" s="89">
        <f t="shared" ref="D21:J21" si="3">SUM(D5:D20)</f>
        <v>8638996</v>
      </c>
      <c r="E21" s="91">
        <f t="shared" si="3"/>
        <v>129</v>
      </c>
      <c r="F21" s="92">
        <f t="shared" si="3"/>
        <v>0</v>
      </c>
      <c r="G21" s="92">
        <f t="shared" si="3"/>
        <v>0</v>
      </c>
      <c r="H21" s="92">
        <f t="shared" si="3"/>
        <v>0</v>
      </c>
      <c r="I21" s="92">
        <f t="shared" si="3"/>
        <v>0</v>
      </c>
      <c r="J21" s="92">
        <f t="shared" si="3"/>
        <v>18600000</v>
      </c>
      <c r="K21" s="95">
        <f t="shared" si="2"/>
        <v>0.4644621505</v>
      </c>
      <c r="L21" s="96">
        <f t="shared" ref="L21:M21" si="4">SUM(L5:L20)</f>
        <v>0</v>
      </c>
      <c r="M21" s="96">
        <f t="shared" si="4"/>
        <v>0</v>
      </c>
    </row>
    <row r="24">
      <c r="B24" s="98" t="s">
        <v>122</v>
      </c>
      <c r="C24" s="99"/>
      <c r="D24" s="3" t="s">
        <v>3</v>
      </c>
      <c r="E24" s="3" t="s">
        <v>4</v>
      </c>
      <c r="F24" s="4" t="s">
        <v>5</v>
      </c>
      <c r="G24" s="4" t="s">
        <v>6</v>
      </c>
      <c r="H24" s="4" t="s">
        <v>7</v>
      </c>
      <c r="I24" s="4" t="s">
        <v>8</v>
      </c>
      <c r="J24" s="4" t="s">
        <v>9</v>
      </c>
      <c r="K24" s="4" t="s">
        <v>10</v>
      </c>
      <c r="L24" s="4" t="s">
        <v>11</v>
      </c>
      <c r="M24" s="4" t="s">
        <v>12</v>
      </c>
    </row>
    <row r="25">
      <c r="B25" s="100" t="s">
        <v>14</v>
      </c>
      <c r="C25" s="99"/>
      <c r="D25" s="7">
        <f t="shared" ref="D25:J25" si="5">SUMIFS(D$5:D$20,$C$5:$C$20,$B25)</f>
        <v>4466143</v>
      </c>
      <c r="E25" s="10">
        <f t="shared" si="5"/>
        <v>66</v>
      </c>
      <c r="F25" s="7">
        <f t="shared" si="5"/>
        <v>0</v>
      </c>
      <c r="G25" s="7">
        <f t="shared" si="5"/>
        <v>0</v>
      </c>
      <c r="H25" s="7">
        <f t="shared" si="5"/>
        <v>0</v>
      </c>
      <c r="I25" s="7">
        <f t="shared" si="5"/>
        <v>0</v>
      </c>
      <c r="J25" s="7">
        <f t="shared" si="5"/>
        <v>8000000</v>
      </c>
      <c r="K25" s="13">
        <f t="shared" ref="K25:K30" si="8">D25/J25</f>
        <v>0.558267875</v>
      </c>
      <c r="L25" s="10">
        <f t="shared" ref="L25:M25" si="6">SUMIFS(L$5:L$20,$C$5:$C$20,$B25)</f>
        <v>0</v>
      </c>
      <c r="M25" s="10">
        <f t="shared" si="6"/>
        <v>0</v>
      </c>
    </row>
    <row r="26">
      <c r="B26" s="100" t="s">
        <v>125</v>
      </c>
      <c r="C26" s="99"/>
      <c r="D26" s="7">
        <f t="shared" ref="D26:J26" si="7">SUMIFS(D5:D20,$C$5:$C$20,"CHICLAYO")+SUMIFS(D5:D20,$C$5:$C$20,"TRUJILLO")+SUMIFS(D5:D20,$C$5:$C$20,"PIURA")</f>
        <v>2534443</v>
      </c>
      <c r="E26" s="10">
        <f t="shared" si="7"/>
        <v>38</v>
      </c>
      <c r="F26" s="7">
        <f t="shared" si="7"/>
        <v>0</v>
      </c>
      <c r="G26" s="7">
        <f t="shared" si="7"/>
        <v>0</v>
      </c>
      <c r="H26" s="7">
        <f t="shared" si="7"/>
        <v>0</v>
      </c>
      <c r="I26" s="7">
        <f t="shared" si="7"/>
        <v>0</v>
      </c>
      <c r="J26" s="7">
        <f t="shared" si="7"/>
        <v>8000000</v>
      </c>
      <c r="K26" s="13">
        <f t="shared" si="8"/>
        <v>0.316805375</v>
      </c>
      <c r="L26" s="10">
        <f t="shared" ref="L26:M26" si="9">SUMIFS(L5:L20,$C$5:$C$20,"CHICLAYO")+SUMIFS(L5:L20,$C$5:$C$20,"TRUJILLO")+SUMIFS(L5:L20,$C$5:$C$20,"PIURA")</f>
        <v>0</v>
      </c>
      <c r="M26" s="10">
        <f t="shared" si="9"/>
        <v>0</v>
      </c>
    </row>
    <row r="27">
      <c r="B27" s="100" t="s">
        <v>15</v>
      </c>
      <c r="C27" s="99"/>
      <c r="D27" s="7">
        <f t="shared" ref="D27:J27" si="10">SUMIFS(D5:D20,$C$5:$C$20,"TARAPOTO")</f>
        <v>258960</v>
      </c>
      <c r="E27" s="10">
        <f t="shared" si="10"/>
        <v>4</v>
      </c>
      <c r="F27" s="7">
        <f t="shared" si="10"/>
        <v>0</v>
      </c>
      <c r="G27" s="7">
        <f t="shared" si="10"/>
        <v>0</v>
      </c>
      <c r="H27" s="7">
        <f t="shared" si="10"/>
        <v>0</v>
      </c>
      <c r="I27" s="7">
        <f t="shared" si="10"/>
        <v>0</v>
      </c>
      <c r="J27" s="7">
        <f t="shared" si="10"/>
        <v>800000</v>
      </c>
      <c r="K27" s="13">
        <f t="shared" si="8"/>
        <v>0.3237</v>
      </c>
      <c r="L27" s="10">
        <f t="shared" ref="L27:M27" si="11">SUMIFS(L5:L20,$C$5:$C$20,"TARAPOTO")</f>
        <v>0</v>
      </c>
      <c r="M27" s="10">
        <f t="shared" si="11"/>
        <v>0</v>
      </c>
    </row>
    <row r="28">
      <c r="B28" s="5" t="s">
        <v>132</v>
      </c>
      <c r="C28" s="5"/>
      <c r="D28" s="7">
        <f t="shared" ref="D28:J28" si="12">SUMIFS(D5:D20,$C$5:$C$20,"AYACUCHO")</f>
        <v>857400</v>
      </c>
      <c r="E28" s="10">
        <f t="shared" si="12"/>
        <v>14</v>
      </c>
      <c r="F28" s="7">
        <f t="shared" si="12"/>
        <v>0</v>
      </c>
      <c r="G28" s="7">
        <f t="shared" si="12"/>
        <v>0</v>
      </c>
      <c r="H28" s="7">
        <f t="shared" si="12"/>
        <v>0</v>
      </c>
      <c r="I28" s="7">
        <f t="shared" si="12"/>
        <v>0</v>
      </c>
      <c r="J28" s="7">
        <f t="shared" si="12"/>
        <v>800000</v>
      </c>
      <c r="K28" s="13">
        <f t="shared" si="8"/>
        <v>1.07175</v>
      </c>
      <c r="L28" s="10">
        <f t="shared" ref="L28:M28" si="13">SUMIFS(L5:L20,$C$5:$C$20,"AYACUCHO")</f>
        <v>0</v>
      </c>
      <c r="M28" s="10">
        <f t="shared" si="13"/>
        <v>0</v>
      </c>
    </row>
    <row r="29">
      <c r="B29" s="100" t="s">
        <v>139</v>
      </c>
      <c r="C29" s="99"/>
      <c r="D29" s="7">
        <f t="shared" ref="D29:J29" si="14">SUMIFS(D5:D20,$C$5:$C$20,"AREQUIPA")</f>
        <v>522050</v>
      </c>
      <c r="E29" s="10">
        <f t="shared" si="14"/>
        <v>7</v>
      </c>
      <c r="F29" s="7">
        <f t="shared" si="14"/>
        <v>0</v>
      </c>
      <c r="G29" s="7">
        <f t="shared" si="14"/>
        <v>0</v>
      </c>
      <c r="H29" s="7">
        <f t="shared" si="14"/>
        <v>0</v>
      </c>
      <c r="I29" s="7">
        <f t="shared" si="14"/>
        <v>0</v>
      </c>
      <c r="J29" s="7">
        <f t="shared" si="14"/>
        <v>1000000</v>
      </c>
      <c r="K29" s="13">
        <f t="shared" si="8"/>
        <v>0.52205</v>
      </c>
      <c r="L29" s="10">
        <f>SUMIFS(L5:L20,$C$5:$C$20,"AREQUIPA")</f>
        <v>0</v>
      </c>
      <c r="M29" s="10">
        <f>SUMIFS(M6:M21,$C$5:$C$20,"TARAPOTO")</f>
        <v>0</v>
      </c>
    </row>
    <row r="30">
      <c r="B30" s="109" t="s">
        <v>116</v>
      </c>
      <c r="C30" s="99"/>
      <c r="D30" s="89">
        <f t="shared" ref="D30:J30" si="15">SUM(D25:D29)</f>
        <v>8638996</v>
      </c>
      <c r="E30" s="91">
        <f t="shared" si="15"/>
        <v>129</v>
      </c>
      <c r="F30" s="92">
        <f t="shared" si="15"/>
        <v>0</v>
      </c>
      <c r="G30" s="92">
        <f t="shared" si="15"/>
        <v>0</v>
      </c>
      <c r="H30" s="92">
        <f t="shared" si="15"/>
        <v>0</v>
      </c>
      <c r="I30" s="92">
        <f t="shared" si="15"/>
        <v>0</v>
      </c>
      <c r="J30" s="92">
        <f t="shared" si="15"/>
        <v>18600000</v>
      </c>
      <c r="K30" s="95">
        <f t="shared" si="8"/>
        <v>0.4644621505</v>
      </c>
      <c r="L30" s="96">
        <f t="shared" ref="L30:M30" si="16">SUM(L25:L29)</f>
        <v>0</v>
      </c>
      <c r="M30" s="96">
        <f t="shared" si="16"/>
        <v>0</v>
      </c>
    </row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</sheetData>
  <autoFilter ref="$B$4:$M$21">
    <sortState ref="B4:M21">
      <sortCondition descending="1" ref="C4:C21"/>
    </sortState>
  </autoFilter>
  <mergeCells count="6">
    <mergeCell ref="B24:C24"/>
    <mergeCell ref="B25:C25"/>
    <mergeCell ref="B26:C26"/>
    <mergeCell ref="B27:C27"/>
    <mergeCell ref="B29:C29"/>
    <mergeCell ref="B30:C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7.0"/>
    <col customWidth="1" min="9" max="9" width="19.25"/>
    <col customWidth="1" min="10" max="10" width="22.88"/>
    <col customWidth="1" min="11" max="11" width="17.0"/>
    <col customWidth="1" min="12" max="12" width="15.0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16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SUMIFS(OPI_11[MAF NETO],OPI_11[ESTADO],"Desembolsado")</f>
        <v>1022083</v>
      </c>
      <c r="G4" s="14">
        <f>F4-E4</f>
        <v>22083</v>
      </c>
      <c r="H4" s="15">
        <f>SUMIFS(OPI_11[MAF NETO],OPI_11[ESTADO],H$3)</f>
        <v>0</v>
      </c>
      <c r="I4" s="15">
        <f>SUMIFS(OPI_11[MAF NETO],OPI_11[ESTADO],I$3)</f>
        <v>0</v>
      </c>
      <c r="J4" s="15">
        <f>SUMIFS(OPI_11[MAF NETO],OPI_11[ESTADO],J$3)</f>
        <v>0</v>
      </c>
      <c r="K4" s="15">
        <f>SUMIFS(OPI_11[MAF NETO],OPI_11[ESTADO],K$3)</f>
        <v>0</v>
      </c>
      <c r="L4" s="15">
        <f>SUMIFS(OPI_11[MAF NETO],OPI_11[ESTADO],L$3)</f>
        <v>0</v>
      </c>
      <c r="M4" s="15">
        <f>SUMIFS(OPI_11[MAF NETO],OPI_11[ESTADO],M$3)</f>
        <v>0</v>
      </c>
      <c r="N4" s="15">
        <f>SUMIFS(OPI_11[MAF NETO],OPI_11[ESTADO],N$3)</f>
        <v>75000</v>
      </c>
    </row>
    <row r="5" ht="26.25" customHeight="1">
      <c r="D5" s="16" t="s">
        <v>30</v>
      </c>
      <c r="E5" s="17" t="s">
        <v>31</v>
      </c>
      <c r="F5" s="18">
        <f>COUNTIFS(OPI_11[ESTADO],"Desembolsado")</f>
        <v>15</v>
      </c>
      <c r="G5" s="19">
        <f>IFERROR(F4/E4,"")</f>
        <v>1.022083</v>
      </c>
      <c r="H5" s="18">
        <f>COUNTIFS(OPI_11[ESTADO],H$3)</f>
        <v>0</v>
      </c>
      <c r="I5" s="18">
        <f>COUNTIFS(OPI_11[ESTADO],I$3)</f>
        <v>0</v>
      </c>
      <c r="J5" s="18">
        <f>COUNTIFS(OPI_11[ESTADO],J$3)</f>
        <v>0</v>
      </c>
      <c r="K5" s="18">
        <f>COUNTIFS(OPI_11[ESTADO],K$3)</f>
        <v>0</v>
      </c>
      <c r="L5" s="18">
        <f>COUNTIFS(OPI_11[ESTADO],L$3)</f>
        <v>0</v>
      </c>
      <c r="M5" s="18">
        <f>COUNTIFS(OPI_11[ESTADO],M$3)</f>
        <v>0</v>
      </c>
      <c r="N5" s="18">
        <f>COUNTIFS(OPI_11[ESTADO],N$3)</f>
        <v>1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5"/>
      <c r="C10" s="27">
        <v>46175.0</v>
      </c>
      <c r="D10" s="28" t="s">
        <v>50</v>
      </c>
      <c r="E10" s="31">
        <v>46176.0</v>
      </c>
      <c r="F10" s="32" t="s">
        <v>58</v>
      </c>
      <c r="G10" s="33" t="s">
        <v>59</v>
      </c>
      <c r="H10" s="35" t="s">
        <v>61</v>
      </c>
      <c r="I10" s="32" t="s">
        <v>54</v>
      </c>
      <c r="J10" s="37" t="s">
        <v>18</v>
      </c>
      <c r="K10" s="39">
        <v>85800.0</v>
      </c>
      <c r="L10" s="41" t="s">
        <v>63</v>
      </c>
      <c r="M10" s="42"/>
      <c r="N10" s="43"/>
      <c r="O10" s="44"/>
      <c r="P10" s="44"/>
      <c r="Q10" s="45"/>
    </row>
    <row r="11" ht="22.5" customHeight="1">
      <c r="B11" s="25"/>
      <c r="C11" s="27">
        <v>46177.0</v>
      </c>
      <c r="D11" s="28" t="s">
        <v>50</v>
      </c>
      <c r="E11" s="46"/>
      <c r="F11" s="46"/>
      <c r="G11" s="47" t="s">
        <v>69</v>
      </c>
      <c r="H11" s="48" t="s">
        <v>71</v>
      </c>
      <c r="I11" s="32" t="s">
        <v>74</v>
      </c>
      <c r="J11" s="28" t="s">
        <v>18</v>
      </c>
      <c r="K11" s="39">
        <v>67300.0</v>
      </c>
      <c r="L11" s="41" t="s">
        <v>63</v>
      </c>
      <c r="M11" s="49"/>
      <c r="N11" s="43"/>
      <c r="O11" s="44"/>
      <c r="P11" s="44"/>
      <c r="Q11" s="45"/>
    </row>
    <row r="12" ht="22.5" customHeight="1">
      <c r="B12" s="25"/>
      <c r="C12" s="27">
        <v>46177.0</v>
      </c>
      <c r="D12" s="28" t="s">
        <v>50</v>
      </c>
      <c r="E12" s="50"/>
      <c r="F12" s="51"/>
      <c r="G12" s="52" t="s">
        <v>77</v>
      </c>
      <c r="H12" s="53" t="s">
        <v>78</v>
      </c>
      <c r="I12" s="54" t="s">
        <v>54</v>
      </c>
      <c r="J12" s="55" t="s">
        <v>18</v>
      </c>
      <c r="K12" s="56">
        <v>38380.0</v>
      </c>
      <c r="L12" s="41" t="s">
        <v>63</v>
      </c>
      <c r="M12" s="28" t="s">
        <v>83</v>
      </c>
      <c r="N12" s="43"/>
      <c r="O12" s="44"/>
      <c r="P12" s="44"/>
      <c r="Q12" s="43"/>
    </row>
    <row r="13" ht="22.5" customHeight="1">
      <c r="B13" s="25"/>
      <c r="C13" s="57">
        <v>46182.0</v>
      </c>
      <c r="D13" s="58" t="s">
        <v>50</v>
      </c>
      <c r="E13" s="59"/>
      <c r="F13" s="59"/>
      <c r="G13" s="60" t="s">
        <v>87</v>
      </c>
      <c r="H13" s="61" t="s">
        <v>88</v>
      </c>
      <c r="I13" s="62" t="s">
        <v>74</v>
      </c>
      <c r="J13" s="63" t="s">
        <v>18</v>
      </c>
      <c r="K13" s="64">
        <v>84750.0</v>
      </c>
      <c r="L13" s="65" t="s">
        <v>63</v>
      </c>
      <c r="M13" s="44"/>
      <c r="N13" s="43"/>
      <c r="O13" s="44"/>
      <c r="P13" s="44"/>
      <c r="Q13" s="43"/>
    </row>
    <row r="14" ht="22.5" customHeight="1">
      <c r="B14" s="25"/>
      <c r="C14" s="27">
        <v>46177.0</v>
      </c>
      <c r="D14" s="66" t="s">
        <v>50</v>
      </c>
      <c r="E14" s="67"/>
      <c r="F14" s="67"/>
      <c r="G14" s="68" t="s">
        <v>94</v>
      </c>
      <c r="H14" s="69" t="s">
        <v>96</v>
      </c>
      <c r="I14" s="70" t="s">
        <v>74</v>
      </c>
      <c r="J14" s="71" t="s">
        <v>18</v>
      </c>
      <c r="K14" s="72">
        <v>62900.0</v>
      </c>
      <c r="L14" s="41" t="s">
        <v>101</v>
      </c>
      <c r="M14" s="49"/>
      <c r="N14" s="43"/>
      <c r="O14" s="44"/>
      <c r="P14" s="44"/>
      <c r="Q14" s="43"/>
    </row>
    <row r="15" ht="22.5" customHeight="1">
      <c r="B15" s="25"/>
      <c r="C15" s="27">
        <v>46172.0</v>
      </c>
      <c r="D15" s="66" t="s">
        <v>50</v>
      </c>
      <c r="E15" s="73"/>
      <c r="F15" s="73"/>
      <c r="G15" s="68" t="s">
        <v>103</v>
      </c>
      <c r="H15" s="61" t="s">
        <v>104</v>
      </c>
      <c r="I15" s="74" t="s">
        <v>54</v>
      </c>
      <c r="J15" s="75" t="s">
        <v>18</v>
      </c>
      <c r="K15" s="76">
        <v>68000.0</v>
      </c>
      <c r="L15" s="41" t="s">
        <v>101</v>
      </c>
      <c r="M15" s="49"/>
      <c r="N15" s="43"/>
      <c r="O15" s="44"/>
      <c r="P15" s="44"/>
      <c r="Q15" s="43"/>
    </row>
    <row r="16" ht="22.5" customHeight="1">
      <c r="B16" s="25"/>
      <c r="C16" s="78">
        <v>46188.0</v>
      </c>
      <c r="D16" s="58" t="s">
        <v>50</v>
      </c>
      <c r="E16" s="79"/>
      <c r="F16" s="80"/>
      <c r="G16" s="81" t="s">
        <v>110</v>
      </c>
      <c r="H16" s="82" t="s">
        <v>111</v>
      </c>
      <c r="I16" s="62" t="s">
        <v>74</v>
      </c>
      <c r="J16" s="63" t="s">
        <v>18</v>
      </c>
      <c r="K16" s="83">
        <v>82430.0</v>
      </c>
      <c r="L16" s="45" t="s">
        <v>101</v>
      </c>
      <c r="M16" s="44"/>
      <c r="N16" s="43"/>
      <c r="O16" s="44"/>
      <c r="P16" s="44"/>
      <c r="Q16" s="43"/>
    </row>
    <row r="17" ht="22.5" customHeight="1">
      <c r="B17" s="25"/>
      <c r="C17" s="78">
        <v>46188.0</v>
      </c>
      <c r="D17" s="58" t="s">
        <v>50</v>
      </c>
      <c r="E17" s="84"/>
      <c r="F17" s="86"/>
      <c r="G17" s="81" t="s">
        <v>117</v>
      </c>
      <c r="H17" s="82" t="s">
        <v>118</v>
      </c>
      <c r="I17" s="88" t="s">
        <v>54</v>
      </c>
      <c r="J17" s="63" t="s">
        <v>18</v>
      </c>
      <c r="K17" s="90">
        <v>54400.0</v>
      </c>
      <c r="L17" s="45" t="s">
        <v>101</v>
      </c>
      <c r="M17" s="93" t="s">
        <v>83</v>
      </c>
      <c r="N17" s="43"/>
      <c r="O17" s="44"/>
      <c r="P17" s="44"/>
      <c r="Q17" s="45" t="s">
        <v>119</v>
      </c>
    </row>
    <row r="18" ht="22.5" customHeight="1">
      <c r="B18" s="45"/>
      <c r="C18" s="78">
        <v>46196.0</v>
      </c>
      <c r="D18" s="58" t="s">
        <v>50</v>
      </c>
      <c r="E18" s="59"/>
      <c r="F18" s="59"/>
      <c r="G18" s="101" t="s">
        <v>123</v>
      </c>
      <c r="H18" s="102" t="s">
        <v>124</v>
      </c>
      <c r="I18" s="79" t="s">
        <v>54</v>
      </c>
      <c r="J18" s="63" t="s">
        <v>18</v>
      </c>
      <c r="K18" s="103">
        <v>99800.0</v>
      </c>
      <c r="L18" s="45" t="s">
        <v>101</v>
      </c>
      <c r="M18" s="44"/>
      <c r="N18" s="43"/>
      <c r="O18" s="44"/>
      <c r="P18" s="44"/>
      <c r="Q18" s="45"/>
    </row>
    <row r="19" ht="22.5" customHeight="1">
      <c r="B19" s="45"/>
      <c r="C19" s="78">
        <v>46196.0</v>
      </c>
      <c r="D19" s="58" t="s">
        <v>129</v>
      </c>
      <c r="E19" s="84"/>
      <c r="F19" s="84"/>
      <c r="G19" s="81" t="s">
        <v>130</v>
      </c>
      <c r="H19" s="102" t="s">
        <v>131</v>
      </c>
      <c r="I19" s="70" t="s">
        <v>74</v>
      </c>
      <c r="J19" s="63" t="s">
        <v>26</v>
      </c>
      <c r="K19" s="104">
        <v>75000.0</v>
      </c>
      <c r="L19" s="45" t="s">
        <v>101</v>
      </c>
      <c r="M19" s="44"/>
      <c r="N19" s="43"/>
      <c r="O19" s="44"/>
      <c r="P19" s="44"/>
      <c r="Q19" s="43"/>
    </row>
    <row r="20" ht="22.5" customHeight="1">
      <c r="B20" s="25"/>
      <c r="C20" s="57">
        <v>46183.0</v>
      </c>
      <c r="D20" s="58" t="s">
        <v>50</v>
      </c>
      <c r="E20" s="84"/>
      <c r="F20" s="106"/>
      <c r="G20" s="60" t="s">
        <v>135</v>
      </c>
      <c r="H20" s="107" t="s">
        <v>137</v>
      </c>
      <c r="I20" s="79" t="s">
        <v>54</v>
      </c>
      <c r="J20" s="108" t="s">
        <v>18</v>
      </c>
      <c r="K20" s="90">
        <v>65000.0</v>
      </c>
      <c r="L20" s="65" t="s">
        <v>138</v>
      </c>
      <c r="M20" s="93" t="s">
        <v>83</v>
      </c>
      <c r="N20" s="43"/>
      <c r="O20" s="44"/>
      <c r="P20" s="44"/>
      <c r="Q20" s="43"/>
    </row>
    <row r="21" ht="22.5" customHeight="1">
      <c r="B21" s="25"/>
      <c r="C21" s="27">
        <v>46176.0</v>
      </c>
      <c r="D21" s="66" t="s">
        <v>50</v>
      </c>
      <c r="E21" s="110"/>
      <c r="F21" s="110"/>
      <c r="G21" s="81" t="s">
        <v>140</v>
      </c>
      <c r="H21" s="102" t="s">
        <v>142</v>
      </c>
      <c r="I21" s="74" t="s">
        <v>54</v>
      </c>
      <c r="J21" s="111" t="s">
        <v>18</v>
      </c>
      <c r="K21" s="39">
        <v>62000.0</v>
      </c>
      <c r="L21" s="41" t="s">
        <v>144</v>
      </c>
      <c r="M21" s="49"/>
      <c r="N21" s="43"/>
      <c r="O21" s="44"/>
      <c r="P21" s="44"/>
      <c r="Q21" s="43"/>
    </row>
    <row r="22" ht="22.5" customHeight="1">
      <c r="B22" s="25"/>
      <c r="C22" s="78">
        <v>46188.0</v>
      </c>
      <c r="D22" s="58" t="s">
        <v>50</v>
      </c>
      <c r="E22" s="59"/>
      <c r="F22" s="59"/>
      <c r="G22" s="101" t="s">
        <v>146</v>
      </c>
      <c r="H22" s="112" t="s">
        <v>148</v>
      </c>
      <c r="I22" s="79" t="s">
        <v>54</v>
      </c>
      <c r="J22" s="113" t="s">
        <v>18</v>
      </c>
      <c r="K22" s="114">
        <v>63623.0</v>
      </c>
      <c r="L22" s="45" t="s">
        <v>144</v>
      </c>
      <c r="M22" s="44"/>
      <c r="N22" s="43"/>
      <c r="O22" s="44"/>
      <c r="P22" s="44"/>
      <c r="Q22" s="45"/>
    </row>
    <row r="23" ht="22.5" customHeight="1">
      <c r="B23" s="25"/>
      <c r="C23" s="78">
        <v>46199.0</v>
      </c>
      <c r="D23" s="58" t="s">
        <v>50</v>
      </c>
      <c r="E23" s="59"/>
      <c r="F23" s="80"/>
      <c r="G23" s="81" t="s">
        <v>151</v>
      </c>
      <c r="H23" s="102" t="s">
        <v>153</v>
      </c>
      <c r="I23" s="79" t="s">
        <v>54</v>
      </c>
      <c r="J23" s="113" t="s">
        <v>18</v>
      </c>
      <c r="K23" s="103">
        <v>59300.0</v>
      </c>
      <c r="L23" s="45" t="s">
        <v>144</v>
      </c>
      <c r="M23" s="93" t="s">
        <v>83</v>
      </c>
      <c r="N23" s="43"/>
      <c r="O23" s="44"/>
      <c r="P23" s="44"/>
      <c r="Q23" s="45"/>
    </row>
    <row r="24" ht="22.5" customHeight="1">
      <c r="B24" s="45"/>
      <c r="C24" s="78">
        <v>46189.0</v>
      </c>
      <c r="D24" s="58" t="s">
        <v>50</v>
      </c>
      <c r="E24" s="59"/>
      <c r="F24" s="80"/>
      <c r="G24" s="81" t="s">
        <v>155</v>
      </c>
      <c r="H24" s="102" t="s">
        <v>157</v>
      </c>
      <c r="I24" s="79" t="s">
        <v>54</v>
      </c>
      <c r="J24" s="113" t="s">
        <v>18</v>
      </c>
      <c r="K24" s="115">
        <v>75000.0</v>
      </c>
      <c r="L24" s="45" t="s">
        <v>144</v>
      </c>
      <c r="M24" s="93" t="s">
        <v>83</v>
      </c>
      <c r="N24" s="43"/>
      <c r="O24" s="44"/>
      <c r="P24" s="44"/>
      <c r="Q24" s="45"/>
    </row>
    <row r="25" ht="22.5" customHeight="1">
      <c r="B25" s="25"/>
      <c r="C25" s="27">
        <v>46175.0</v>
      </c>
      <c r="D25" s="66" t="s">
        <v>50</v>
      </c>
      <c r="E25" s="67"/>
      <c r="F25" s="67"/>
      <c r="G25" s="68" t="s">
        <v>161</v>
      </c>
      <c r="H25" s="61" t="s">
        <v>162</v>
      </c>
      <c r="I25" s="70" t="s">
        <v>54</v>
      </c>
      <c r="J25" s="37" t="s">
        <v>18</v>
      </c>
      <c r="K25" s="76">
        <v>53400.0</v>
      </c>
      <c r="L25" s="41" t="s">
        <v>163</v>
      </c>
      <c r="M25" s="49"/>
      <c r="N25" s="43"/>
      <c r="O25" s="44"/>
      <c r="P25" s="44"/>
      <c r="Q25" s="43"/>
    </row>
    <row r="26" ht="22.5" customHeight="1">
      <c r="B26" s="45"/>
      <c r="C26" s="78"/>
      <c r="D26" s="93"/>
      <c r="E26" s="116"/>
      <c r="F26" s="117"/>
      <c r="G26" s="118"/>
      <c r="H26" s="119"/>
      <c r="I26" s="45"/>
      <c r="J26" s="93"/>
      <c r="K26" s="115"/>
      <c r="L26" s="45"/>
      <c r="M26" s="44"/>
      <c r="N26" s="43"/>
      <c r="O26" s="44"/>
      <c r="P26" s="44"/>
      <c r="Q26" s="43"/>
    </row>
    <row r="27" ht="22.5" customHeight="1">
      <c r="B27" s="45"/>
      <c r="C27" s="78"/>
      <c r="D27" s="93"/>
      <c r="E27" s="78"/>
      <c r="F27" s="120"/>
      <c r="G27" s="121"/>
      <c r="H27" s="122"/>
      <c r="I27" s="45"/>
      <c r="J27" s="93"/>
      <c r="K27" s="123"/>
      <c r="L27" s="45"/>
      <c r="M27" s="44"/>
      <c r="N27" s="43"/>
      <c r="O27" s="44"/>
      <c r="P27" s="44"/>
      <c r="Q27" s="43"/>
    </row>
    <row r="28" ht="22.5" customHeight="1">
      <c r="B28" s="45"/>
      <c r="C28" s="78"/>
      <c r="D28" s="93"/>
      <c r="E28" s="78"/>
      <c r="F28" s="120"/>
      <c r="G28" s="121"/>
      <c r="H28" s="122"/>
      <c r="I28" s="45"/>
      <c r="J28" s="93"/>
      <c r="K28" s="124"/>
      <c r="L28" s="45"/>
      <c r="M28" s="44"/>
      <c r="N28" s="43"/>
      <c r="O28" s="44"/>
      <c r="P28" s="44"/>
      <c r="Q28" s="43"/>
    </row>
    <row r="29" ht="22.5" customHeight="1">
      <c r="B29" s="45"/>
      <c r="C29" s="78"/>
      <c r="D29" s="93"/>
      <c r="E29" s="120"/>
      <c r="F29" s="45"/>
      <c r="G29" s="125"/>
      <c r="H29" s="122"/>
      <c r="I29" s="45"/>
      <c r="J29" s="93"/>
      <c r="K29" s="115"/>
      <c r="L29" s="45"/>
      <c r="M29" s="44"/>
      <c r="N29" s="43"/>
      <c r="O29" s="44"/>
      <c r="P29" s="44"/>
      <c r="Q29" s="43"/>
    </row>
    <row r="30" ht="22.5" customHeight="1">
      <c r="B30" s="45"/>
      <c r="C30" s="78"/>
      <c r="D30" s="93"/>
      <c r="E30" s="78"/>
      <c r="F30" s="120"/>
      <c r="G30" s="121"/>
      <c r="H30" s="122"/>
      <c r="I30" s="45"/>
      <c r="J30" s="93"/>
      <c r="K30" s="115"/>
      <c r="L30" s="45"/>
      <c r="M30" s="44"/>
      <c r="N30" s="43"/>
      <c r="O30" s="44"/>
      <c r="P30" s="44"/>
      <c r="Q30" s="43"/>
    </row>
    <row r="31" ht="22.5" customHeight="1">
      <c r="B31" s="45"/>
      <c r="C31" s="78"/>
      <c r="D31" s="93"/>
      <c r="E31" s="120"/>
      <c r="F31" s="120"/>
      <c r="G31" s="121"/>
      <c r="H31" s="122"/>
      <c r="I31" s="45"/>
      <c r="J31" s="93"/>
      <c r="K31" s="115"/>
      <c r="L31" s="45"/>
      <c r="M31" s="44"/>
      <c r="N31" s="43"/>
      <c r="O31" s="44"/>
      <c r="P31" s="44"/>
      <c r="Q31" s="45"/>
    </row>
    <row r="32" ht="22.5" customHeight="1">
      <c r="B32" s="45"/>
      <c r="C32" s="78"/>
      <c r="D32" s="93"/>
      <c r="E32" s="120"/>
      <c r="F32" s="128"/>
      <c r="G32" s="121"/>
      <c r="H32" s="122"/>
      <c r="I32" s="45"/>
      <c r="J32" s="93"/>
      <c r="K32" s="115"/>
      <c r="L32" s="45"/>
      <c r="M32" s="44"/>
      <c r="N32" s="43"/>
      <c r="O32" s="44"/>
      <c r="P32" s="44"/>
      <c r="Q32" s="43"/>
    </row>
    <row r="33" ht="22.5" customHeight="1">
      <c r="B33" s="45"/>
      <c r="C33" s="78"/>
      <c r="D33" s="93"/>
      <c r="E33" s="78"/>
      <c r="F33" s="128"/>
      <c r="G33" s="121"/>
      <c r="H33" s="122"/>
      <c r="I33" s="45"/>
      <c r="J33" s="93"/>
      <c r="K33" s="115"/>
      <c r="L33" s="45"/>
      <c r="M33" s="44"/>
      <c r="N33" s="43"/>
      <c r="O33" s="44"/>
      <c r="P33" s="44"/>
      <c r="Q33" s="43"/>
    </row>
    <row r="34" ht="22.5" customHeight="1">
      <c r="B34" s="45"/>
      <c r="C34" s="78"/>
      <c r="D34" s="93"/>
      <c r="E34" s="120"/>
      <c r="F34" s="128"/>
      <c r="G34" s="121"/>
      <c r="H34" s="122"/>
      <c r="I34" s="45"/>
      <c r="J34" s="93"/>
      <c r="K34" s="115"/>
      <c r="L34" s="45"/>
      <c r="M34" s="44"/>
      <c r="N34" s="43"/>
      <c r="O34" s="44"/>
      <c r="P34" s="44"/>
      <c r="Q34" s="43"/>
    </row>
    <row r="35" ht="22.5" customHeight="1">
      <c r="B35" s="45"/>
      <c r="C35" s="78"/>
      <c r="D35" s="93"/>
      <c r="E35" s="120"/>
      <c r="F35" s="120"/>
      <c r="G35" s="121"/>
      <c r="H35" s="122"/>
      <c r="I35" s="45"/>
      <c r="J35" s="93"/>
      <c r="K35" s="115"/>
      <c r="L35" s="45"/>
      <c r="M35" s="44"/>
      <c r="N35" s="43"/>
      <c r="O35" s="44"/>
      <c r="P35" s="44"/>
      <c r="Q35" s="45"/>
    </row>
    <row r="36" ht="22.5" customHeight="1">
      <c r="B36" s="45"/>
      <c r="C36" s="78"/>
      <c r="D36" s="93"/>
      <c r="E36" s="120"/>
      <c r="F36" s="120"/>
      <c r="G36" s="125"/>
      <c r="H36" s="122"/>
      <c r="I36" s="45"/>
      <c r="J36" s="93"/>
      <c r="K36" s="115"/>
      <c r="L36" s="45"/>
      <c r="M36" s="44"/>
      <c r="N36" s="43"/>
      <c r="O36" s="44"/>
      <c r="P36" s="44"/>
      <c r="Q36" s="43"/>
    </row>
    <row r="37" ht="22.5" customHeight="1">
      <c r="B37" s="45"/>
      <c r="C37" s="78"/>
      <c r="D37" s="93"/>
      <c r="E37" s="120"/>
      <c r="F37" s="120"/>
      <c r="G37" s="134"/>
      <c r="H37" s="135"/>
      <c r="I37" s="45"/>
      <c r="J37" s="93"/>
      <c r="K37" s="137"/>
      <c r="L37" s="45"/>
      <c r="M37" s="44"/>
      <c r="N37" s="43"/>
      <c r="O37" s="44"/>
      <c r="P37" s="44"/>
      <c r="Q37" s="45"/>
    </row>
    <row r="38" ht="22.5" customHeight="1">
      <c r="B38" s="43"/>
      <c r="C38" s="78"/>
      <c r="D38" s="93"/>
      <c r="E38" s="78"/>
      <c r="F38" s="138"/>
      <c r="G38" s="81"/>
      <c r="H38" s="82"/>
      <c r="I38" s="139"/>
      <c r="J38" s="93"/>
      <c r="K38" s="115"/>
      <c r="L38" s="45"/>
      <c r="M38" s="44"/>
      <c r="N38" s="43"/>
      <c r="O38" s="44"/>
      <c r="P38" s="44"/>
      <c r="Q38" s="43"/>
    </row>
    <row r="39" ht="22.5" customHeight="1">
      <c r="B39" s="43"/>
      <c r="C39" s="120"/>
      <c r="D39" s="140"/>
      <c r="E39" s="120"/>
      <c r="F39" s="120"/>
      <c r="G39" s="141"/>
      <c r="H39" s="141"/>
      <c r="I39" s="43"/>
      <c r="J39" s="44"/>
      <c r="K39" s="142"/>
      <c r="L39" s="43"/>
      <c r="M39" s="44"/>
      <c r="N39" s="43"/>
      <c r="O39" s="44"/>
      <c r="P39" s="44"/>
      <c r="Q39" s="43"/>
    </row>
    <row r="40" ht="22.5" customHeight="1">
      <c r="B40" s="43"/>
      <c r="C40" s="120"/>
      <c r="D40" s="140"/>
      <c r="E40" s="120"/>
      <c r="F40" s="120"/>
      <c r="G40" s="144"/>
      <c r="H40" s="144"/>
      <c r="I40" s="43"/>
      <c r="J40" s="44"/>
      <c r="K40" s="142"/>
      <c r="L40" s="43"/>
      <c r="M40" s="44"/>
      <c r="N40" s="43"/>
      <c r="O40" s="44"/>
      <c r="P40" s="44"/>
      <c r="Q40" s="43"/>
    </row>
    <row r="41" ht="22.5" customHeight="1">
      <c r="B41" s="43"/>
      <c r="C41" s="120"/>
      <c r="D41" s="140"/>
      <c r="E41" s="120"/>
      <c r="F41" s="120"/>
      <c r="G41" s="144"/>
      <c r="H41" s="144"/>
      <c r="I41" s="43"/>
      <c r="J41" s="44"/>
      <c r="K41" s="142"/>
      <c r="L41" s="43"/>
      <c r="M41" s="44"/>
      <c r="N41" s="43"/>
      <c r="O41" s="44"/>
      <c r="P41" s="44"/>
      <c r="Q41" s="43"/>
    </row>
    <row r="42" ht="22.5" customHeight="1">
      <c r="B42" s="43"/>
      <c r="C42" s="120"/>
      <c r="D42" s="140"/>
      <c r="E42" s="120"/>
      <c r="F42" s="120"/>
      <c r="G42" s="144"/>
      <c r="H42" s="144"/>
      <c r="I42" s="43"/>
      <c r="J42" s="44"/>
      <c r="K42" s="142"/>
      <c r="L42" s="43"/>
      <c r="M42" s="44"/>
      <c r="N42" s="43"/>
      <c r="O42" s="44"/>
      <c r="P42" s="44"/>
      <c r="Q42" s="43"/>
    </row>
    <row r="43" ht="22.5" customHeight="1">
      <c r="B43" s="43"/>
      <c r="C43" s="120"/>
      <c r="D43" s="140"/>
      <c r="E43" s="120"/>
      <c r="F43" s="120"/>
      <c r="G43" s="144"/>
      <c r="H43" s="144"/>
      <c r="I43" s="43"/>
      <c r="J43" s="44"/>
      <c r="K43" s="142"/>
      <c r="L43" s="43"/>
      <c r="M43" s="44"/>
      <c r="N43" s="43"/>
      <c r="O43" s="44"/>
      <c r="P43" s="44"/>
      <c r="Q43" s="43"/>
    </row>
    <row r="44" ht="22.5" customHeight="1">
      <c r="B44" s="43"/>
      <c r="C44" s="120"/>
      <c r="D44" s="140"/>
      <c r="E44" s="120"/>
      <c r="F44" s="120"/>
      <c r="G44" s="144"/>
      <c r="H44" s="144"/>
      <c r="I44" s="43"/>
      <c r="J44" s="44"/>
      <c r="K44" s="142"/>
      <c r="L44" s="43"/>
      <c r="M44" s="44"/>
      <c r="N44" s="43"/>
      <c r="O44" s="44"/>
      <c r="P44" s="44"/>
      <c r="Q44" s="43"/>
    </row>
    <row r="45" ht="22.5" customHeight="1">
      <c r="B45" s="43"/>
      <c r="C45" s="120"/>
      <c r="D45" s="140"/>
      <c r="E45" s="120"/>
      <c r="F45" s="120"/>
      <c r="G45" s="144"/>
      <c r="H45" s="144"/>
      <c r="I45" s="43"/>
      <c r="J45" s="44"/>
      <c r="K45" s="142"/>
      <c r="L45" s="43"/>
      <c r="M45" s="44"/>
      <c r="N45" s="43"/>
      <c r="O45" s="44"/>
      <c r="P45" s="44"/>
      <c r="Q45" s="43"/>
    </row>
    <row r="46" ht="22.5" customHeight="1">
      <c r="B46" s="43"/>
      <c r="C46" s="120"/>
      <c r="D46" s="140"/>
      <c r="E46" s="120"/>
      <c r="F46" s="120"/>
      <c r="G46" s="144"/>
      <c r="H46" s="144"/>
      <c r="I46" s="43"/>
      <c r="J46" s="44"/>
      <c r="K46" s="142"/>
      <c r="L46" s="43"/>
      <c r="M46" s="44"/>
      <c r="N46" s="43"/>
      <c r="O46" s="44"/>
      <c r="P46" s="44"/>
      <c r="Q46" s="43"/>
    </row>
    <row r="47" ht="22.5" customHeight="1">
      <c r="B47" s="43"/>
      <c r="C47" s="120"/>
      <c r="D47" s="140"/>
      <c r="E47" s="120"/>
      <c r="F47" s="120"/>
      <c r="G47" s="144"/>
      <c r="H47" s="144"/>
      <c r="I47" s="43"/>
      <c r="J47" s="44"/>
      <c r="K47" s="142"/>
      <c r="L47" s="43"/>
      <c r="M47" s="44"/>
      <c r="N47" s="43"/>
      <c r="O47" s="44"/>
      <c r="P47" s="44"/>
      <c r="Q47" s="43"/>
    </row>
    <row r="48" ht="22.5" customHeight="1">
      <c r="B48" s="43"/>
      <c r="C48" s="120"/>
      <c r="D48" s="140"/>
      <c r="E48" s="120"/>
      <c r="F48" s="120"/>
      <c r="G48" s="144"/>
      <c r="H48" s="144"/>
      <c r="I48" s="43"/>
      <c r="J48" s="44"/>
      <c r="K48" s="142"/>
      <c r="L48" s="43"/>
      <c r="M48" s="44"/>
      <c r="N48" s="43"/>
      <c r="O48" s="44"/>
      <c r="P48" s="44"/>
      <c r="Q48" s="43"/>
    </row>
    <row r="49" ht="22.5" customHeight="1">
      <c r="B49" s="43"/>
      <c r="C49" s="120"/>
      <c r="D49" s="140"/>
      <c r="E49" s="120"/>
      <c r="F49" s="120"/>
      <c r="G49" s="144"/>
      <c r="H49" s="144"/>
      <c r="I49" s="43"/>
      <c r="J49" s="44"/>
      <c r="K49" s="142"/>
      <c r="L49" s="43"/>
      <c r="M49" s="44"/>
      <c r="N49" s="43"/>
      <c r="O49" s="44"/>
      <c r="P49" s="44"/>
      <c r="Q49" s="43"/>
    </row>
    <row r="50" ht="22.5" customHeight="1">
      <c r="B50" s="43"/>
      <c r="C50" s="120"/>
      <c r="D50" s="140"/>
      <c r="E50" s="120"/>
      <c r="F50" s="120"/>
      <c r="G50" s="144"/>
      <c r="H50" s="144"/>
      <c r="I50" s="43"/>
      <c r="J50" s="44"/>
      <c r="K50" s="142"/>
      <c r="L50" s="43"/>
      <c r="M50" s="44"/>
      <c r="N50" s="43"/>
      <c r="O50" s="44"/>
      <c r="P50" s="44"/>
      <c r="Q50" s="43"/>
    </row>
    <row r="51" ht="22.5" customHeight="1">
      <c r="B51" s="43"/>
      <c r="C51" s="120"/>
      <c r="D51" s="140"/>
      <c r="E51" s="120"/>
      <c r="F51" s="120"/>
      <c r="G51" s="144"/>
      <c r="H51" s="144"/>
      <c r="I51" s="43"/>
      <c r="J51" s="44"/>
      <c r="K51" s="142"/>
      <c r="L51" s="43"/>
      <c r="M51" s="44"/>
      <c r="N51" s="43"/>
      <c r="O51" s="44"/>
      <c r="P51" s="44"/>
      <c r="Q51" s="43"/>
    </row>
    <row r="52" ht="22.5" customHeight="1">
      <c r="B52" s="43"/>
      <c r="C52" s="120"/>
      <c r="D52" s="140"/>
      <c r="E52" s="120"/>
      <c r="F52" s="120"/>
      <c r="G52" s="144"/>
      <c r="H52" s="144"/>
      <c r="I52" s="43"/>
      <c r="J52" s="44"/>
      <c r="K52" s="142"/>
      <c r="L52" s="43"/>
      <c r="M52" s="44"/>
      <c r="N52" s="43"/>
      <c r="O52" s="44"/>
      <c r="P52" s="44"/>
      <c r="Q52" s="43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0.88"/>
    <col customWidth="1" min="9" max="9" width="20.13"/>
    <col customWidth="1" min="10" max="10" width="22.88"/>
    <col customWidth="1" min="11" max="11" width="17.0"/>
    <col customWidth="1" min="12" max="12" width="17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14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2000000.0</v>
      </c>
      <c r="F4" s="14">
        <f>SUMIFS(OPI[MAF NETO],OPI[ESTADO],"Desembolsado")</f>
        <v>1083450</v>
      </c>
      <c r="G4" s="14">
        <f>F4-E4</f>
        <v>-916550</v>
      </c>
      <c r="H4" s="15">
        <f>SUMIFS(OPI[MAF NETO],OPI[ESTADO],H$3)</f>
        <v>0</v>
      </c>
      <c r="I4" s="15">
        <f>SUMIFS(OPI[MAF NETO],OPI[ESTADO],I$3)</f>
        <v>0</v>
      </c>
      <c r="J4" s="15">
        <f>SUMIFS(OPI[MAF NETO],OPI[ESTADO],J$3)</f>
        <v>0</v>
      </c>
      <c r="K4" s="15">
        <f>SUMIFS(OPI[MAF NETO],OPI[ESTADO],K$3)</f>
        <v>0</v>
      </c>
      <c r="L4" s="15">
        <f>SUMIFS(OPI[MAF NETO],OPI[ESTADO],L$3)</f>
        <v>0</v>
      </c>
      <c r="M4" s="15">
        <f>SUMIFS(OPI[MAF NETO],OPI[ESTADO],M$3)</f>
        <v>0</v>
      </c>
      <c r="N4" s="15">
        <f>SUMIFS(OPI[MAF NETO],OPI[ESTADO],N$3)</f>
        <v>0</v>
      </c>
    </row>
    <row r="5" ht="26.25" customHeight="1">
      <c r="D5" s="16" t="s">
        <v>30</v>
      </c>
      <c r="E5" s="17" t="s">
        <v>31</v>
      </c>
      <c r="F5" s="18">
        <f>COUNTIFS(OPI[ESTADO],"Desembolsado")</f>
        <v>16</v>
      </c>
      <c r="G5" s="19">
        <f>IFERROR(F4/E4,"")</f>
        <v>0.541725</v>
      </c>
      <c r="H5" s="18">
        <f>COUNTIFS(OPI[ESTADO],H$3)</f>
        <v>0</v>
      </c>
      <c r="I5" s="18">
        <f>COUNTIFS(OPI[ESTADO],I$3)</f>
        <v>0</v>
      </c>
      <c r="J5" s="18">
        <f>COUNTIFS(OPI[ESTADO],J$3)</f>
        <v>0</v>
      </c>
      <c r="K5" s="18">
        <f>COUNTIFS(OPI[ESTADO],K$3)</f>
        <v>0</v>
      </c>
      <c r="L5" s="18">
        <f>COUNTIFS(OPI[ESTADO],L$3)</f>
        <v>0</v>
      </c>
      <c r="M5" s="18">
        <f>COUNTIFS(OPI[ESTADO],M$3)</f>
        <v>0</v>
      </c>
      <c r="N5" s="18">
        <f>COUNTIFS(OPI[ESTADO],N$3)</f>
        <v>0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14</v>
      </c>
      <c r="C10" s="24">
        <v>46174.0</v>
      </c>
      <c r="D10" s="26" t="s">
        <v>50</v>
      </c>
      <c r="E10" s="24">
        <v>46175.0</v>
      </c>
      <c r="F10" s="24">
        <v>46175.0</v>
      </c>
      <c r="G10" s="29" t="s">
        <v>51</v>
      </c>
      <c r="H10" s="29" t="s">
        <v>52</v>
      </c>
      <c r="I10" s="23" t="s">
        <v>54</v>
      </c>
      <c r="J10" s="26" t="s">
        <v>18</v>
      </c>
      <c r="K10" s="30">
        <v>64000.0</v>
      </c>
      <c r="L10" s="23" t="s">
        <v>57</v>
      </c>
      <c r="M10" s="26"/>
      <c r="N10" s="34"/>
      <c r="O10" s="26"/>
      <c r="P10" s="38"/>
      <c r="Q10" s="40"/>
    </row>
    <row r="11" ht="22.5" customHeight="1">
      <c r="B11" s="23" t="s">
        <v>14</v>
      </c>
      <c r="C11" s="24">
        <v>46115.0</v>
      </c>
      <c r="D11" s="26" t="s">
        <v>50</v>
      </c>
      <c r="E11" s="24">
        <v>46181.0</v>
      </c>
      <c r="F11" s="24">
        <v>46182.0</v>
      </c>
      <c r="G11" s="29" t="s">
        <v>66</v>
      </c>
      <c r="H11" s="29" t="s">
        <v>67</v>
      </c>
      <c r="I11" s="23" t="s">
        <v>68</v>
      </c>
      <c r="J11" s="26" t="s">
        <v>18</v>
      </c>
      <c r="K11" s="30">
        <v>49000.0</v>
      </c>
      <c r="L11" s="23" t="s">
        <v>73</v>
      </c>
      <c r="M11" s="36"/>
      <c r="N11" s="34"/>
      <c r="O11" s="38"/>
      <c r="P11" s="38"/>
      <c r="Q11" s="40"/>
    </row>
    <row r="12" ht="22.5" customHeight="1">
      <c r="B12" s="23" t="s">
        <v>14</v>
      </c>
      <c r="C12" s="24">
        <v>46181.0</v>
      </c>
      <c r="D12" s="26" t="s">
        <v>50</v>
      </c>
      <c r="E12" s="24">
        <v>46183.0</v>
      </c>
      <c r="F12" s="24">
        <v>46183.0</v>
      </c>
      <c r="G12" s="29" t="s">
        <v>79</v>
      </c>
      <c r="H12" s="29" t="s">
        <v>80</v>
      </c>
      <c r="I12" s="23" t="s">
        <v>82</v>
      </c>
      <c r="J12" s="26" t="s">
        <v>18</v>
      </c>
      <c r="K12" s="30">
        <v>47000.0</v>
      </c>
      <c r="L12" s="23" t="s">
        <v>73</v>
      </c>
      <c r="M12" s="36"/>
      <c r="N12" s="40"/>
      <c r="O12" s="38"/>
      <c r="P12" s="38"/>
      <c r="Q12" s="40"/>
    </row>
    <row r="13" ht="22.5" customHeight="1">
      <c r="B13" s="23" t="s">
        <v>14</v>
      </c>
      <c r="C13" s="24">
        <v>46181.0</v>
      </c>
      <c r="D13" s="26" t="s">
        <v>50</v>
      </c>
      <c r="E13" s="24">
        <v>46181.0</v>
      </c>
      <c r="F13" s="24">
        <v>46181.0</v>
      </c>
      <c r="G13" s="29" t="s">
        <v>89</v>
      </c>
      <c r="H13" s="29" t="s">
        <v>90</v>
      </c>
      <c r="I13" s="23" t="s">
        <v>54</v>
      </c>
      <c r="J13" s="26" t="s">
        <v>18</v>
      </c>
      <c r="K13" s="30">
        <v>40000.0</v>
      </c>
      <c r="L13" s="23" t="s">
        <v>73</v>
      </c>
      <c r="M13" s="36"/>
      <c r="N13" s="40"/>
      <c r="O13" s="38"/>
      <c r="P13" s="38"/>
      <c r="Q13" s="40"/>
    </row>
    <row r="14" ht="22.5" customHeight="1">
      <c r="B14" s="23" t="s">
        <v>95</v>
      </c>
      <c r="C14" s="24">
        <v>46177.0</v>
      </c>
      <c r="D14" s="26" t="s">
        <v>50</v>
      </c>
      <c r="E14" s="24">
        <v>46181.0</v>
      </c>
      <c r="F14" s="24">
        <v>46184.0</v>
      </c>
      <c r="G14" s="29" t="s">
        <v>99</v>
      </c>
      <c r="H14" s="29" t="s">
        <v>100</v>
      </c>
      <c r="I14" s="23" t="s">
        <v>82</v>
      </c>
      <c r="J14" s="26" t="s">
        <v>18</v>
      </c>
      <c r="K14" s="30">
        <v>37600.0</v>
      </c>
      <c r="L14" s="23" t="s">
        <v>73</v>
      </c>
      <c r="M14" s="36"/>
      <c r="N14" s="34"/>
      <c r="O14" s="38"/>
      <c r="P14" s="38"/>
      <c r="Q14" s="40"/>
    </row>
    <row r="15" ht="22.5" customHeight="1">
      <c r="B15" s="23" t="s">
        <v>14</v>
      </c>
      <c r="C15" s="24">
        <v>46181.0</v>
      </c>
      <c r="D15" s="26" t="s">
        <v>50</v>
      </c>
      <c r="E15" s="24">
        <v>46182.0</v>
      </c>
      <c r="F15" s="24">
        <v>46183.0</v>
      </c>
      <c r="G15" s="29" t="s">
        <v>107</v>
      </c>
      <c r="H15" s="29" t="s">
        <v>108</v>
      </c>
      <c r="I15" s="23" t="s">
        <v>54</v>
      </c>
      <c r="J15" s="26" t="s">
        <v>18</v>
      </c>
      <c r="K15" s="30">
        <v>47000.0</v>
      </c>
      <c r="L15" s="23" t="s">
        <v>73</v>
      </c>
      <c r="M15" s="38"/>
      <c r="N15" s="40"/>
      <c r="O15" s="38"/>
      <c r="P15" s="38"/>
      <c r="Q15" s="40"/>
    </row>
    <row r="16" ht="22.5" customHeight="1">
      <c r="B16" s="23" t="s">
        <v>112</v>
      </c>
      <c r="C16" s="24">
        <v>46183.0</v>
      </c>
      <c r="D16" s="26" t="s">
        <v>50</v>
      </c>
      <c r="E16" s="24">
        <v>46188.0</v>
      </c>
      <c r="F16" s="24">
        <v>46189.0</v>
      </c>
      <c r="G16" s="29" t="s">
        <v>114</v>
      </c>
      <c r="H16" s="29" t="s">
        <v>115</v>
      </c>
      <c r="I16" s="23" t="s">
        <v>82</v>
      </c>
      <c r="J16" s="26" t="s">
        <v>18</v>
      </c>
      <c r="K16" s="30">
        <v>56400.0</v>
      </c>
      <c r="L16" s="23" t="s">
        <v>73</v>
      </c>
      <c r="M16" s="38"/>
      <c r="N16" s="40"/>
      <c r="O16" s="38"/>
      <c r="P16" s="38"/>
      <c r="Q16" s="40"/>
    </row>
    <row r="17" ht="22.5" customHeight="1">
      <c r="B17" s="23" t="s">
        <v>14</v>
      </c>
      <c r="C17" s="24">
        <v>46183.0</v>
      </c>
      <c r="D17" s="26" t="s">
        <v>50</v>
      </c>
      <c r="E17" s="24">
        <v>46184.0</v>
      </c>
      <c r="F17" s="24">
        <v>46185.0</v>
      </c>
      <c r="G17" s="29" t="s">
        <v>120</v>
      </c>
      <c r="H17" s="29" t="s">
        <v>121</v>
      </c>
      <c r="I17" s="23" t="s">
        <v>54</v>
      </c>
      <c r="J17" s="26" t="s">
        <v>18</v>
      </c>
      <c r="K17" s="30">
        <v>77300.0</v>
      </c>
      <c r="L17" s="23" t="s">
        <v>57</v>
      </c>
      <c r="M17" s="38"/>
      <c r="N17" s="40"/>
      <c r="O17" s="38"/>
      <c r="P17" s="38"/>
      <c r="Q17" s="40"/>
    </row>
    <row r="18" ht="22.5" customHeight="1">
      <c r="B18" s="23" t="s">
        <v>14</v>
      </c>
      <c r="C18" s="24">
        <v>46183.0</v>
      </c>
      <c r="D18" s="26" t="s">
        <v>50</v>
      </c>
      <c r="E18" s="24">
        <v>46184.0</v>
      </c>
      <c r="F18" s="24">
        <v>46185.0</v>
      </c>
      <c r="G18" s="29" t="s">
        <v>126</v>
      </c>
      <c r="H18" s="29" t="s">
        <v>127</v>
      </c>
      <c r="I18" s="23" t="s">
        <v>128</v>
      </c>
      <c r="J18" s="26" t="s">
        <v>18</v>
      </c>
      <c r="K18" s="30">
        <v>124950.0</v>
      </c>
      <c r="L18" s="23" t="s">
        <v>73</v>
      </c>
      <c r="M18" s="36"/>
      <c r="N18" s="40"/>
      <c r="O18" s="38"/>
      <c r="P18" s="38"/>
      <c r="Q18" s="40"/>
    </row>
    <row r="19" ht="22.5" customHeight="1">
      <c r="B19" s="23" t="s">
        <v>14</v>
      </c>
      <c r="C19" s="24">
        <v>46185.0</v>
      </c>
      <c r="D19" s="26" t="s">
        <v>50</v>
      </c>
      <c r="E19" s="24">
        <v>46188.0</v>
      </c>
      <c r="F19" s="24">
        <v>46189.0</v>
      </c>
      <c r="G19" s="29" t="s">
        <v>133</v>
      </c>
      <c r="H19" s="29" t="s">
        <v>134</v>
      </c>
      <c r="I19" s="23" t="s">
        <v>54</v>
      </c>
      <c r="J19" s="26" t="s">
        <v>18</v>
      </c>
      <c r="K19" s="30">
        <v>77300.0</v>
      </c>
      <c r="L19" s="23" t="s">
        <v>136</v>
      </c>
      <c r="M19" s="38"/>
      <c r="N19" s="40"/>
      <c r="O19" s="38"/>
      <c r="P19" s="38"/>
      <c r="Q19" s="40"/>
    </row>
    <row r="20" ht="22.5" customHeight="1">
      <c r="B20" s="23" t="s">
        <v>14</v>
      </c>
      <c r="C20" s="24">
        <v>46188.0</v>
      </c>
      <c r="D20" s="26" t="s">
        <v>50</v>
      </c>
      <c r="E20" s="24">
        <v>46190.0</v>
      </c>
      <c r="F20" s="24">
        <v>46193.0</v>
      </c>
      <c r="G20" s="29" t="s">
        <v>141</v>
      </c>
      <c r="H20" s="29" t="s">
        <v>143</v>
      </c>
      <c r="I20" s="23" t="s">
        <v>82</v>
      </c>
      <c r="J20" s="26" t="s">
        <v>18</v>
      </c>
      <c r="K20" s="30">
        <v>137000.0</v>
      </c>
      <c r="L20" s="23" t="s">
        <v>73</v>
      </c>
      <c r="M20" s="38"/>
      <c r="N20" s="40"/>
      <c r="O20" s="38"/>
      <c r="P20" s="38"/>
      <c r="Q20" s="40"/>
    </row>
    <row r="21" ht="22.5" customHeight="1">
      <c r="B21" s="23" t="s">
        <v>145</v>
      </c>
      <c r="C21" s="24">
        <v>46189.0</v>
      </c>
      <c r="D21" s="26" t="s">
        <v>50</v>
      </c>
      <c r="E21" s="24">
        <v>46191.0</v>
      </c>
      <c r="F21" s="24">
        <v>46191.0</v>
      </c>
      <c r="G21" s="29" t="s">
        <v>147</v>
      </c>
      <c r="H21" s="29" t="s">
        <v>149</v>
      </c>
      <c r="I21" s="23" t="s">
        <v>82</v>
      </c>
      <c r="J21" s="26" t="s">
        <v>18</v>
      </c>
      <c r="K21" s="30">
        <v>87000.0</v>
      </c>
      <c r="L21" s="23" t="s">
        <v>73</v>
      </c>
      <c r="M21" s="38"/>
      <c r="N21" s="40"/>
      <c r="O21" s="38"/>
      <c r="P21" s="38"/>
      <c r="Q21" s="40"/>
    </row>
    <row r="22" ht="22.5" customHeight="1">
      <c r="B22" s="23" t="s">
        <v>14</v>
      </c>
      <c r="C22" s="24">
        <v>46190.0</v>
      </c>
      <c r="D22" s="26" t="s">
        <v>50</v>
      </c>
      <c r="E22" s="24">
        <v>46191.0</v>
      </c>
      <c r="F22" s="24">
        <v>46191.0</v>
      </c>
      <c r="G22" s="29" t="s">
        <v>150</v>
      </c>
      <c r="H22" s="29" t="s">
        <v>152</v>
      </c>
      <c r="I22" s="23" t="s">
        <v>54</v>
      </c>
      <c r="J22" s="26" t="s">
        <v>18</v>
      </c>
      <c r="K22" s="30">
        <v>36000.0</v>
      </c>
      <c r="L22" s="23" t="s">
        <v>57</v>
      </c>
      <c r="M22" s="38"/>
      <c r="N22" s="40"/>
      <c r="O22" s="38"/>
      <c r="P22" s="38"/>
      <c r="Q22" s="40"/>
    </row>
    <row r="23" ht="22.5" customHeight="1">
      <c r="B23" s="23" t="s">
        <v>14</v>
      </c>
      <c r="C23" s="24">
        <v>46191.0</v>
      </c>
      <c r="D23" s="26" t="s">
        <v>50</v>
      </c>
      <c r="E23" s="24">
        <v>46196.0</v>
      </c>
      <c r="F23" s="24">
        <v>46196.0</v>
      </c>
      <c r="G23" s="29" t="s">
        <v>154</v>
      </c>
      <c r="H23" s="29" t="s">
        <v>156</v>
      </c>
      <c r="I23" s="23" t="s">
        <v>128</v>
      </c>
      <c r="J23" s="26" t="s">
        <v>18</v>
      </c>
      <c r="K23" s="30">
        <v>65600.0</v>
      </c>
      <c r="L23" s="23" t="s">
        <v>73</v>
      </c>
      <c r="M23" s="38"/>
      <c r="N23" s="40"/>
      <c r="O23" s="38"/>
      <c r="P23" s="38"/>
      <c r="Q23" s="40"/>
    </row>
    <row r="24" ht="22.5" customHeight="1">
      <c r="B24" s="23" t="s">
        <v>158</v>
      </c>
      <c r="C24" s="24">
        <v>46191.0</v>
      </c>
      <c r="D24" s="26" t="s">
        <v>50</v>
      </c>
      <c r="E24" s="24">
        <v>46192.0</v>
      </c>
      <c r="F24" s="24">
        <v>46192.0</v>
      </c>
      <c r="G24" s="29" t="s">
        <v>159</v>
      </c>
      <c r="H24" s="29" t="s">
        <v>160</v>
      </c>
      <c r="I24" s="23" t="s">
        <v>82</v>
      </c>
      <c r="J24" s="26" t="s">
        <v>18</v>
      </c>
      <c r="K24" s="30">
        <v>54000.0</v>
      </c>
      <c r="L24" s="23" t="s">
        <v>73</v>
      </c>
      <c r="M24" s="38"/>
      <c r="N24" s="40"/>
      <c r="O24" s="38"/>
      <c r="P24" s="38"/>
      <c r="Q24" s="40"/>
    </row>
    <row r="25" ht="22.5" customHeight="1">
      <c r="B25" s="23" t="s">
        <v>14</v>
      </c>
      <c r="C25" s="24">
        <v>46195.0</v>
      </c>
      <c r="D25" s="26" t="s">
        <v>50</v>
      </c>
      <c r="E25" s="24">
        <v>46196.0</v>
      </c>
      <c r="F25" s="24">
        <v>46197.0</v>
      </c>
      <c r="G25" s="29" t="s">
        <v>164</v>
      </c>
      <c r="H25" s="29" t="s">
        <v>165</v>
      </c>
      <c r="I25" s="23" t="s">
        <v>128</v>
      </c>
      <c r="J25" s="26" t="s">
        <v>18</v>
      </c>
      <c r="K25" s="30">
        <v>83300.0</v>
      </c>
      <c r="L25" s="23" t="s">
        <v>73</v>
      </c>
      <c r="M25" s="38"/>
      <c r="N25" s="40"/>
      <c r="O25" s="38"/>
      <c r="P25" s="38"/>
      <c r="Q25" s="40"/>
    </row>
    <row r="26" ht="22.5" customHeight="1">
      <c r="B26" s="23"/>
      <c r="C26" s="24"/>
      <c r="D26" s="36"/>
      <c r="E26" s="24"/>
      <c r="F26" s="24"/>
      <c r="G26" s="29"/>
      <c r="H26" s="29"/>
      <c r="I26" s="23"/>
      <c r="J26" s="36"/>
      <c r="K26" s="30"/>
      <c r="L26" s="23"/>
      <c r="M26" s="38"/>
      <c r="N26" s="40"/>
      <c r="O26" s="38"/>
      <c r="P26" s="38"/>
      <c r="Q26" s="40"/>
    </row>
    <row r="27" ht="22.5" customHeight="1">
      <c r="B27" s="23"/>
      <c r="C27" s="24"/>
      <c r="D27" s="36"/>
      <c r="E27" s="24"/>
      <c r="F27" s="24"/>
      <c r="G27" s="29"/>
      <c r="H27" s="29"/>
      <c r="I27" s="23"/>
      <c r="J27" s="36"/>
      <c r="K27" s="30"/>
      <c r="L27" s="23"/>
      <c r="M27" s="38"/>
      <c r="N27" s="40"/>
      <c r="O27" s="38"/>
      <c r="P27" s="38"/>
      <c r="Q27" s="23"/>
    </row>
    <row r="28" ht="22.5" customHeight="1">
      <c r="B28" s="23"/>
      <c r="C28" s="24"/>
      <c r="D28" s="36"/>
      <c r="E28" s="24"/>
      <c r="F28" s="24"/>
      <c r="G28" s="29"/>
      <c r="H28" s="29"/>
      <c r="I28" s="23"/>
      <c r="J28" s="36"/>
      <c r="K28" s="30"/>
      <c r="L28" s="23"/>
      <c r="M28" s="38"/>
      <c r="N28" s="40"/>
      <c r="O28" s="38"/>
      <c r="P28" s="38"/>
      <c r="Q28" s="40"/>
    </row>
    <row r="29" ht="22.5" customHeight="1">
      <c r="B29" s="23"/>
      <c r="C29" s="24"/>
      <c r="D29" s="36"/>
      <c r="E29" s="24"/>
      <c r="F29" s="24"/>
      <c r="G29" s="29"/>
      <c r="H29" s="29"/>
      <c r="I29" s="23"/>
      <c r="J29" s="36"/>
      <c r="K29" s="30"/>
      <c r="L29" s="23"/>
      <c r="M29" s="38"/>
      <c r="N29" s="40"/>
      <c r="O29" s="38"/>
      <c r="P29" s="38"/>
      <c r="Q29" s="40"/>
    </row>
    <row r="30" ht="22.5" customHeight="1">
      <c r="B30" s="23"/>
      <c r="C30" s="24"/>
      <c r="D30" s="36"/>
      <c r="E30" s="24"/>
      <c r="F30" s="24"/>
      <c r="G30" s="29"/>
      <c r="H30" s="29"/>
      <c r="I30" s="23"/>
      <c r="J30" s="36"/>
      <c r="K30" s="30"/>
      <c r="L30" s="23"/>
      <c r="M30" s="38"/>
      <c r="N30" s="40"/>
      <c r="O30" s="38"/>
      <c r="P30" s="38"/>
      <c r="Q30" s="40"/>
    </row>
    <row r="31" ht="22.5" customHeight="1">
      <c r="B31" s="23"/>
      <c r="C31" s="24"/>
      <c r="D31" s="36"/>
      <c r="E31" s="24"/>
      <c r="F31" s="24"/>
      <c r="G31" s="29"/>
      <c r="H31" s="29"/>
      <c r="I31" s="23"/>
      <c r="J31" s="36"/>
      <c r="K31" s="30"/>
      <c r="L31" s="23"/>
      <c r="M31" s="38"/>
      <c r="N31" s="40"/>
      <c r="O31" s="38"/>
      <c r="P31" s="38"/>
      <c r="Q31" s="40"/>
    </row>
    <row r="32" ht="22.5" customHeight="1">
      <c r="B32" s="40"/>
      <c r="C32" s="24"/>
      <c r="D32" s="36"/>
      <c r="E32" s="24"/>
      <c r="F32" s="24"/>
      <c r="G32" s="29"/>
      <c r="H32" s="29"/>
      <c r="I32" s="23"/>
      <c r="J32" s="36"/>
      <c r="K32" s="30"/>
      <c r="L32" s="23"/>
      <c r="M32" s="38"/>
      <c r="N32" s="40"/>
      <c r="O32" s="38"/>
      <c r="P32" s="38"/>
      <c r="Q32" s="40"/>
    </row>
    <row r="33" ht="22.5" customHeight="1">
      <c r="B33" s="23"/>
      <c r="C33" s="24"/>
      <c r="D33" s="26"/>
      <c r="E33" s="24"/>
      <c r="F33" s="24"/>
      <c r="G33" s="29"/>
      <c r="H33" s="29"/>
      <c r="I33" s="23"/>
      <c r="J33" s="26"/>
      <c r="K33" s="30"/>
      <c r="L33" s="23"/>
      <c r="M33" s="38"/>
      <c r="N33" s="40"/>
      <c r="O33" s="38"/>
      <c r="P33" s="38"/>
      <c r="Q33" s="23"/>
    </row>
    <row r="34" ht="22.5" customHeight="1">
      <c r="B34" s="23"/>
      <c r="C34" s="24"/>
      <c r="D34" s="26"/>
      <c r="E34" s="24"/>
      <c r="F34" s="24"/>
      <c r="G34" s="29"/>
      <c r="H34" s="29"/>
      <c r="I34" s="23"/>
      <c r="J34" s="26"/>
      <c r="K34" s="30"/>
      <c r="L34" s="23"/>
      <c r="M34" s="38"/>
      <c r="N34" s="40"/>
      <c r="O34" s="38"/>
      <c r="P34" s="38"/>
      <c r="Q34" s="40"/>
    </row>
    <row r="35" ht="22.5" customHeight="1">
      <c r="B35" s="23"/>
      <c r="C35" s="24"/>
      <c r="D35" s="26"/>
      <c r="E35" s="24"/>
      <c r="F35" s="24"/>
      <c r="G35" s="29"/>
      <c r="H35" s="29"/>
      <c r="I35" s="23"/>
      <c r="J35" s="26"/>
      <c r="K35" s="30"/>
      <c r="L35" s="23"/>
      <c r="M35" s="38"/>
      <c r="N35" s="40"/>
      <c r="O35" s="38"/>
      <c r="P35" s="38"/>
      <c r="Q35" s="40"/>
    </row>
    <row r="36" ht="22.5" customHeight="1">
      <c r="B36" s="23"/>
      <c r="C36" s="24"/>
      <c r="D36" s="26"/>
      <c r="E36" s="24"/>
      <c r="F36" s="24"/>
      <c r="G36" s="29"/>
      <c r="H36" s="29"/>
      <c r="I36" s="23"/>
      <c r="J36" s="26"/>
      <c r="K36" s="30"/>
      <c r="L36" s="23"/>
      <c r="M36" s="38"/>
      <c r="N36" s="40"/>
      <c r="O36" s="38"/>
      <c r="P36" s="38"/>
      <c r="Q36" s="40"/>
    </row>
    <row r="37" ht="22.5" customHeight="1">
      <c r="B37" s="23"/>
      <c r="C37" s="24"/>
      <c r="D37" s="26"/>
      <c r="E37" s="24"/>
      <c r="F37" s="24"/>
      <c r="G37" s="29"/>
      <c r="H37" s="29"/>
      <c r="I37" s="23"/>
      <c r="J37" s="26"/>
      <c r="K37" s="30"/>
      <c r="L37" s="23"/>
      <c r="M37" s="38"/>
      <c r="N37" s="40"/>
      <c r="O37" s="38"/>
      <c r="P37" s="38"/>
      <c r="Q37" s="40"/>
    </row>
    <row r="38" ht="22.5" customHeight="1">
      <c r="B38" s="40"/>
      <c r="C38" s="24"/>
      <c r="D38" s="26"/>
      <c r="E38" s="24"/>
      <c r="F38" s="24"/>
      <c r="G38" s="29"/>
      <c r="H38" s="29"/>
      <c r="I38" s="23"/>
      <c r="J38" s="26"/>
      <c r="K38" s="30"/>
      <c r="L38" s="23"/>
      <c r="M38" s="38"/>
      <c r="N38" s="40"/>
      <c r="O38" s="38"/>
      <c r="P38" s="38"/>
      <c r="Q38" s="40"/>
    </row>
    <row r="39" ht="22.5" customHeight="1">
      <c r="B39" s="40"/>
      <c r="C39" s="24"/>
      <c r="D39" s="26"/>
      <c r="E39" s="24"/>
      <c r="F39" s="24"/>
      <c r="G39" s="29"/>
      <c r="H39" s="29"/>
      <c r="I39" s="23"/>
      <c r="J39" s="26"/>
      <c r="K39" s="30"/>
      <c r="L39" s="23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4.75"/>
    <col customWidth="1" min="9" max="9" width="19.25"/>
    <col customWidth="1" min="10" max="10" width="22.88"/>
    <col customWidth="1" min="11" max="11" width="17.0"/>
    <col customWidth="1" min="12" max="12" width="17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15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800000.0</v>
      </c>
      <c r="F4" s="14">
        <f>SUMIFS(OPI_4[MAF NETO],OPI_4[ESTADO],"Desembolsado")</f>
        <v>258960</v>
      </c>
      <c r="G4" s="14">
        <f>F4-E4</f>
        <v>-541040</v>
      </c>
      <c r="H4" s="15">
        <f>SUMIFS(OPI_4[MAF NETO],OPI_4[ESTADO],H$3)</f>
        <v>0</v>
      </c>
      <c r="I4" s="15">
        <f>SUMIFS(OPI_4[MAF NETO],OPI_4[ESTADO],I$3)</f>
        <v>0</v>
      </c>
      <c r="J4" s="15">
        <f>SUMIFS(OPI_4[MAF NETO],OPI_4[ESTADO],J$3)</f>
        <v>0</v>
      </c>
      <c r="K4" s="15">
        <f>SUMIFS(OPI_4[MAF NETO],OPI_4[ESTADO],K$3)</f>
        <v>0</v>
      </c>
      <c r="L4" s="15">
        <f>SUMIFS(OPI_4[MAF NETO],OPI_4[ESTADO],L$3)</f>
        <v>0</v>
      </c>
      <c r="M4" s="15">
        <f>SUMIFS(OPI_4[MAF NETO],OPI_4[ESTADO],M$3)</f>
        <v>0</v>
      </c>
      <c r="N4" s="15">
        <f>SUMIFS(OPI_4[MAF NETO],OPI_4[ESTADO],N$3)</f>
        <v>0</v>
      </c>
    </row>
    <row r="5" ht="26.25" customHeight="1">
      <c r="D5" s="16" t="s">
        <v>30</v>
      </c>
      <c r="E5" s="17" t="s">
        <v>31</v>
      </c>
      <c r="F5" s="18">
        <f>COUNTIFS(OPI_4[ESTADO],"Desembolsado")</f>
        <v>4</v>
      </c>
      <c r="G5" s="19">
        <f>IFERROR(F4/E4,"")</f>
        <v>0.3237</v>
      </c>
      <c r="H5" s="18">
        <f>COUNTIFS(OPI_4[ESTADO],H$3)</f>
        <v>0</v>
      </c>
      <c r="I5" s="18">
        <f>COUNTIFS(OPI_4[ESTADO],I$3)</f>
        <v>0</v>
      </c>
      <c r="J5" s="18">
        <f>COUNTIFS(OPI_4[ESTADO],J$3)</f>
        <v>0</v>
      </c>
      <c r="K5" s="18">
        <f>COUNTIFS(OPI_4[ESTADO],K$3)</f>
        <v>0</v>
      </c>
      <c r="L5" s="18">
        <f>COUNTIFS(OPI_4[ESTADO],L$3)</f>
        <v>0</v>
      </c>
      <c r="M5" s="18">
        <f>COUNTIFS(OPI_4[ESTADO],M$3)</f>
        <v>0</v>
      </c>
      <c r="N5" s="18">
        <f>COUNTIFS(OPI_4[ESTADO],N$3)</f>
        <v>1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15</v>
      </c>
      <c r="C10" s="24">
        <v>46183.0</v>
      </c>
      <c r="D10" s="26" t="s">
        <v>50</v>
      </c>
      <c r="E10" s="24">
        <v>46184.0</v>
      </c>
      <c r="F10" s="24">
        <v>46185.0</v>
      </c>
      <c r="G10" s="29" t="s">
        <v>55</v>
      </c>
      <c r="H10" s="29" t="s">
        <v>56</v>
      </c>
      <c r="I10" s="23" t="s">
        <v>54</v>
      </c>
      <c r="J10" s="26" t="s">
        <v>18</v>
      </c>
      <c r="K10" s="30">
        <v>68030.0</v>
      </c>
      <c r="L10" s="23" t="s">
        <v>60</v>
      </c>
      <c r="M10" s="36"/>
      <c r="N10" s="23"/>
      <c r="O10" s="26" t="s">
        <v>62</v>
      </c>
      <c r="P10" s="38"/>
      <c r="Q10" s="40"/>
    </row>
    <row r="11" ht="22.5" customHeight="1">
      <c r="B11" s="23" t="s">
        <v>15</v>
      </c>
      <c r="C11" s="24">
        <v>46192.0</v>
      </c>
      <c r="D11" s="26" t="s">
        <v>50</v>
      </c>
      <c r="E11" s="24">
        <v>46195.0</v>
      </c>
      <c r="F11" s="24">
        <v>46196.0</v>
      </c>
      <c r="G11" s="29" t="s">
        <v>70</v>
      </c>
      <c r="H11" s="29" t="s">
        <v>72</v>
      </c>
      <c r="I11" s="23" t="s">
        <v>54</v>
      </c>
      <c r="J11" s="26" t="s">
        <v>18</v>
      </c>
      <c r="K11" s="30">
        <v>45580.0</v>
      </c>
      <c r="L11" s="23" t="s">
        <v>75</v>
      </c>
      <c r="M11" s="38"/>
      <c r="N11" s="40"/>
      <c r="O11" s="26"/>
      <c r="P11" s="38"/>
      <c r="Q11" s="40"/>
    </row>
    <row r="12" ht="22.5" customHeight="1">
      <c r="B12" s="23" t="s">
        <v>15</v>
      </c>
      <c r="C12" s="24">
        <v>46285.0</v>
      </c>
      <c r="D12" s="26" t="s">
        <v>50</v>
      </c>
      <c r="E12" s="24">
        <v>46195.0</v>
      </c>
      <c r="F12" s="24">
        <v>46196.0</v>
      </c>
      <c r="G12" s="29" t="s">
        <v>84</v>
      </c>
      <c r="H12" s="29" t="s">
        <v>85</v>
      </c>
      <c r="I12" s="23" t="s">
        <v>54</v>
      </c>
      <c r="J12" s="26" t="s">
        <v>18</v>
      </c>
      <c r="K12" s="30">
        <v>61800.0</v>
      </c>
      <c r="L12" s="23" t="s">
        <v>75</v>
      </c>
      <c r="M12" s="38"/>
      <c r="N12" s="40"/>
      <c r="O12" s="26"/>
      <c r="P12" s="38"/>
      <c r="Q12" s="40"/>
    </row>
    <row r="13" ht="22.5" customHeight="1">
      <c r="B13" s="23" t="s">
        <v>15</v>
      </c>
      <c r="C13" s="24">
        <v>46192.0</v>
      </c>
      <c r="D13" s="26" t="s">
        <v>50</v>
      </c>
      <c r="E13" s="24">
        <v>46196.0</v>
      </c>
      <c r="F13" s="23">
        <v>0.0</v>
      </c>
      <c r="G13" s="29" t="s">
        <v>92</v>
      </c>
      <c r="H13" s="29" t="s">
        <v>93</v>
      </c>
      <c r="I13" s="23" t="s">
        <v>54</v>
      </c>
      <c r="J13" s="26" t="s">
        <v>26</v>
      </c>
      <c r="K13" s="30">
        <v>0.0</v>
      </c>
      <c r="L13" s="23" t="s">
        <v>75</v>
      </c>
      <c r="M13" s="38"/>
      <c r="N13" s="40"/>
      <c r="O13" s="26"/>
      <c r="P13" s="38"/>
      <c r="Q13" s="23" t="s">
        <v>98</v>
      </c>
    </row>
    <row r="14" ht="22.5" customHeight="1">
      <c r="B14" s="23" t="s">
        <v>15</v>
      </c>
      <c r="C14" s="24">
        <v>46197.0</v>
      </c>
      <c r="D14" s="26" t="s">
        <v>50</v>
      </c>
      <c r="E14" s="24">
        <v>46197.0</v>
      </c>
      <c r="F14" s="24">
        <v>46200.0</v>
      </c>
      <c r="G14" s="29" t="s">
        <v>105</v>
      </c>
      <c r="H14" s="29" t="s">
        <v>106</v>
      </c>
      <c r="I14" s="23" t="s">
        <v>54</v>
      </c>
      <c r="J14" s="26" t="s">
        <v>18</v>
      </c>
      <c r="K14" s="30">
        <v>83550.0</v>
      </c>
      <c r="L14" s="23" t="s">
        <v>75</v>
      </c>
      <c r="M14" s="38"/>
      <c r="N14" s="40"/>
      <c r="O14" s="26"/>
      <c r="P14" s="38"/>
      <c r="Q14" s="40"/>
    </row>
    <row r="15" ht="22.5" customHeight="1">
      <c r="B15" s="23"/>
      <c r="C15" s="24"/>
      <c r="D15" s="26"/>
      <c r="E15" s="24"/>
      <c r="F15" s="24"/>
      <c r="G15" s="29"/>
      <c r="H15" s="29"/>
      <c r="I15" s="23"/>
      <c r="J15" s="26"/>
      <c r="K15" s="30"/>
      <c r="L15" s="23"/>
      <c r="M15" s="38"/>
      <c r="N15" s="40"/>
      <c r="O15" s="26"/>
      <c r="P15" s="38"/>
      <c r="Q15" s="40"/>
    </row>
    <row r="16" ht="22.5" customHeight="1">
      <c r="B16" s="40"/>
      <c r="C16" s="94"/>
      <c r="D16" s="36"/>
      <c r="E16" s="94"/>
      <c r="F16" s="94"/>
      <c r="G16" s="97"/>
      <c r="H16" s="97"/>
      <c r="I16" s="40"/>
      <c r="J16" s="38"/>
      <c r="K16" s="30"/>
      <c r="L16" s="40"/>
      <c r="M16" s="38"/>
      <c r="N16" s="40"/>
      <c r="O16" s="38"/>
      <c r="P16" s="38"/>
      <c r="Q16" s="40"/>
    </row>
    <row r="17" ht="22.5" customHeight="1">
      <c r="B17" s="40"/>
      <c r="C17" s="94"/>
      <c r="D17" s="36"/>
      <c r="E17" s="94"/>
      <c r="F17" s="94"/>
      <c r="G17" s="97"/>
      <c r="H17" s="97"/>
      <c r="I17" s="40"/>
      <c r="J17" s="38"/>
      <c r="K17" s="105"/>
      <c r="L17" s="40"/>
      <c r="M17" s="38"/>
      <c r="N17" s="40"/>
      <c r="O17" s="38"/>
      <c r="P17" s="38"/>
      <c r="Q17" s="40"/>
    </row>
    <row r="18" ht="22.5" customHeight="1">
      <c r="B18" s="40"/>
      <c r="C18" s="94"/>
      <c r="D18" s="36"/>
      <c r="E18" s="94"/>
      <c r="F18" s="94"/>
      <c r="G18" s="97"/>
      <c r="H18" s="97"/>
      <c r="I18" s="40"/>
      <c r="J18" s="38"/>
      <c r="K18" s="105"/>
      <c r="L18" s="40"/>
      <c r="M18" s="38"/>
      <c r="N18" s="40"/>
      <c r="O18" s="38"/>
      <c r="P18" s="38"/>
      <c r="Q18" s="40"/>
    </row>
    <row r="19" ht="22.5" customHeight="1">
      <c r="B19" s="40"/>
      <c r="C19" s="94"/>
      <c r="D19" s="36"/>
      <c r="E19" s="94"/>
      <c r="F19" s="94"/>
      <c r="G19" s="97"/>
      <c r="H19" s="97"/>
      <c r="I19" s="40"/>
      <c r="J19" s="38"/>
      <c r="K19" s="105"/>
      <c r="L19" s="40"/>
      <c r="M19" s="38"/>
      <c r="N19" s="40"/>
      <c r="O19" s="38"/>
      <c r="P19" s="38"/>
      <c r="Q19" s="40"/>
    </row>
    <row r="20" ht="22.5" customHeight="1">
      <c r="B20" s="40"/>
      <c r="C20" s="94"/>
      <c r="D20" s="36"/>
      <c r="E20" s="94"/>
      <c r="F20" s="94"/>
      <c r="G20" s="97"/>
      <c r="H20" s="97"/>
      <c r="I20" s="40"/>
      <c r="J20" s="38"/>
      <c r="K20" s="105"/>
      <c r="L20" s="40"/>
      <c r="M20" s="38"/>
      <c r="N20" s="40"/>
      <c r="O20" s="38"/>
      <c r="P20" s="38"/>
      <c r="Q20" s="40"/>
    </row>
    <row r="21" ht="22.5" customHeight="1">
      <c r="B21" s="40"/>
      <c r="C21" s="94"/>
      <c r="D21" s="36"/>
      <c r="E21" s="94"/>
      <c r="F21" s="94"/>
      <c r="G21" s="97"/>
      <c r="H21" s="97"/>
      <c r="I21" s="40"/>
      <c r="J21" s="38"/>
      <c r="K21" s="105"/>
      <c r="L21" s="40"/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4.25"/>
    <col customWidth="1" min="9" max="9" width="19.25"/>
    <col customWidth="1" min="10" max="10" width="22.88"/>
    <col customWidth="1" min="11" max="11" width="17.0"/>
    <col customWidth="1" min="12" max="12" width="14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16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SUMIFS(OPI_3[MAF NETO],OPI_3[ESTADO],"Desembolsado")</f>
        <v>505900</v>
      </c>
      <c r="G4" s="14">
        <f>F4-E4</f>
        <v>-494100</v>
      </c>
      <c r="H4" s="15">
        <f>SUMIFS(OPI_3[MAF NETO],OPI_3[ESTADO],H$3)</f>
        <v>0</v>
      </c>
      <c r="I4" s="15">
        <f>SUMIFS(OPI_3[MAF NETO],OPI_3[ESTADO],I$3)</f>
        <v>0</v>
      </c>
      <c r="J4" s="15">
        <f>SUMIFS(OPI_3[MAF NETO],OPI_3[ESTADO],J$3)</f>
        <v>0</v>
      </c>
      <c r="K4" s="15">
        <f>SUMIFS(OPI_3[MAF NETO],OPI_3[ESTADO],K$3)</f>
        <v>0</v>
      </c>
      <c r="L4" s="15">
        <f>SUMIFS(OPI_3[MAF NETO],OPI_3[ESTADO],L$3)</f>
        <v>0</v>
      </c>
      <c r="M4" s="15">
        <f>SUMIFS(OPI_3[MAF NETO],OPI_3[ESTADO],M$3)</f>
        <v>0</v>
      </c>
      <c r="N4" s="15">
        <f>SUMIFS(OPI_3[MAF NETO],OPI_3[ESTADO],N$3)</f>
        <v>305800</v>
      </c>
    </row>
    <row r="5" ht="26.25" customHeight="1">
      <c r="D5" s="16" t="s">
        <v>30</v>
      </c>
      <c r="E5" s="17" t="s">
        <v>31</v>
      </c>
      <c r="F5" s="18">
        <f>COUNTIFS(OPI_3[ESTADO],"Desembolsado")</f>
        <v>7</v>
      </c>
      <c r="G5" s="19">
        <f>IFERROR(F4/E4,"")</f>
        <v>0.5059</v>
      </c>
      <c r="H5" s="18">
        <f>COUNTIFS(OPI_3[ESTADO],H$3)</f>
        <v>0</v>
      </c>
      <c r="I5" s="18">
        <f>COUNTIFS(OPI_3[ESTADO],I$3)</f>
        <v>0</v>
      </c>
      <c r="J5" s="18">
        <f>COUNTIFS(OPI_3[ESTADO],J$3)</f>
        <v>0</v>
      </c>
      <c r="K5" s="18">
        <f>COUNTIFS(OPI_3[ESTADO],K$3)</f>
        <v>0</v>
      </c>
      <c r="L5" s="18">
        <f>COUNTIFS(OPI_3[ESTADO],L$3)</f>
        <v>0</v>
      </c>
      <c r="M5" s="18">
        <f>COUNTIFS(OPI_3[ESTADO],M$3)</f>
        <v>0</v>
      </c>
      <c r="N5" s="18">
        <f>COUNTIFS(OPI_3[ESTADO],N$3)</f>
        <v>4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16</v>
      </c>
      <c r="C10" s="24">
        <v>46182.0</v>
      </c>
      <c r="D10" s="26" t="s">
        <v>50</v>
      </c>
      <c r="E10" s="24">
        <v>46182.0</v>
      </c>
      <c r="F10" s="24"/>
      <c r="G10" s="126" t="s">
        <v>166</v>
      </c>
      <c r="H10" s="127" t="s">
        <v>167</v>
      </c>
      <c r="I10" s="23" t="s">
        <v>54</v>
      </c>
      <c r="J10" s="26" t="s">
        <v>26</v>
      </c>
      <c r="K10" s="30">
        <v>85800.0</v>
      </c>
      <c r="L10" s="23" t="s">
        <v>168</v>
      </c>
      <c r="M10" s="26"/>
      <c r="N10" s="40"/>
      <c r="O10" s="129"/>
      <c r="P10" s="26"/>
      <c r="Q10" s="23" t="s">
        <v>169</v>
      </c>
    </row>
    <row r="11" ht="22.5" customHeight="1">
      <c r="B11" s="23" t="s">
        <v>16</v>
      </c>
      <c r="C11" s="24">
        <v>46185.0</v>
      </c>
      <c r="D11" s="26" t="s">
        <v>50</v>
      </c>
      <c r="E11" s="24">
        <v>46185.0</v>
      </c>
      <c r="F11" s="130"/>
      <c r="G11" s="131" t="s">
        <v>170</v>
      </c>
      <c r="H11" s="131" t="s">
        <v>171</v>
      </c>
      <c r="I11" s="132" t="s">
        <v>54</v>
      </c>
      <c r="J11" s="26" t="s">
        <v>18</v>
      </c>
      <c r="K11" s="30">
        <v>82500.0</v>
      </c>
      <c r="L11" s="23" t="s">
        <v>172</v>
      </c>
      <c r="M11" s="26" t="s">
        <v>62</v>
      </c>
      <c r="N11" s="40"/>
      <c r="O11" s="133" t="s">
        <v>62</v>
      </c>
      <c r="P11" s="38"/>
      <c r="Q11" s="23"/>
    </row>
    <row r="12" ht="22.5" customHeight="1">
      <c r="B12" s="23" t="s">
        <v>16</v>
      </c>
      <c r="C12" s="24">
        <v>46185.0</v>
      </c>
      <c r="D12" s="26" t="s">
        <v>50</v>
      </c>
      <c r="E12" s="23" t="s">
        <v>173</v>
      </c>
      <c r="F12" s="130"/>
      <c r="G12" s="131" t="s">
        <v>174</v>
      </c>
      <c r="H12" s="131" t="s">
        <v>175</v>
      </c>
      <c r="I12" s="132" t="s">
        <v>54</v>
      </c>
      <c r="J12" s="26" t="s">
        <v>26</v>
      </c>
      <c r="K12" s="30">
        <v>82800.0</v>
      </c>
      <c r="L12" s="23" t="s">
        <v>172</v>
      </c>
      <c r="M12" s="38"/>
      <c r="N12" s="40"/>
      <c r="O12" s="133" t="s">
        <v>62</v>
      </c>
      <c r="P12" s="38"/>
      <c r="Q12" s="23" t="s">
        <v>176</v>
      </c>
    </row>
    <row r="13" ht="22.5" customHeight="1">
      <c r="B13" s="23" t="s">
        <v>16</v>
      </c>
      <c r="C13" s="24">
        <v>46185.0</v>
      </c>
      <c r="D13" s="26" t="s">
        <v>50</v>
      </c>
      <c r="E13" s="24">
        <v>46185.0</v>
      </c>
      <c r="F13" s="130">
        <v>46188.0</v>
      </c>
      <c r="G13" s="131" t="s">
        <v>177</v>
      </c>
      <c r="H13" s="131" t="s">
        <v>178</v>
      </c>
      <c r="I13" s="132" t="s">
        <v>54</v>
      </c>
      <c r="J13" s="26" t="s">
        <v>18</v>
      </c>
      <c r="K13" s="30">
        <v>54500.0</v>
      </c>
      <c r="L13" s="23" t="s">
        <v>172</v>
      </c>
      <c r="M13" s="26"/>
      <c r="N13" s="136"/>
      <c r="O13" s="133" t="s">
        <v>62</v>
      </c>
      <c r="P13" s="26"/>
      <c r="Q13" s="40"/>
    </row>
    <row r="14" ht="22.5" customHeight="1">
      <c r="B14" s="23" t="s">
        <v>16</v>
      </c>
      <c r="C14" s="24">
        <v>46185.0</v>
      </c>
      <c r="D14" s="26" t="s">
        <v>50</v>
      </c>
      <c r="E14" s="24">
        <v>46185.0</v>
      </c>
      <c r="F14" s="130">
        <v>46188.0</v>
      </c>
      <c r="G14" s="131" t="s">
        <v>179</v>
      </c>
      <c r="H14" s="131" t="s">
        <v>180</v>
      </c>
      <c r="I14" s="132" t="s">
        <v>54</v>
      </c>
      <c r="J14" s="26" t="s">
        <v>18</v>
      </c>
      <c r="K14" s="30">
        <v>72800.0</v>
      </c>
      <c r="L14" s="23" t="s">
        <v>172</v>
      </c>
      <c r="M14" s="38"/>
      <c r="N14" s="40"/>
      <c r="O14" s="133" t="s">
        <v>62</v>
      </c>
      <c r="P14" s="38"/>
      <c r="Q14" s="23"/>
    </row>
    <row r="15" ht="22.5" customHeight="1">
      <c r="B15" s="23" t="s">
        <v>16</v>
      </c>
      <c r="C15" s="24">
        <v>46185.0</v>
      </c>
      <c r="D15" s="26" t="s">
        <v>50</v>
      </c>
      <c r="E15" s="24">
        <v>46185.0</v>
      </c>
      <c r="F15" s="130">
        <v>46188.0</v>
      </c>
      <c r="G15" s="143" t="s">
        <v>181</v>
      </c>
      <c r="H15" s="143" t="s">
        <v>182</v>
      </c>
      <c r="I15" s="132" t="s">
        <v>54</v>
      </c>
      <c r="J15" s="26" t="s">
        <v>18</v>
      </c>
      <c r="K15" s="30">
        <v>68400.0</v>
      </c>
      <c r="L15" s="23" t="s">
        <v>172</v>
      </c>
      <c r="M15" s="26"/>
      <c r="N15" s="40"/>
      <c r="O15" s="133" t="s">
        <v>62</v>
      </c>
      <c r="P15" s="38"/>
      <c r="Q15" s="40"/>
    </row>
    <row r="16" ht="22.5" customHeight="1">
      <c r="B16" s="23" t="s">
        <v>16</v>
      </c>
      <c r="C16" s="145">
        <v>46185.0</v>
      </c>
      <c r="D16" s="26" t="s">
        <v>50</v>
      </c>
      <c r="E16" s="146"/>
      <c r="F16" s="130"/>
      <c r="G16" s="143" t="s">
        <v>183</v>
      </c>
      <c r="H16" s="143" t="s">
        <v>184</v>
      </c>
      <c r="I16" s="132" t="s">
        <v>54</v>
      </c>
      <c r="J16" s="26" t="s">
        <v>18</v>
      </c>
      <c r="K16" s="30">
        <v>72800.0</v>
      </c>
      <c r="L16" s="23" t="s">
        <v>172</v>
      </c>
      <c r="M16" s="26"/>
      <c r="N16" s="40"/>
      <c r="O16" s="133" t="s">
        <v>62</v>
      </c>
      <c r="P16" s="38"/>
      <c r="Q16" s="40"/>
    </row>
    <row r="17" ht="22.5" customHeight="1">
      <c r="B17" s="23" t="s">
        <v>16</v>
      </c>
      <c r="C17" s="24">
        <v>46185.0</v>
      </c>
      <c r="D17" s="26" t="s">
        <v>50</v>
      </c>
      <c r="E17" s="24">
        <v>46185.0</v>
      </c>
      <c r="F17" s="130"/>
      <c r="G17" s="143" t="s">
        <v>185</v>
      </c>
      <c r="H17" s="143" t="s">
        <v>186</v>
      </c>
      <c r="I17" s="132" t="s">
        <v>54</v>
      </c>
      <c r="J17" s="26" t="s">
        <v>18</v>
      </c>
      <c r="K17" s="30">
        <v>78200.0</v>
      </c>
      <c r="L17" s="23" t="s">
        <v>172</v>
      </c>
      <c r="M17" s="38"/>
      <c r="N17" s="40"/>
      <c r="O17" s="133" t="s">
        <v>62</v>
      </c>
      <c r="P17" s="38"/>
      <c r="Q17" s="23"/>
    </row>
    <row r="18" ht="22.5" customHeight="1">
      <c r="B18" s="23" t="s">
        <v>16</v>
      </c>
      <c r="C18" s="24">
        <v>46190.0</v>
      </c>
      <c r="D18" s="26" t="s">
        <v>50</v>
      </c>
      <c r="E18" s="94"/>
      <c r="F18" s="24"/>
      <c r="G18" s="147" t="s">
        <v>187</v>
      </c>
      <c r="H18" s="148" t="s">
        <v>188</v>
      </c>
      <c r="I18" s="23" t="s">
        <v>74</v>
      </c>
      <c r="J18" s="26" t="s">
        <v>26</v>
      </c>
      <c r="K18" s="30">
        <v>68900.0</v>
      </c>
      <c r="L18" s="23" t="s">
        <v>168</v>
      </c>
      <c r="M18" s="38"/>
      <c r="N18" s="40"/>
      <c r="O18" s="129"/>
      <c r="P18" s="38"/>
      <c r="Q18" s="23" t="s">
        <v>189</v>
      </c>
    </row>
    <row r="19" ht="22.5" customHeight="1">
      <c r="B19" s="23" t="s">
        <v>16</v>
      </c>
      <c r="C19" s="24">
        <v>46191.0</v>
      </c>
      <c r="D19" s="26" t="s">
        <v>129</v>
      </c>
      <c r="E19" s="24">
        <v>46193.0</v>
      </c>
      <c r="F19" s="24"/>
      <c r="G19" s="147" t="s">
        <v>190</v>
      </c>
      <c r="H19" s="148" t="s">
        <v>191</v>
      </c>
      <c r="I19" s="23" t="s">
        <v>54</v>
      </c>
      <c r="J19" s="26" t="s">
        <v>26</v>
      </c>
      <c r="K19" s="30">
        <v>68300.0</v>
      </c>
      <c r="L19" s="23" t="s">
        <v>168</v>
      </c>
      <c r="M19" s="38"/>
      <c r="N19" s="40"/>
      <c r="O19" s="129"/>
      <c r="P19" s="38"/>
      <c r="Q19" s="23"/>
    </row>
    <row r="20" ht="22.5" customHeight="1">
      <c r="B20" s="23" t="s">
        <v>16</v>
      </c>
      <c r="C20" s="24">
        <v>46203.0</v>
      </c>
      <c r="D20" s="26" t="s">
        <v>50</v>
      </c>
      <c r="E20" s="24">
        <v>46203.0</v>
      </c>
      <c r="F20" s="24">
        <v>46203.0</v>
      </c>
      <c r="G20" s="29" t="s">
        <v>192</v>
      </c>
      <c r="H20" s="29" t="s">
        <v>193</v>
      </c>
      <c r="I20" s="23" t="s">
        <v>54</v>
      </c>
      <c r="J20" s="26" t="s">
        <v>18</v>
      </c>
      <c r="K20" s="30">
        <v>76700.0</v>
      </c>
      <c r="L20" s="23" t="s">
        <v>172</v>
      </c>
      <c r="M20" s="38"/>
      <c r="N20" s="40"/>
      <c r="O20" s="129"/>
      <c r="P20" s="38"/>
      <c r="Q20" s="40"/>
    </row>
    <row r="21" ht="22.5" customHeight="1">
      <c r="B21" s="40"/>
      <c r="C21" s="94"/>
      <c r="D21" s="36"/>
      <c r="E21" s="94"/>
      <c r="F21" s="24"/>
      <c r="G21" s="29"/>
      <c r="H21" s="97"/>
      <c r="I21" s="40"/>
      <c r="J21" s="38"/>
      <c r="K21" s="105"/>
      <c r="L21" s="40"/>
      <c r="M21" s="38"/>
      <c r="N21" s="40"/>
      <c r="O21" s="129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129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129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129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129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129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129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129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129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129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129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129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129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129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129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129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129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129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129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129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129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129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129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129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129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129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129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129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129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129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129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129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0.75"/>
    <col customWidth="1" min="9" max="9" width="19.25"/>
    <col customWidth="1" min="10" max="10" width="22.88"/>
    <col customWidth="1" min="11" max="11" width="17.0"/>
    <col customWidth="1" min="12" max="12" width="17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14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2000000.0</v>
      </c>
      <c r="F4" s="14">
        <f>SUMIFS(OPI_7[MAF NETO],OPI_7[ESTADO],"Desembolsado")</f>
        <v>1428953</v>
      </c>
      <c r="G4" s="14">
        <f>F4-E4</f>
        <v>-571047</v>
      </c>
      <c r="H4" s="15">
        <f>SUMIFS(OPI_7[MAF NETO],OPI_7[ESTADO],H$3)</f>
        <v>0</v>
      </c>
      <c r="I4" s="15">
        <f>SUMIFS(OPI_7[MAF NETO],OPI_7[ESTADO],I$3)</f>
        <v>0</v>
      </c>
      <c r="J4" s="15">
        <f>SUMIFS(OPI_7[MAF NETO],OPI_7[ESTADO],J$3)</f>
        <v>0</v>
      </c>
      <c r="K4" s="15">
        <f>SUMIFS(OPI_7[MAF NETO],OPI_7[ESTADO],K$3)</f>
        <v>0</v>
      </c>
      <c r="L4" s="15">
        <f>SUMIFS(OPI_7[MAF NETO],OPI_7[ESTADO],L$3)</f>
        <v>0</v>
      </c>
      <c r="M4" s="15">
        <f>SUMIFS(OPI_7[MAF NETO],OPI_7[ESTADO],M$3)</f>
        <v>0</v>
      </c>
      <c r="N4" s="15">
        <f>SUMIFS(OPI_7[MAF NETO],OPI_7[ESTADO],N$3)</f>
        <v>268350</v>
      </c>
    </row>
    <row r="5" ht="26.25" customHeight="1">
      <c r="D5" s="16" t="s">
        <v>30</v>
      </c>
      <c r="E5" s="17" t="s">
        <v>31</v>
      </c>
      <c r="F5" s="18">
        <f>COUNTIFS(OPI_7[ESTADO],"Desembolsado")</f>
        <v>21</v>
      </c>
      <c r="G5" s="19">
        <f>IFERROR(F4/E4,"")</f>
        <v>0.7144765</v>
      </c>
      <c r="H5" s="18">
        <f>COUNTIFS(OPI_7[ESTADO],H$3)</f>
        <v>0</v>
      </c>
      <c r="I5" s="18">
        <f>COUNTIFS(OPI_7[ESTADO],I$3)</f>
        <v>0</v>
      </c>
      <c r="J5" s="18">
        <f>COUNTIFS(OPI_7[ESTADO],J$3)</f>
        <v>0</v>
      </c>
      <c r="K5" s="18">
        <f>COUNTIFS(OPI_7[ESTADO],K$3)</f>
        <v>0</v>
      </c>
      <c r="L5" s="18">
        <f>COUNTIFS(OPI_7[ESTADO],L$3)</f>
        <v>0</v>
      </c>
      <c r="M5" s="18">
        <f>COUNTIFS(OPI_7[ESTADO],M$3)</f>
        <v>0</v>
      </c>
      <c r="N5" s="18">
        <f>COUNTIFS(OPI_7[ESTADO],N$3)</f>
        <v>8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hidden="1" customHeight="1">
      <c r="B10" s="24" t="s">
        <v>14</v>
      </c>
      <c r="C10" s="24">
        <v>46177.0</v>
      </c>
      <c r="D10" s="149" t="s">
        <v>50</v>
      </c>
      <c r="E10" s="24">
        <v>46177.0</v>
      </c>
      <c r="F10" s="24"/>
      <c r="G10" s="29" t="s">
        <v>194</v>
      </c>
      <c r="H10" s="29" t="s">
        <v>195</v>
      </c>
      <c r="I10" s="23" t="s">
        <v>128</v>
      </c>
      <c r="J10" s="150" t="s">
        <v>26</v>
      </c>
      <c r="K10" s="151">
        <v>0.0</v>
      </c>
      <c r="L10" s="23" t="s">
        <v>196</v>
      </c>
      <c r="M10" s="152" t="s">
        <v>62</v>
      </c>
      <c r="N10" s="40"/>
      <c r="O10" s="38"/>
      <c r="P10" s="38"/>
      <c r="Q10" s="40"/>
    </row>
    <row r="11" ht="22.5" hidden="1" customHeight="1">
      <c r="B11" s="23" t="s">
        <v>14</v>
      </c>
      <c r="C11" s="24">
        <v>46176.0</v>
      </c>
      <c r="D11" s="153" t="s">
        <v>50</v>
      </c>
      <c r="E11" s="94">
        <v>46181.0</v>
      </c>
      <c r="F11" s="24">
        <v>46184.0</v>
      </c>
      <c r="G11" s="97" t="s">
        <v>201</v>
      </c>
      <c r="H11" s="97" t="s">
        <v>202</v>
      </c>
      <c r="I11" s="94" t="s">
        <v>203</v>
      </c>
      <c r="J11" s="150" t="s">
        <v>18</v>
      </c>
      <c r="K11" s="30">
        <v>150000.0</v>
      </c>
      <c r="L11" s="24" t="s">
        <v>204</v>
      </c>
      <c r="M11" s="152" t="s">
        <v>62</v>
      </c>
      <c r="N11" s="40"/>
      <c r="O11" s="38"/>
      <c r="P11" s="38"/>
      <c r="Q11" s="23"/>
    </row>
    <row r="12" ht="22.5" hidden="1" customHeight="1">
      <c r="B12" s="23" t="s">
        <v>14</v>
      </c>
      <c r="C12" s="24">
        <v>46177.0</v>
      </c>
      <c r="D12" s="26" t="s">
        <v>50</v>
      </c>
      <c r="E12" s="24">
        <v>46181.0</v>
      </c>
      <c r="F12" s="24"/>
      <c r="G12" s="29" t="s">
        <v>207</v>
      </c>
      <c r="H12" s="97" t="s">
        <v>209</v>
      </c>
      <c r="I12" s="23" t="s">
        <v>54</v>
      </c>
      <c r="J12" s="26" t="s">
        <v>18</v>
      </c>
      <c r="K12" s="30">
        <v>73150.0</v>
      </c>
      <c r="L12" s="23" t="s">
        <v>210</v>
      </c>
      <c r="M12" s="26"/>
      <c r="N12" s="40"/>
      <c r="O12" s="38"/>
      <c r="P12" s="38"/>
      <c r="Q12" s="40"/>
    </row>
    <row r="13" ht="22.5" hidden="1" customHeight="1">
      <c r="B13" s="23" t="s">
        <v>14</v>
      </c>
      <c r="C13" s="24">
        <v>46177.0</v>
      </c>
      <c r="D13" s="26" t="s">
        <v>50</v>
      </c>
      <c r="E13" s="24">
        <v>46183.0</v>
      </c>
      <c r="F13" s="94"/>
      <c r="G13" s="29" t="s">
        <v>213</v>
      </c>
      <c r="H13" s="97" t="s">
        <v>214</v>
      </c>
      <c r="I13" s="23" t="s">
        <v>74</v>
      </c>
      <c r="J13" s="26" t="s">
        <v>18</v>
      </c>
      <c r="K13" s="30">
        <v>79000.0</v>
      </c>
      <c r="L13" s="23" t="s">
        <v>210</v>
      </c>
      <c r="M13" s="26"/>
      <c r="N13" s="40"/>
      <c r="O13" s="38"/>
      <c r="P13" s="38"/>
      <c r="Q13" s="40"/>
    </row>
    <row r="14" ht="22.5" hidden="1" customHeight="1">
      <c r="B14" s="23" t="s">
        <v>14</v>
      </c>
      <c r="C14" s="24">
        <v>46177.0</v>
      </c>
      <c r="D14" s="26" t="s">
        <v>50</v>
      </c>
      <c r="E14" s="24">
        <v>46198.0</v>
      </c>
      <c r="F14" s="24"/>
      <c r="G14" s="29" t="s">
        <v>216</v>
      </c>
      <c r="H14" s="29" t="s">
        <v>217</v>
      </c>
      <c r="I14" s="23" t="s">
        <v>203</v>
      </c>
      <c r="J14" s="26" t="s">
        <v>18</v>
      </c>
      <c r="K14" s="30">
        <v>66550.0</v>
      </c>
      <c r="L14" s="23" t="s">
        <v>204</v>
      </c>
      <c r="M14" s="26"/>
      <c r="N14" s="40"/>
      <c r="O14" s="38"/>
      <c r="P14" s="38"/>
      <c r="Q14" s="40"/>
    </row>
    <row r="15" ht="22.5" hidden="1" customHeight="1">
      <c r="B15" s="23" t="s">
        <v>14</v>
      </c>
      <c r="C15" s="24">
        <v>46178.0</v>
      </c>
      <c r="D15" s="26" t="s">
        <v>50</v>
      </c>
      <c r="E15" s="24">
        <v>46183.0</v>
      </c>
      <c r="F15" s="24"/>
      <c r="G15" s="29" t="s">
        <v>220</v>
      </c>
      <c r="H15" s="29" t="s">
        <v>222</v>
      </c>
      <c r="I15" s="23" t="s">
        <v>54</v>
      </c>
      <c r="J15" s="26" t="s">
        <v>18</v>
      </c>
      <c r="K15" s="30">
        <v>73000.0</v>
      </c>
      <c r="L15" s="23" t="s">
        <v>223</v>
      </c>
      <c r="M15" s="26"/>
      <c r="N15" s="40"/>
      <c r="O15" s="38"/>
      <c r="P15" s="38"/>
      <c r="Q15" s="40"/>
    </row>
    <row r="16" ht="22.5" hidden="1" customHeight="1">
      <c r="B16" s="23" t="s">
        <v>14</v>
      </c>
      <c r="C16" s="24">
        <v>46181.0</v>
      </c>
      <c r="D16" s="26" t="s">
        <v>50</v>
      </c>
      <c r="E16" s="24">
        <v>46185.0</v>
      </c>
      <c r="F16" s="24"/>
      <c r="G16" s="29" t="s">
        <v>226</v>
      </c>
      <c r="H16" s="29" t="s">
        <v>227</v>
      </c>
      <c r="I16" s="23" t="s">
        <v>54</v>
      </c>
      <c r="J16" s="26" t="s">
        <v>18</v>
      </c>
      <c r="K16" s="30">
        <v>77200.0</v>
      </c>
      <c r="L16" s="23" t="s">
        <v>223</v>
      </c>
      <c r="M16" s="26"/>
      <c r="N16" s="40"/>
      <c r="O16" s="38"/>
      <c r="P16" s="38"/>
      <c r="Q16" s="40"/>
    </row>
    <row r="17" ht="22.5" hidden="1" customHeight="1">
      <c r="B17" s="23" t="s">
        <v>14</v>
      </c>
      <c r="C17" s="24">
        <v>46179.0</v>
      </c>
      <c r="D17" s="26" t="s">
        <v>50</v>
      </c>
      <c r="E17" s="24">
        <v>46191.0</v>
      </c>
      <c r="F17" s="24"/>
      <c r="G17" s="29" t="s">
        <v>231</v>
      </c>
      <c r="H17" s="29" t="s">
        <v>232</v>
      </c>
      <c r="I17" s="23" t="s">
        <v>54</v>
      </c>
      <c r="J17" s="26" t="s">
        <v>18</v>
      </c>
      <c r="K17" s="30">
        <v>84390.0</v>
      </c>
      <c r="L17" s="23" t="s">
        <v>210</v>
      </c>
      <c r="M17" s="26"/>
      <c r="N17" s="40"/>
      <c r="O17" s="38"/>
      <c r="P17" s="38"/>
      <c r="Q17" s="40"/>
    </row>
    <row r="18" ht="22.5" hidden="1" customHeight="1">
      <c r="B18" s="23" t="s">
        <v>14</v>
      </c>
      <c r="C18" s="24">
        <v>46179.0</v>
      </c>
      <c r="D18" s="26" t="s">
        <v>50</v>
      </c>
      <c r="E18" s="24">
        <v>46181.0</v>
      </c>
      <c r="F18" s="24"/>
      <c r="G18" s="29" t="s">
        <v>235</v>
      </c>
      <c r="H18" s="29" t="s">
        <v>236</v>
      </c>
      <c r="I18" s="23" t="s">
        <v>54</v>
      </c>
      <c r="J18" s="26" t="s">
        <v>18</v>
      </c>
      <c r="K18" s="30">
        <v>65000.0</v>
      </c>
      <c r="L18" s="23" t="s">
        <v>237</v>
      </c>
      <c r="M18" s="26"/>
      <c r="N18" s="40"/>
      <c r="O18" s="38"/>
      <c r="P18" s="38"/>
      <c r="Q18" s="40"/>
    </row>
    <row r="19" ht="22.5" hidden="1" customHeight="1">
      <c r="B19" s="23" t="s">
        <v>14</v>
      </c>
      <c r="C19" s="24">
        <v>46183.0</v>
      </c>
      <c r="D19" s="26" t="s">
        <v>50</v>
      </c>
      <c r="E19" s="24">
        <v>46183.0</v>
      </c>
      <c r="F19" s="94"/>
      <c r="G19" s="29" t="s">
        <v>244</v>
      </c>
      <c r="H19" s="29" t="s">
        <v>245</v>
      </c>
      <c r="I19" s="23" t="s">
        <v>54</v>
      </c>
      <c r="J19" s="26" t="s">
        <v>18</v>
      </c>
      <c r="K19" s="30">
        <v>68740.0</v>
      </c>
      <c r="L19" s="23" t="s">
        <v>210</v>
      </c>
      <c r="M19" s="26"/>
      <c r="N19" s="40"/>
      <c r="O19" s="38"/>
      <c r="P19" s="38"/>
      <c r="Q19" s="40"/>
    </row>
    <row r="20" ht="22.5" hidden="1" customHeight="1">
      <c r="B20" s="23" t="s">
        <v>14</v>
      </c>
      <c r="C20" s="24">
        <v>46182.0</v>
      </c>
      <c r="D20" s="26" t="s">
        <v>50</v>
      </c>
      <c r="E20" s="24">
        <v>46189.0</v>
      </c>
      <c r="F20" s="94"/>
      <c r="G20" s="29" t="s">
        <v>247</v>
      </c>
      <c r="H20" s="29" t="s">
        <v>249</v>
      </c>
      <c r="I20" s="23" t="s">
        <v>82</v>
      </c>
      <c r="J20" s="26" t="s">
        <v>18</v>
      </c>
      <c r="K20" s="30">
        <v>50000.0</v>
      </c>
      <c r="L20" s="23" t="s">
        <v>223</v>
      </c>
      <c r="M20" s="26"/>
      <c r="N20" s="40"/>
      <c r="O20" s="38"/>
      <c r="P20" s="38"/>
      <c r="Q20" s="40"/>
    </row>
    <row r="21" ht="22.5" hidden="1" customHeight="1">
      <c r="B21" s="23" t="s">
        <v>14</v>
      </c>
      <c r="C21" s="24">
        <v>46182.0</v>
      </c>
      <c r="D21" s="26" t="s">
        <v>50</v>
      </c>
      <c r="E21" s="24">
        <v>46182.0</v>
      </c>
      <c r="F21" s="24"/>
      <c r="G21" s="29" t="s">
        <v>253</v>
      </c>
      <c r="H21" s="29" t="s">
        <v>254</v>
      </c>
      <c r="I21" s="23" t="s">
        <v>68</v>
      </c>
      <c r="J21" s="26" t="s">
        <v>18</v>
      </c>
      <c r="K21" s="30">
        <v>51650.0</v>
      </c>
      <c r="L21" s="23" t="s">
        <v>204</v>
      </c>
      <c r="M21" s="26"/>
      <c r="N21" s="40"/>
      <c r="O21" s="38"/>
      <c r="P21" s="38"/>
      <c r="Q21" s="40"/>
    </row>
    <row r="22" ht="22.5" hidden="1" customHeight="1">
      <c r="B22" s="23" t="s">
        <v>14</v>
      </c>
      <c r="C22" s="24">
        <v>46185.0</v>
      </c>
      <c r="D22" s="26" t="s">
        <v>50</v>
      </c>
      <c r="E22" s="94"/>
      <c r="F22" s="94"/>
      <c r="G22" s="97" t="s">
        <v>259</v>
      </c>
      <c r="H22" s="154" t="s">
        <v>260</v>
      </c>
      <c r="I22" s="23" t="s">
        <v>74</v>
      </c>
      <c r="J22" s="26" t="s">
        <v>26</v>
      </c>
      <c r="K22" s="30">
        <v>0.0</v>
      </c>
      <c r="L22" s="23" t="s">
        <v>210</v>
      </c>
      <c r="M22" s="26"/>
      <c r="N22" s="40"/>
      <c r="O22" s="38"/>
      <c r="P22" s="38"/>
      <c r="Q22" s="40"/>
    </row>
    <row r="23" ht="22.5" hidden="1" customHeight="1">
      <c r="B23" s="23" t="s">
        <v>14</v>
      </c>
      <c r="C23" s="24">
        <v>46185.0</v>
      </c>
      <c r="D23" s="26" t="s">
        <v>50</v>
      </c>
      <c r="E23" s="24">
        <v>46192.0</v>
      </c>
      <c r="F23" s="94"/>
      <c r="G23" s="29" t="s">
        <v>263</v>
      </c>
      <c r="H23" s="29" t="s">
        <v>264</v>
      </c>
      <c r="I23" s="23" t="s">
        <v>82</v>
      </c>
      <c r="J23" s="26" t="s">
        <v>18</v>
      </c>
      <c r="K23" s="30">
        <v>6300.0</v>
      </c>
      <c r="L23" s="23" t="s">
        <v>237</v>
      </c>
      <c r="M23" s="26"/>
      <c r="N23" s="40"/>
      <c r="O23" s="38"/>
      <c r="P23" s="38"/>
      <c r="Q23" s="40"/>
    </row>
    <row r="24" ht="22.5" hidden="1" customHeight="1">
      <c r="B24" s="23" t="s">
        <v>14</v>
      </c>
      <c r="C24" s="24">
        <v>46185.0</v>
      </c>
      <c r="D24" s="26" t="s">
        <v>50</v>
      </c>
      <c r="E24" s="24">
        <v>46188.0</v>
      </c>
      <c r="F24" s="94"/>
      <c r="G24" s="29" t="s">
        <v>267</v>
      </c>
      <c r="H24" s="29" t="s">
        <v>268</v>
      </c>
      <c r="I24" s="23" t="s">
        <v>74</v>
      </c>
      <c r="J24" s="26" t="s">
        <v>18</v>
      </c>
      <c r="K24" s="30">
        <v>83000.0</v>
      </c>
      <c r="L24" s="23" t="s">
        <v>210</v>
      </c>
      <c r="M24" s="38"/>
      <c r="N24" s="40"/>
      <c r="O24" s="38"/>
      <c r="P24" s="38"/>
      <c r="Q24" s="40"/>
    </row>
    <row r="25" ht="22.5" hidden="1" customHeight="1">
      <c r="B25" s="23" t="s">
        <v>14</v>
      </c>
      <c r="C25" s="24">
        <v>46188.0</v>
      </c>
      <c r="D25" s="26" t="s">
        <v>50</v>
      </c>
      <c r="E25" s="24">
        <v>46189.0</v>
      </c>
      <c r="F25" s="94"/>
      <c r="G25" s="29" t="s">
        <v>271</v>
      </c>
      <c r="H25" s="29" t="s">
        <v>272</v>
      </c>
      <c r="I25" s="23" t="s">
        <v>128</v>
      </c>
      <c r="J25" s="26" t="s">
        <v>18</v>
      </c>
      <c r="K25" s="30">
        <v>9013.0</v>
      </c>
      <c r="L25" s="23" t="s">
        <v>204</v>
      </c>
      <c r="M25" s="38"/>
      <c r="N25" s="40"/>
      <c r="O25" s="38"/>
      <c r="P25" s="38"/>
      <c r="Q25" s="40"/>
    </row>
    <row r="26" ht="22.5" hidden="1" customHeight="1">
      <c r="B26" s="23" t="s">
        <v>14</v>
      </c>
      <c r="C26" s="24">
        <v>46190.0</v>
      </c>
      <c r="D26" s="26" t="s">
        <v>50</v>
      </c>
      <c r="E26" s="24">
        <v>46203.0</v>
      </c>
      <c r="F26" s="94"/>
      <c r="G26" s="29" t="s">
        <v>276</v>
      </c>
      <c r="H26" s="29" t="s">
        <v>277</v>
      </c>
      <c r="I26" s="23" t="s">
        <v>74</v>
      </c>
      <c r="J26" s="26" t="s">
        <v>26</v>
      </c>
      <c r="K26" s="30">
        <v>0.0</v>
      </c>
      <c r="L26" s="23" t="s">
        <v>210</v>
      </c>
      <c r="M26" s="38"/>
      <c r="N26" s="40"/>
      <c r="O26" s="38"/>
      <c r="P26" s="38"/>
      <c r="Q26" s="40"/>
    </row>
    <row r="27" ht="22.5" hidden="1" customHeight="1">
      <c r="B27" s="23" t="s">
        <v>14</v>
      </c>
      <c r="C27" s="24">
        <v>46191.0</v>
      </c>
      <c r="D27" s="26" t="s">
        <v>50</v>
      </c>
      <c r="E27" s="24">
        <v>46198.0</v>
      </c>
      <c r="F27" s="94"/>
      <c r="G27" s="29" t="s">
        <v>282</v>
      </c>
      <c r="H27" s="29" t="s">
        <v>283</v>
      </c>
      <c r="I27" s="23" t="s">
        <v>284</v>
      </c>
      <c r="J27" s="26" t="s">
        <v>18</v>
      </c>
      <c r="K27" s="30">
        <v>107750.0</v>
      </c>
      <c r="L27" s="23" t="s">
        <v>204</v>
      </c>
      <c r="M27" s="38"/>
      <c r="N27" s="40"/>
      <c r="O27" s="38"/>
      <c r="P27" s="38"/>
      <c r="Q27" s="40"/>
    </row>
    <row r="28" ht="22.5" hidden="1" customHeight="1">
      <c r="B28" s="23" t="s">
        <v>14</v>
      </c>
      <c r="C28" s="24">
        <v>46191.0</v>
      </c>
      <c r="D28" s="26" t="s">
        <v>50</v>
      </c>
      <c r="E28" s="24">
        <v>46195.0</v>
      </c>
      <c r="F28" s="94"/>
      <c r="G28" s="29" t="s">
        <v>287</v>
      </c>
      <c r="H28" s="29" t="s">
        <v>288</v>
      </c>
      <c r="I28" s="23" t="s">
        <v>74</v>
      </c>
      <c r="J28" s="26" t="s">
        <v>18</v>
      </c>
      <c r="K28" s="30">
        <v>73800.0</v>
      </c>
      <c r="L28" s="23" t="s">
        <v>223</v>
      </c>
      <c r="M28" s="38"/>
      <c r="N28" s="40"/>
      <c r="O28" s="38"/>
      <c r="P28" s="38"/>
      <c r="Q28" s="40"/>
    </row>
    <row r="29" ht="22.5" hidden="1" customHeight="1">
      <c r="B29" s="23" t="s">
        <v>14</v>
      </c>
      <c r="C29" s="24">
        <v>46192.0</v>
      </c>
      <c r="D29" s="26" t="s">
        <v>50</v>
      </c>
      <c r="E29" s="24">
        <v>46197.0</v>
      </c>
      <c r="F29" s="94"/>
      <c r="G29" s="29" t="s">
        <v>292</v>
      </c>
      <c r="H29" s="97" t="s">
        <v>293</v>
      </c>
      <c r="I29" s="23" t="s">
        <v>54</v>
      </c>
      <c r="J29" s="26" t="s">
        <v>18</v>
      </c>
      <c r="K29" s="30">
        <v>73580.0</v>
      </c>
      <c r="L29" s="23" t="s">
        <v>237</v>
      </c>
      <c r="M29" s="38"/>
      <c r="N29" s="40"/>
      <c r="O29" s="38"/>
      <c r="P29" s="38"/>
      <c r="Q29" s="40"/>
    </row>
    <row r="30" ht="22.5" hidden="1" customHeight="1">
      <c r="B30" s="23" t="s">
        <v>14</v>
      </c>
      <c r="C30" s="24">
        <v>46193.0</v>
      </c>
      <c r="D30" s="26" t="s">
        <v>50</v>
      </c>
      <c r="E30" s="24">
        <v>46197.0</v>
      </c>
      <c r="F30" s="94"/>
      <c r="G30" s="29" t="s">
        <v>295</v>
      </c>
      <c r="H30" s="97" t="s">
        <v>296</v>
      </c>
      <c r="I30" s="23" t="s">
        <v>54</v>
      </c>
      <c r="J30" s="26" t="s">
        <v>18</v>
      </c>
      <c r="K30" s="30">
        <v>35600.0</v>
      </c>
      <c r="L30" s="23" t="s">
        <v>237</v>
      </c>
      <c r="M30" s="38"/>
      <c r="N30" s="40"/>
      <c r="O30" s="38"/>
      <c r="P30" s="38"/>
      <c r="Q30" s="40"/>
    </row>
    <row r="31" ht="22.5" hidden="1" customHeight="1">
      <c r="B31" s="23" t="s">
        <v>14</v>
      </c>
      <c r="C31" s="24">
        <v>46193.0</v>
      </c>
      <c r="D31" s="26" t="s">
        <v>50</v>
      </c>
      <c r="E31" s="24">
        <v>46195.0</v>
      </c>
      <c r="F31" s="94"/>
      <c r="G31" s="29" t="s">
        <v>301</v>
      </c>
      <c r="H31" s="97" t="s">
        <v>302</v>
      </c>
      <c r="I31" s="23" t="s">
        <v>54</v>
      </c>
      <c r="J31" s="26" t="s">
        <v>18</v>
      </c>
      <c r="K31" s="30">
        <v>67630.0</v>
      </c>
      <c r="L31" s="23" t="s">
        <v>210</v>
      </c>
      <c r="M31" s="38"/>
      <c r="N31" s="40"/>
      <c r="O31" s="38"/>
      <c r="P31" s="38"/>
      <c r="Q31" s="40"/>
    </row>
    <row r="32" ht="22.5" hidden="1" customHeight="1">
      <c r="B32" s="23" t="s">
        <v>14</v>
      </c>
      <c r="C32" s="24">
        <v>46195.0</v>
      </c>
      <c r="D32" s="26" t="s">
        <v>50</v>
      </c>
      <c r="E32" s="24">
        <v>46195.0</v>
      </c>
      <c r="F32" s="94"/>
      <c r="G32" s="29" t="s">
        <v>305</v>
      </c>
      <c r="H32" s="29" t="s">
        <v>306</v>
      </c>
      <c r="I32" s="23" t="s">
        <v>54</v>
      </c>
      <c r="J32" s="26" t="s">
        <v>18</v>
      </c>
      <c r="K32" s="30">
        <v>50000.0</v>
      </c>
      <c r="L32" s="23" t="s">
        <v>237</v>
      </c>
      <c r="M32" s="38"/>
      <c r="N32" s="40"/>
      <c r="O32" s="38"/>
      <c r="P32" s="38"/>
      <c r="Q32" s="40"/>
    </row>
    <row r="33" ht="22.5" hidden="1" customHeight="1">
      <c r="B33" s="23" t="s">
        <v>14</v>
      </c>
      <c r="C33" s="24">
        <v>46196.0</v>
      </c>
      <c r="D33" s="26" t="s">
        <v>50</v>
      </c>
      <c r="E33" s="24">
        <v>46198.0</v>
      </c>
      <c r="F33" s="94"/>
      <c r="G33" s="29" t="s">
        <v>307</v>
      </c>
      <c r="H33" s="29" t="s">
        <v>308</v>
      </c>
      <c r="I33" s="23" t="s">
        <v>128</v>
      </c>
      <c r="J33" s="26" t="s">
        <v>18</v>
      </c>
      <c r="K33" s="30">
        <v>83600.0</v>
      </c>
      <c r="L33" s="23" t="s">
        <v>223</v>
      </c>
      <c r="M33" s="38"/>
      <c r="N33" s="40"/>
      <c r="O33" s="38"/>
      <c r="P33" s="38"/>
      <c r="Q33" s="40"/>
    </row>
    <row r="34" ht="22.5" hidden="1" customHeight="1">
      <c r="B34" s="23" t="s">
        <v>14</v>
      </c>
      <c r="C34" s="24">
        <v>46198.0</v>
      </c>
      <c r="D34" s="26" t="s">
        <v>50</v>
      </c>
      <c r="E34" s="24">
        <v>46203.0</v>
      </c>
      <c r="F34" s="94"/>
      <c r="G34" s="29" t="s">
        <v>309</v>
      </c>
      <c r="H34" s="155" t="s">
        <v>310</v>
      </c>
      <c r="I34" s="23" t="s">
        <v>54</v>
      </c>
      <c r="J34" s="26" t="s">
        <v>26</v>
      </c>
      <c r="K34" s="30">
        <v>78050.0</v>
      </c>
      <c r="L34" s="23" t="s">
        <v>311</v>
      </c>
      <c r="M34" s="38"/>
      <c r="N34" s="40"/>
      <c r="O34" s="38"/>
      <c r="P34" s="38"/>
      <c r="Q34" s="40"/>
    </row>
    <row r="35" ht="22.5" hidden="1" customHeight="1">
      <c r="B35" s="23" t="s">
        <v>14</v>
      </c>
      <c r="C35" s="24">
        <v>46198.0</v>
      </c>
      <c r="D35" s="26" t="s">
        <v>50</v>
      </c>
      <c r="E35" s="24">
        <v>46199.0</v>
      </c>
      <c r="F35" s="94"/>
      <c r="G35" s="156" t="s">
        <v>312</v>
      </c>
      <c r="H35" s="29" t="s">
        <v>313</v>
      </c>
      <c r="I35" s="23" t="s">
        <v>54</v>
      </c>
      <c r="J35" s="26" t="s">
        <v>26</v>
      </c>
      <c r="K35" s="30">
        <v>35400.0</v>
      </c>
      <c r="L35" s="23" t="s">
        <v>210</v>
      </c>
      <c r="M35" s="38"/>
      <c r="N35" s="40"/>
      <c r="O35" s="38"/>
      <c r="P35" s="38"/>
      <c r="Q35" s="40"/>
    </row>
    <row r="36" ht="22.5" hidden="1" customHeight="1">
      <c r="B36" s="23" t="s">
        <v>14</v>
      </c>
      <c r="C36" s="24">
        <v>46199.0</v>
      </c>
      <c r="D36" s="26" t="s">
        <v>50</v>
      </c>
      <c r="E36" s="24">
        <v>46203.0</v>
      </c>
      <c r="F36" s="94"/>
      <c r="G36" s="29" t="s">
        <v>314</v>
      </c>
      <c r="H36" s="29" t="s">
        <v>315</v>
      </c>
      <c r="I36" s="23" t="s">
        <v>68</v>
      </c>
      <c r="J36" s="26" t="s">
        <v>26</v>
      </c>
      <c r="K36" s="30">
        <v>29100.0</v>
      </c>
      <c r="L36" s="23" t="s">
        <v>311</v>
      </c>
      <c r="M36" s="38"/>
      <c r="N36" s="40"/>
      <c r="O36" s="38"/>
      <c r="P36" s="38"/>
      <c r="Q36" s="40"/>
    </row>
    <row r="37" ht="22.5" hidden="1" customHeight="1">
      <c r="B37" s="23" t="s">
        <v>14</v>
      </c>
      <c r="C37" s="24">
        <v>46199.0</v>
      </c>
      <c r="D37" s="26" t="s">
        <v>50</v>
      </c>
      <c r="E37" s="94"/>
      <c r="F37" s="94"/>
      <c r="G37" s="29" t="s">
        <v>316</v>
      </c>
      <c r="H37" s="29" t="s">
        <v>317</v>
      </c>
      <c r="I37" s="23" t="s">
        <v>54</v>
      </c>
      <c r="J37" s="26" t="s">
        <v>26</v>
      </c>
      <c r="K37" s="30">
        <v>67100.0</v>
      </c>
      <c r="L37" s="23" t="s">
        <v>210</v>
      </c>
      <c r="M37" s="38"/>
      <c r="N37" s="40"/>
      <c r="O37" s="38"/>
      <c r="P37" s="38"/>
      <c r="Q37" s="40"/>
    </row>
    <row r="38" ht="22.5" hidden="1" customHeight="1">
      <c r="B38" s="23" t="s">
        <v>14</v>
      </c>
      <c r="C38" s="24">
        <v>46203.0</v>
      </c>
      <c r="D38" s="26" t="s">
        <v>50</v>
      </c>
      <c r="E38" s="24">
        <v>46203.0</v>
      </c>
      <c r="F38" s="94"/>
      <c r="G38" s="29" t="s">
        <v>318</v>
      </c>
      <c r="H38" s="29" t="s">
        <v>319</v>
      </c>
      <c r="I38" s="23" t="s">
        <v>74</v>
      </c>
      <c r="J38" s="26" t="s">
        <v>26</v>
      </c>
      <c r="K38" s="30">
        <v>58700.0</v>
      </c>
      <c r="L38" s="23" t="s">
        <v>210</v>
      </c>
      <c r="M38" s="38"/>
      <c r="N38" s="40"/>
      <c r="O38" s="38"/>
      <c r="P38" s="38"/>
      <c r="Q38" s="40"/>
    </row>
    <row r="39" ht="22.5" hidden="1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hidden="1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hidden="1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hidden="1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hidden="1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hidden="1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hidden="1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hidden="1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hidden="1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hidden="1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hidden="1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hidden="1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hidden="1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hidden="1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16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SUMIFS(OPI_5[MAF NETO],OPI_5[ESTADO],"Desembolsado")</f>
        <v>327840</v>
      </c>
      <c r="G4" s="14">
        <f>F4-E4</f>
        <v>-672160</v>
      </c>
      <c r="H4" s="15">
        <f>SUMIFS(OPI_5[MAF NETO],OPI_5[ESTADO],H$3)</f>
        <v>0</v>
      </c>
      <c r="I4" s="15">
        <f>SUMIFS(OPI_5[MAF NETO],OPI_5[ESTADO],I$3)</f>
        <v>0</v>
      </c>
      <c r="J4" s="15">
        <f>SUMIFS(OPI_5[MAF NETO],OPI_5[ESTADO],J$3)</f>
        <v>0</v>
      </c>
      <c r="K4" s="15">
        <f>SUMIFS(OPI_5[MAF NETO],OPI_5[ESTADO],K$3)</f>
        <v>0</v>
      </c>
      <c r="L4" s="15">
        <f>SUMIFS(OPI_5[MAF NETO],OPI_5[ESTADO],L$3)</f>
        <v>0</v>
      </c>
      <c r="M4" s="15">
        <f>SUMIFS(OPI_5[MAF NETO],OPI_5[ESTADO],M$3)</f>
        <v>0</v>
      </c>
      <c r="N4" s="15">
        <f>SUMIFS(OPI_5[MAF NETO],OPI_5[ESTADO],N$3)</f>
        <v>166870</v>
      </c>
    </row>
    <row r="5" ht="26.25" customHeight="1">
      <c r="D5" s="16" t="s">
        <v>30</v>
      </c>
      <c r="E5" s="17" t="s">
        <v>31</v>
      </c>
      <c r="F5" s="18">
        <f>COUNTIFS(OPI_5[ESTADO],"Desembolsado")</f>
        <v>5</v>
      </c>
      <c r="G5" s="19">
        <f>IFERROR(F4/E4,"")</f>
        <v>0.32784</v>
      </c>
      <c r="H5" s="18">
        <f>COUNTIFS(OPI_5[ESTADO],H$3)</f>
        <v>0</v>
      </c>
      <c r="I5" s="18">
        <f>COUNTIFS(OPI_5[ESTADO],I$3)</f>
        <v>0</v>
      </c>
      <c r="J5" s="18">
        <f>COUNTIFS(OPI_5[ESTADO],J$3)</f>
        <v>0</v>
      </c>
      <c r="K5" s="18">
        <f>COUNTIFS(OPI_5[ESTADO],K$3)</f>
        <v>0</v>
      </c>
      <c r="L5" s="18">
        <f>COUNTIFS(OPI_5[ESTADO],L$3)</f>
        <v>0</v>
      </c>
      <c r="M5" s="18">
        <f>COUNTIFS(OPI_5[ESTADO],M$3)</f>
        <v>0</v>
      </c>
      <c r="N5" s="18">
        <f>COUNTIFS(OPI_5[ESTADO],N$3)</f>
        <v>3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16</v>
      </c>
      <c r="C10" s="24">
        <v>46168.0</v>
      </c>
      <c r="D10" s="26" t="s">
        <v>50</v>
      </c>
      <c r="E10" s="24"/>
      <c r="F10" s="94"/>
      <c r="G10" s="29" t="s">
        <v>197</v>
      </c>
      <c r="H10" s="29" t="s">
        <v>198</v>
      </c>
      <c r="I10" s="23" t="s">
        <v>54</v>
      </c>
      <c r="J10" s="26" t="s">
        <v>26</v>
      </c>
      <c r="K10" s="30">
        <v>34250.0</v>
      </c>
      <c r="L10" s="23" t="s">
        <v>199</v>
      </c>
      <c r="M10" s="26" t="s">
        <v>83</v>
      </c>
      <c r="N10" s="40"/>
      <c r="O10" s="26"/>
      <c r="P10" s="26"/>
      <c r="Q10" s="23" t="s">
        <v>200</v>
      </c>
    </row>
    <row r="11" ht="22.5" customHeight="1">
      <c r="B11" s="23" t="s">
        <v>16</v>
      </c>
      <c r="C11" s="24">
        <v>46175.0</v>
      </c>
      <c r="D11" s="26" t="s">
        <v>129</v>
      </c>
      <c r="E11" s="24"/>
      <c r="F11" s="94"/>
      <c r="G11" s="29" t="s">
        <v>205</v>
      </c>
      <c r="H11" s="29" t="s">
        <v>206</v>
      </c>
      <c r="I11" s="23" t="s">
        <v>74</v>
      </c>
      <c r="J11" s="26" t="s">
        <v>18</v>
      </c>
      <c r="K11" s="30">
        <v>46700.0</v>
      </c>
      <c r="L11" s="23" t="s">
        <v>199</v>
      </c>
      <c r="M11" s="26" t="s">
        <v>83</v>
      </c>
      <c r="N11" s="40"/>
      <c r="O11" s="26"/>
      <c r="P11" s="26"/>
      <c r="Q11" s="23" t="s">
        <v>208</v>
      </c>
    </row>
    <row r="12" ht="22.5" customHeight="1">
      <c r="B12" s="23" t="s">
        <v>16</v>
      </c>
      <c r="C12" s="24">
        <v>46183.0</v>
      </c>
      <c r="D12" s="26" t="s">
        <v>50</v>
      </c>
      <c r="E12" s="94"/>
      <c r="F12" s="94"/>
      <c r="G12" s="29" t="s">
        <v>211</v>
      </c>
      <c r="H12" s="29" t="s">
        <v>212</v>
      </c>
      <c r="I12" s="23" t="s">
        <v>74</v>
      </c>
      <c r="J12" s="26" t="s">
        <v>18</v>
      </c>
      <c r="K12" s="30">
        <v>73790.0</v>
      </c>
      <c r="L12" s="23" t="s">
        <v>199</v>
      </c>
      <c r="M12" s="26" t="s">
        <v>83</v>
      </c>
      <c r="N12" s="40"/>
      <c r="O12" s="38"/>
      <c r="P12" s="38"/>
      <c r="Q12" s="23" t="s">
        <v>215</v>
      </c>
    </row>
    <row r="13" ht="22.5" customHeight="1">
      <c r="B13" s="23" t="s">
        <v>16</v>
      </c>
      <c r="C13" s="24">
        <v>46186.0</v>
      </c>
      <c r="D13" s="26" t="s">
        <v>50</v>
      </c>
      <c r="E13" s="24"/>
      <c r="F13" s="94"/>
      <c r="G13" s="29" t="s">
        <v>218</v>
      </c>
      <c r="H13" s="29" t="s">
        <v>219</v>
      </c>
      <c r="I13" s="23" t="s">
        <v>74</v>
      </c>
      <c r="J13" s="26" t="s">
        <v>26</v>
      </c>
      <c r="K13" s="30">
        <v>59720.0</v>
      </c>
      <c r="L13" s="23" t="s">
        <v>199</v>
      </c>
      <c r="M13" s="26" t="s">
        <v>83</v>
      </c>
      <c r="N13" s="40"/>
      <c r="O13" s="38"/>
      <c r="P13" s="38"/>
      <c r="Q13" s="23" t="s">
        <v>221</v>
      </c>
    </row>
    <row r="14" ht="22.5" customHeight="1">
      <c r="B14" s="23" t="s">
        <v>16</v>
      </c>
      <c r="C14" s="24">
        <v>46195.0</v>
      </c>
      <c r="D14" s="26" t="s">
        <v>129</v>
      </c>
      <c r="E14" s="24"/>
      <c r="F14" s="94"/>
      <c r="G14" s="29" t="s">
        <v>224</v>
      </c>
      <c r="H14" s="29" t="s">
        <v>225</v>
      </c>
      <c r="I14" s="23" t="s">
        <v>74</v>
      </c>
      <c r="J14" s="26" t="s">
        <v>26</v>
      </c>
      <c r="K14" s="30">
        <v>72900.0</v>
      </c>
      <c r="L14" s="23" t="s">
        <v>199</v>
      </c>
      <c r="M14" s="26" t="s">
        <v>83</v>
      </c>
      <c r="N14" s="40"/>
      <c r="O14" s="38"/>
      <c r="P14" s="38"/>
      <c r="Q14" s="23"/>
    </row>
    <row r="15" ht="22.5" customHeight="1">
      <c r="B15" s="23" t="s">
        <v>16</v>
      </c>
      <c r="C15" s="24">
        <v>46197.0</v>
      </c>
      <c r="D15" s="26" t="s">
        <v>50</v>
      </c>
      <c r="E15" s="94"/>
      <c r="F15" s="94"/>
      <c r="G15" s="29" t="s">
        <v>228</v>
      </c>
      <c r="H15" s="29" t="s">
        <v>229</v>
      </c>
      <c r="I15" s="23" t="s">
        <v>230</v>
      </c>
      <c r="J15" s="26" t="s">
        <v>18</v>
      </c>
      <c r="K15" s="30">
        <v>78500.0</v>
      </c>
      <c r="L15" s="23" t="s">
        <v>199</v>
      </c>
      <c r="M15" s="26" t="s">
        <v>83</v>
      </c>
      <c r="N15" s="40"/>
      <c r="O15" s="38"/>
      <c r="P15" s="38"/>
      <c r="Q15" s="40"/>
    </row>
    <row r="16" ht="22.5" customHeight="1">
      <c r="B16" s="23" t="s">
        <v>16</v>
      </c>
      <c r="C16" s="24">
        <v>46198.0</v>
      </c>
      <c r="D16" s="26" t="s">
        <v>50</v>
      </c>
      <c r="E16" s="94"/>
      <c r="F16" s="94"/>
      <c r="G16" s="29" t="s">
        <v>233</v>
      </c>
      <c r="H16" s="29" t="s">
        <v>234</v>
      </c>
      <c r="I16" s="23" t="s">
        <v>230</v>
      </c>
      <c r="J16" s="26" t="s">
        <v>18</v>
      </c>
      <c r="K16" s="30">
        <v>40550.0</v>
      </c>
      <c r="L16" s="23" t="s">
        <v>199</v>
      </c>
      <c r="M16" s="38"/>
      <c r="N16" s="40"/>
      <c r="O16" s="38"/>
      <c r="P16" s="38"/>
      <c r="Q16" s="40"/>
    </row>
    <row r="17" ht="22.5" customHeight="1">
      <c r="B17" s="23" t="s">
        <v>16</v>
      </c>
      <c r="C17" s="24">
        <v>46198.0</v>
      </c>
      <c r="D17" s="26" t="s">
        <v>50</v>
      </c>
      <c r="E17" s="94"/>
      <c r="F17" s="94"/>
      <c r="G17" s="29" t="s">
        <v>239</v>
      </c>
      <c r="H17" s="29" t="s">
        <v>241</v>
      </c>
      <c r="I17" s="23" t="s">
        <v>54</v>
      </c>
      <c r="J17" s="26" t="s">
        <v>18</v>
      </c>
      <c r="K17" s="30">
        <v>88300.0</v>
      </c>
      <c r="L17" s="23" t="s">
        <v>199</v>
      </c>
      <c r="M17" s="38"/>
      <c r="N17" s="40"/>
      <c r="O17" s="38"/>
      <c r="P17" s="38"/>
      <c r="Q17" s="40"/>
    </row>
    <row r="18" ht="22.5" customHeight="1">
      <c r="B18" s="40"/>
      <c r="C18" s="94"/>
      <c r="D18" s="36"/>
      <c r="E18" s="94"/>
      <c r="F18" s="94"/>
      <c r="G18" s="97"/>
      <c r="H18" s="97"/>
      <c r="I18" s="40"/>
      <c r="J18" s="38"/>
      <c r="K18" s="105"/>
      <c r="L18" s="40"/>
      <c r="M18" s="38"/>
      <c r="N18" s="40"/>
      <c r="O18" s="38"/>
      <c r="P18" s="38"/>
      <c r="Q18" s="40"/>
    </row>
    <row r="19" ht="22.5" customHeight="1">
      <c r="B19" s="40"/>
      <c r="C19" s="94"/>
      <c r="D19" s="36"/>
      <c r="E19" s="94"/>
      <c r="F19" s="94"/>
      <c r="G19" s="97"/>
      <c r="H19" s="97"/>
      <c r="I19" s="40"/>
      <c r="J19" s="38"/>
      <c r="K19" s="105"/>
      <c r="L19" s="40"/>
      <c r="M19" s="38"/>
      <c r="N19" s="40"/>
      <c r="O19" s="38"/>
      <c r="P19" s="38"/>
      <c r="Q19" s="40"/>
    </row>
    <row r="20" ht="22.5" customHeight="1">
      <c r="B20" s="40"/>
      <c r="C20" s="94"/>
      <c r="D20" s="36"/>
      <c r="E20" s="94"/>
      <c r="F20" s="94"/>
      <c r="G20" s="97"/>
      <c r="H20" s="97"/>
      <c r="I20" s="40"/>
      <c r="J20" s="38"/>
      <c r="K20" s="105"/>
      <c r="L20" s="40"/>
      <c r="M20" s="38"/>
      <c r="N20" s="40"/>
      <c r="O20" s="38"/>
      <c r="P20" s="38"/>
      <c r="Q20" s="40"/>
    </row>
    <row r="21" ht="22.5" customHeight="1">
      <c r="B21" s="40"/>
      <c r="C21" s="94"/>
      <c r="D21" s="36"/>
      <c r="E21" s="94"/>
      <c r="F21" s="94"/>
      <c r="G21" s="97"/>
      <c r="H21" s="97"/>
      <c r="I21" s="40"/>
      <c r="J21" s="38"/>
      <c r="K21" s="105"/>
      <c r="L21" s="40"/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2.88"/>
    <col customWidth="1" min="9" max="9" width="19.25"/>
    <col customWidth="1" min="10" max="10" width="22.88"/>
    <col customWidth="1" min="11" max="11" width="17.0"/>
    <col customWidth="1" min="12" max="12" width="17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14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SUMIFS(OPI_6[MAF NETO],OPI_6[ESTADO],"Desembolsado")</f>
        <v>836020</v>
      </c>
      <c r="G4" s="14">
        <f>F4-E4</f>
        <v>-163980</v>
      </c>
      <c r="H4" s="15">
        <f>SUMIFS(OPI_6[MAF NETO],OPI_6[ESTADO],H$3)</f>
        <v>0</v>
      </c>
      <c r="I4" s="15">
        <f>SUMIFS(OPI_6[MAF NETO],OPI_6[ESTADO],I$3)</f>
        <v>0</v>
      </c>
      <c r="J4" s="15">
        <f>SUMIFS(OPI_6[MAF NETO],OPI_6[ESTADO],J$3)</f>
        <v>0</v>
      </c>
      <c r="K4" s="15">
        <f>SUMIFS(OPI_6[MAF NETO],OPI_6[ESTADO],K$3)</f>
        <v>0</v>
      </c>
      <c r="L4" s="15">
        <f>SUMIFS(OPI_6[MAF NETO],OPI_6[ESTADO],L$3)</f>
        <v>0</v>
      </c>
      <c r="M4" s="15">
        <f>SUMIFS(OPI_6[MAF NETO],OPI_6[ESTADO],M$3)</f>
        <v>0</v>
      </c>
      <c r="N4" s="15">
        <f>SUMIFS(OPI_6[MAF NETO],OPI_6[ESTADO],N$3)</f>
        <v>0</v>
      </c>
    </row>
    <row r="5" ht="26.25" customHeight="1">
      <c r="D5" s="16" t="s">
        <v>30</v>
      </c>
      <c r="E5" s="17" t="s">
        <v>31</v>
      </c>
      <c r="F5" s="18">
        <f>COUNTIFS(OPI_6[ESTADO],"Desembolsado")</f>
        <v>12</v>
      </c>
      <c r="G5" s="19">
        <f>IFERROR(F4/E4,"")</f>
        <v>0.83602</v>
      </c>
      <c r="H5" s="18">
        <f>COUNTIFS(OPI_6[ESTADO],H$3)</f>
        <v>0</v>
      </c>
      <c r="I5" s="18">
        <f>COUNTIFS(OPI_6[ESTADO],I$3)</f>
        <v>0</v>
      </c>
      <c r="J5" s="18">
        <f>COUNTIFS(OPI_6[ESTADO],J$3)</f>
        <v>0</v>
      </c>
      <c r="K5" s="18">
        <f>COUNTIFS(OPI_6[ESTADO],K$3)</f>
        <v>0</v>
      </c>
      <c r="L5" s="18">
        <f>COUNTIFS(OPI_6[ESTADO],L$3)</f>
        <v>0</v>
      </c>
      <c r="M5" s="18">
        <f>COUNTIFS(OPI_6[ESTADO],M$3)</f>
        <v>0</v>
      </c>
      <c r="N5" s="18">
        <f>COUNTIFS(OPI_6[ESTADO],N$3)</f>
        <v>0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14</v>
      </c>
      <c r="C10" s="24">
        <v>46171.0</v>
      </c>
      <c r="D10" s="26" t="s">
        <v>50</v>
      </c>
      <c r="E10" s="24">
        <v>46171.0</v>
      </c>
      <c r="F10" s="24">
        <v>46181.0</v>
      </c>
      <c r="G10" s="29" t="s">
        <v>238</v>
      </c>
      <c r="H10" s="29" t="s">
        <v>240</v>
      </c>
      <c r="I10" s="23" t="s">
        <v>242</v>
      </c>
      <c r="J10" s="26" t="s">
        <v>18</v>
      </c>
      <c r="K10" s="30">
        <v>72000.0</v>
      </c>
      <c r="L10" s="23" t="s">
        <v>243</v>
      </c>
      <c r="M10" s="26"/>
      <c r="N10" s="40"/>
      <c r="O10" s="38"/>
      <c r="P10" s="38"/>
      <c r="Q10" s="23" t="s">
        <v>246</v>
      </c>
    </row>
    <row r="11" ht="22.5" customHeight="1">
      <c r="B11" s="23" t="s">
        <v>14</v>
      </c>
      <c r="C11" s="24">
        <v>46175.0</v>
      </c>
      <c r="D11" s="26" t="s">
        <v>50</v>
      </c>
      <c r="E11" s="24">
        <v>46175.0</v>
      </c>
      <c r="F11" s="24">
        <v>46178.0</v>
      </c>
      <c r="G11" s="29" t="s">
        <v>248</v>
      </c>
      <c r="H11" s="29" t="s">
        <v>250</v>
      </c>
      <c r="I11" s="23" t="s">
        <v>251</v>
      </c>
      <c r="J11" s="26" t="s">
        <v>18</v>
      </c>
      <c r="K11" s="30">
        <v>23300.0</v>
      </c>
      <c r="L11" s="23" t="s">
        <v>243</v>
      </c>
      <c r="M11" s="26" t="s">
        <v>83</v>
      </c>
      <c r="N11" s="40"/>
      <c r="O11" s="38"/>
      <c r="P11" s="38"/>
      <c r="Q11" s="23" t="s">
        <v>252</v>
      </c>
    </row>
    <row r="12" ht="22.5" customHeight="1">
      <c r="B12" s="23" t="s">
        <v>14</v>
      </c>
      <c r="C12" s="24">
        <v>46182.0</v>
      </c>
      <c r="D12" s="26" t="s">
        <v>50</v>
      </c>
      <c r="E12" s="24">
        <v>46182.0</v>
      </c>
      <c r="F12" s="24">
        <v>46184.0</v>
      </c>
      <c r="G12" s="29" t="s">
        <v>255</v>
      </c>
      <c r="H12" s="29" t="s">
        <v>256</v>
      </c>
      <c r="I12" s="23" t="s">
        <v>54</v>
      </c>
      <c r="J12" s="26" t="s">
        <v>18</v>
      </c>
      <c r="K12" s="30">
        <v>81200.0</v>
      </c>
      <c r="L12" s="23" t="s">
        <v>257</v>
      </c>
      <c r="M12" s="26" t="s">
        <v>83</v>
      </c>
      <c r="N12" s="40"/>
      <c r="O12" s="38"/>
      <c r="P12" s="38"/>
      <c r="Q12" s="23"/>
    </row>
    <row r="13" ht="22.5" customHeight="1">
      <c r="B13" s="23" t="s">
        <v>258</v>
      </c>
      <c r="C13" s="24">
        <v>46185.0</v>
      </c>
      <c r="D13" s="26" t="s">
        <v>50</v>
      </c>
      <c r="E13" s="24">
        <v>46183.0</v>
      </c>
      <c r="F13" s="24">
        <v>46189.0</v>
      </c>
      <c r="G13" s="29" t="s">
        <v>261</v>
      </c>
      <c r="H13" s="29" t="s">
        <v>262</v>
      </c>
      <c r="I13" s="23" t="s">
        <v>251</v>
      </c>
      <c r="J13" s="26" t="s">
        <v>18</v>
      </c>
      <c r="K13" s="30">
        <v>121300.0</v>
      </c>
      <c r="L13" s="23" t="s">
        <v>243</v>
      </c>
      <c r="M13" s="38"/>
      <c r="N13" s="40"/>
      <c r="O13" s="38"/>
      <c r="P13" s="38"/>
      <c r="Q13" s="23" t="s">
        <v>31</v>
      </c>
    </row>
    <row r="14" ht="22.5" customHeight="1">
      <c r="B14" s="23" t="s">
        <v>14</v>
      </c>
      <c r="C14" s="24">
        <v>46183.0</v>
      </c>
      <c r="D14" s="26" t="s">
        <v>50</v>
      </c>
      <c r="E14" s="24">
        <v>46183.0</v>
      </c>
      <c r="F14" s="24">
        <v>46188.0</v>
      </c>
      <c r="G14" s="29" t="s">
        <v>265</v>
      </c>
      <c r="H14" s="29" t="s">
        <v>266</v>
      </c>
      <c r="I14" s="23" t="s">
        <v>54</v>
      </c>
      <c r="J14" s="26" t="s">
        <v>18</v>
      </c>
      <c r="K14" s="30">
        <v>85070.0</v>
      </c>
      <c r="L14" s="23" t="s">
        <v>257</v>
      </c>
      <c r="M14" s="26"/>
      <c r="N14" s="40"/>
      <c r="O14" s="38"/>
      <c r="P14" s="38"/>
      <c r="Q14" s="23"/>
    </row>
    <row r="15" ht="22.5" customHeight="1">
      <c r="B15" s="23" t="s">
        <v>14</v>
      </c>
      <c r="C15" s="24">
        <v>46196.0</v>
      </c>
      <c r="D15" s="26" t="s">
        <v>50</v>
      </c>
      <c r="E15" s="24">
        <v>46196.0</v>
      </c>
      <c r="F15" s="24">
        <v>46198.0</v>
      </c>
      <c r="G15" s="29" t="s">
        <v>269</v>
      </c>
      <c r="H15" s="29" t="s">
        <v>270</v>
      </c>
      <c r="I15" s="23" t="s">
        <v>251</v>
      </c>
      <c r="J15" s="26" t="s">
        <v>18</v>
      </c>
      <c r="K15" s="30">
        <v>54500.0</v>
      </c>
      <c r="L15" s="23" t="s">
        <v>243</v>
      </c>
      <c r="M15" s="26"/>
      <c r="N15" s="40"/>
      <c r="O15" s="38"/>
      <c r="P15" s="38"/>
      <c r="Q15" s="40"/>
    </row>
    <row r="16" ht="22.5" customHeight="1">
      <c r="B16" s="23" t="s">
        <v>14</v>
      </c>
      <c r="C16" s="24">
        <v>46193.0</v>
      </c>
      <c r="D16" s="26" t="s">
        <v>50</v>
      </c>
      <c r="E16" s="24">
        <v>46193.0</v>
      </c>
      <c r="F16" s="24">
        <v>46198.0</v>
      </c>
      <c r="G16" s="29" t="s">
        <v>273</v>
      </c>
      <c r="H16" s="29" t="s">
        <v>274</v>
      </c>
      <c r="I16" s="23" t="s">
        <v>275</v>
      </c>
      <c r="J16" s="26" t="s">
        <v>18</v>
      </c>
      <c r="K16" s="30">
        <v>10500.0</v>
      </c>
      <c r="L16" s="23" t="s">
        <v>243</v>
      </c>
      <c r="M16" s="38"/>
      <c r="N16" s="40"/>
      <c r="O16" s="38"/>
      <c r="P16" s="38"/>
      <c r="Q16" s="23" t="s">
        <v>278</v>
      </c>
    </row>
    <row r="17" ht="22.5" customHeight="1">
      <c r="B17" s="23" t="s">
        <v>14</v>
      </c>
      <c r="C17" s="24">
        <v>46198.0</v>
      </c>
      <c r="D17" s="26" t="s">
        <v>50</v>
      </c>
      <c r="E17" s="24">
        <v>46197.0</v>
      </c>
      <c r="F17" s="24">
        <v>46200.0</v>
      </c>
      <c r="G17" s="29" t="s">
        <v>279</v>
      </c>
      <c r="H17" s="29" t="s">
        <v>280</v>
      </c>
      <c r="I17" s="23" t="s">
        <v>203</v>
      </c>
      <c r="J17" s="26" t="s">
        <v>18</v>
      </c>
      <c r="K17" s="30">
        <v>72700.0</v>
      </c>
      <c r="L17" s="23" t="s">
        <v>281</v>
      </c>
      <c r="M17" s="38"/>
      <c r="N17" s="40"/>
      <c r="O17" s="38"/>
      <c r="P17" s="38"/>
      <c r="Q17" s="23"/>
    </row>
    <row r="18" ht="22.5" customHeight="1">
      <c r="B18" s="23" t="s">
        <v>14</v>
      </c>
      <c r="C18" s="24">
        <v>46198.0</v>
      </c>
      <c r="D18" s="26" t="s">
        <v>50</v>
      </c>
      <c r="E18" s="24">
        <v>46198.0</v>
      </c>
      <c r="F18" s="24">
        <v>46200.0</v>
      </c>
      <c r="G18" s="29" t="s">
        <v>285</v>
      </c>
      <c r="H18" s="29" t="s">
        <v>286</v>
      </c>
      <c r="I18" s="23" t="s">
        <v>203</v>
      </c>
      <c r="J18" s="26" t="s">
        <v>18</v>
      </c>
      <c r="K18" s="30">
        <v>77900.0</v>
      </c>
      <c r="L18" s="23" t="s">
        <v>281</v>
      </c>
      <c r="M18" s="38"/>
      <c r="N18" s="40"/>
      <c r="O18" s="38"/>
      <c r="P18" s="38"/>
      <c r="Q18" s="23" t="s">
        <v>289</v>
      </c>
    </row>
    <row r="19" ht="22.5" customHeight="1">
      <c r="B19" s="23" t="s">
        <v>14</v>
      </c>
      <c r="C19" s="24">
        <v>46199.0</v>
      </c>
      <c r="D19" s="26" t="s">
        <v>50</v>
      </c>
      <c r="E19" s="24">
        <v>46198.0</v>
      </c>
      <c r="F19" s="24">
        <v>46203.0</v>
      </c>
      <c r="G19" s="29" t="s">
        <v>290</v>
      </c>
      <c r="H19" s="29" t="s">
        <v>291</v>
      </c>
      <c r="I19" s="23" t="s">
        <v>203</v>
      </c>
      <c r="J19" s="26" t="s">
        <v>18</v>
      </c>
      <c r="K19" s="30">
        <v>67100.0</v>
      </c>
      <c r="L19" s="23" t="s">
        <v>281</v>
      </c>
      <c r="M19" s="38"/>
      <c r="N19" s="40"/>
      <c r="O19" s="38"/>
      <c r="P19" s="38"/>
      <c r="Q19" s="23" t="s">
        <v>294</v>
      </c>
    </row>
    <row r="20" ht="22.5" customHeight="1">
      <c r="B20" s="23" t="s">
        <v>14</v>
      </c>
      <c r="C20" s="24">
        <v>46199.0</v>
      </c>
      <c r="D20" s="26" t="s">
        <v>50</v>
      </c>
      <c r="E20" s="24">
        <v>46198.0</v>
      </c>
      <c r="F20" s="24">
        <v>46203.0</v>
      </c>
      <c r="G20" s="29" t="s">
        <v>297</v>
      </c>
      <c r="H20" s="29" t="s">
        <v>298</v>
      </c>
      <c r="I20" s="23" t="s">
        <v>299</v>
      </c>
      <c r="J20" s="26" t="s">
        <v>18</v>
      </c>
      <c r="K20" s="30">
        <v>64950.0</v>
      </c>
      <c r="L20" s="23" t="s">
        <v>300</v>
      </c>
      <c r="M20" s="38"/>
      <c r="N20" s="40"/>
      <c r="O20" s="38"/>
      <c r="P20" s="38"/>
      <c r="Q20" s="40"/>
    </row>
    <row r="21" ht="22.5" customHeight="1">
      <c r="B21" s="23" t="s">
        <v>14</v>
      </c>
      <c r="C21" s="24">
        <v>46199.0</v>
      </c>
      <c r="D21" s="26" t="s">
        <v>50</v>
      </c>
      <c r="E21" s="24">
        <v>46199.0</v>
      </c>
      <c r="F21" s="24">
        <v>46203.0</v>
      </c>
      <c r="G21" s="29" t="s">
        <v>303</v>
      </c>
      <c r="H21" s="29" t="s">
        <v>304</v>
      </c>
      <c r="I21" s="23" t="s">
        <v>54</v>
      </c>
      <c r="J21" s="26" t="s">
        <v>18</v>
      </c>
      <c r="K21" s="30">
        <v>105500.0</v>
      </c>
      <c r="L21" s="23" t="s">
        <v>300</v>
      </c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320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SUMIFS(OPI_14[MAF NETO],OPI_14[ESTADO],"Desembolsado")</f>
        <v>451270</v>
      </c>
      <c r="G4" s="14">
        <f>F4-E4</f>
        <v>-548730</v>
      </c>
      <c r="H4" s="15">
        <f>SUMIFS(OPI_14[MAF NETO],OPI_14[ESTADO],H$3)</f>
        <v>0</v>
      </c>
      <c r="I4" s="15">
        <f>SUMIFS(OPI_14[MAF NETO],OPI_14[ESTADO],I$3)</f>
        <v>0</v>
      </c>
      <c r="J4" s="15">
        <f>SUMIFS(OPI_14[MAF NETO],OPI_14[ESTADO],J$3)</f>
        <v>0</v>
      </c>
      <c r="K4" s="15">
        <f>SUMIFS(OPI_14[MAF NETO],OPI_14[ESTADO],K$3)</f>
        <v>0</v>
      </c>
      <c r="L4" s="15">
        <f>SUMIFS(OPI_14[MAF NETO],OPI_14[ESTADO],L$3)</f>
        <v>0</v>
      </c>
      <c r="M4" s="15">
        <f>SUMIFS(OPI_14[MAF NETO],OPI_14[ESTADO],M$3)</f>
        <v>0</v>
      </c>
      <c r="N4" s="15">
        <f>SUMIFS(OPI_14[MAF NETO],OPI_14[ESTADO],N$3)</f>
        <v>157100</v>
      </c>
    </row>
    <row r="5" ht="26.25" customHeight="1">
      <c r="D5" s="16" t="s">
        <v>30</v>
      </c>
      <c r="E5" s="17" t="s">
        <v>31</v>
      </c>
      <c r="F5" s="18">
        <f>COUNTIFS(OPI_14[ESTADO],"Desembolsado")</f>
        <v>7</v>
      </c>
      <c r="G5" s="19">
        <f>IFERROR(F4/E4,"")</f>
        <v>0.45127</v>
      </c>
      <c r="H5" s="18">
        <f>COUNTIFS(OPI_14[ESTADO],H$3)</f>
        <v>0</v>
      </c>
      <c r="I5" s="18">
        <f>COUNTIFS(OPI_14[ESTADO],I$3)</f>
        <v>0</v>
      </c>
      <c r="J5" s="18">
        <f>COUNTIFS(OPI_14[ESTADO],J$3)</f>
        <v>0</v>
      </c>
      <c r="K5" s="18">
        <f>COUNTIFS(OPI_14[ESTADO],K$3)</f>
        <v>0</v>
      </c>
      <c r="L5" s="18">
        <f>COUNTIFS(OPI_14[ESTADO],L$3)</f>
        <v>0</v>
      </c>
      <c r="M5" s="18">
        <f>COUNTIFS(OPI_14[ESTADO],M$3)</f>
        <v>0</v>
      </c>
      <c r="N5" s="18">
        <f>COUNTIFS(OPI_14[ESTADO],N$3)</f>
        <v>2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320</v>
      </c>
      <c r="C10" s="24">
        <v>46181.0</v>
      </c>
      <c r="D10" s="26" t="s">
        <v>50</v>
      </c>
      <c r="E10" s="24">
        <v>46182.0</v>
      </c>
      <c r="F10" s="24">
        <v>46188.0</v>
      </c>
      <c r="G10" s="29" t="s">
        <v>321</v>
      </c>
      <c r="H10" s="29" t="s">
        <v>322</v>
      </c>
      <c r="I10" s="23" t="s">
        <v>54</v>
      </c>
      <c r="J10" s="26" t="s">
        <v>18</v>
      </c>
      <c r="K10" s="30">
        <v>78000.0</v>
      </c>
      <c r="L10" s="23" t="s">
        <v>323</v>
      </c>
      <c r="M10" s="26" t="s">
        <v>62</v>
      </c>
      <c r="N10" s="40"/>
      <c r="O10" s="26"/>
      <c r="P10" s="38"/>
      <c r="Q10" s="23"/>
    </row>
    <row r="11" ht="22.5" customHeight="1">
      <c r="B11" s="23" t="s">
        <v>320</v>
      </c>
      <c r="C11" s="24">
        <v>46181.0</v>
      </c>
      <c r="D11" s="26" t="s">
        <v>50</v>
      </c>
      <c r="E11" s="24">
        <v>46182.0</v>
      </c>
      <c r="F11" s="94"/>
      <c r="G11" s="29" t="s">
        <v>324</v>
      </c>
      <c r="H11" s="29" t="s">
        <v>325</v>
      </c>
      <c r="I11" s="23" t="s">
        <v>82</v>
      </c>
      <c r="J11" s="26" t="s">
        <v>18</v>
      </c>
      <c r="K11" s="30">
        <v>69100.0</v>
      </c>
      <c r="L11" s="23" t="s">
        <v>323</v>
      </c>
      <c r="M11" s="26" t="s">
        <v>62</v>
      </c>
      <c r="N11" s="40"/>
      <c r="O11" s="26"/>
      <c r="P11" s="38"/>
      <c r="Q11" s="23" t="s">
        <v>326</v>
      </c>
    </row>
    <row r="12" ht="22.5" customHeight="1">
      <c r="B12" s="23" t="s">
        <v>320</v>
      </c>
      <c r="C12" s="24">
        <v>46182.0</v>
      </c>
      <c r="D12" s="26" t="s">
        <v>129</v>
      </c>
      <c r="E12" s="24">
        <v>46182.0</v>
      </c>
      <c r="F12" s="94"/>
      <c r="G12" s="29" t="s">
        <v>327</v>
      </c>
      <c r="H12" s="29" t="s">
        <v>328</v>
      </c>
      <c r="I12" s="23" t="s">
        <v>82</v>
      </c>
      <c r="J12" s="26" t="s">
        <v>26</v>
      </c>
      <c r="K12" s="30">
        <v>74500.0</v>
      </c>
      <c r="L12" s="23" t="s">
        <v>329</v>
      </c>
      <c r="M12" s="26" t="s">
        <v>62</v>
      </c>
      <c r="N12" s="40"/>
      <c r="O12" s="26"/>
      <c r="P12" s="38"/>
      <c r="Q12" s="23" t="s">
        <v>330</v>
      </c>
    </row>
    <row r="13" ht="22.5" customHeight="1">
      <c r="B13" s="23" t="s">
        <v>320</v>
      </c>
      <c r="C13" s="24">
        <v>46184.0</v>
      </c>
      <c r="D13" s="26" t="s">
        <v>50</v>
      </c>
      <c r="E13" s="24">
        <v>46188.0</v>
      </c>
      <c r="F13" s="94"/>
      <c r="G13" s="29" t="s">
        <v>331</v>
      </c>
      <c r="H13" s="29" t="s">
        <v>332</v>
      </c>
      <c r="I13" s="23" t="s">
        <v>82</v>
      </c>
      <c r="J13" s="26" t="s">
        <v>18</v>
      </c>
      <c r="K13" s="30">
        <v>55500.0</v>
      </c>
      <c r="L13" s="23" t="s">
        <v>323</v>
      </c>
      <c r="M13" s="26" t="s">
        <v>62</v>
      </c>
      <c r="N13" s="40"/>
      <c r="O13" s="26"/>
      <c r="P13" s="38"/>
      <c r="Q13" s="23" t="s">
        <v>326</v>
      </c>
    </row>
    <row r="14" ht="22.5" customHeight="1">
      <c r="B14" s="23" t="s">
        <v>320</v>
      </c>
      <c r="C14" s="24">
        <v>46185.0</v>
      </c>
      <c r="D14" s="26" t="s">
        <v>50</v>
      </c>
      <c r="E14" s="24">
        <v>46188.0</v>
      </c>
      <c r="F14" s="94"/>
      <c r="G14" s="29" t="s">
        <v>333</v>
      </c>
      <c r="H14" s="29" t="s">
        <v>334</v>
      </c>
      <c r="I14" s="23" t="s">
        <v>54</v>
      </c>
      <c r="J14" s="26" t="s">
        <v>18</v>
      </c>
      <c r="K14" s="30">
        <v>50000.0</v>
      </c>
      <c r="L14" s="23" t="s">
        <v>329</v>
      </c>
      <c r="M14" s="26" t="s">
        <v>62</v>
      </c>
      <c r="N14" s="40"/>
      <c r="O14" s="38"/>
      <c r="P14" s="38"/>
      <c r="Q14" s="40"/>
    </row>
    <row r="15" ht="22.5" customHeight="1">
      <c r="B15" s="23" t="s">
        <v>320</v>
      </c>
      <c r="C15" s="24">
        <v>46190.0</v>
      </c>
      <c r="D15" s="26" t="s">
        <v>50</v>
      </c>
      <c r="E15" s="94"/>
      <c r="F15" s="94"/>
      <c r="G15" s="29" t="s">
        <v>335</v>
      </c>
      <c r="H15" s="29" t="s">
        <v>336</v>
      </c>
      <c r="I15" s="23" t="s">
        <v>82</v>
      </c>
      <c r="J15" s="26" t="s">
        <v>18</v>
      </c>
      <c r="K15" s="30">
        <v>52400.0</v>
      </c>
      <c r="L15" s="23" t="s">
        <v>323</v>
      </c>
      <c r="M15" s="26" t="s">
        <v>62</v>
      </c>
      <c r="N15" s="40"/>
      <c r="O15" s="38"/>
      <c r="P15" s="38"/>
      <c r="Q15" s="23" t="s">
        <v>337</v>
      </c>
    </row>
    <row r="16" ht="22.5" customHeight="1">
      <c r="B16" s="23" t="s">
        <v>320</v>
      </c>
      <c r="C16" s="24">
        <v>46191.0</v>
      </c>
      <c r="D16" s="26" t="s">
        <v>50</v>
      </c>
      <c r="E16" s="94"/>
      <c r="F16" s="94"/>
      <c r="G16" s="29" t="s">
        <v>338</v>
      </c>
      <c r="H16" s="29" t="s">
        <v>339</v>
      </c>
      <c r="I16" s="23" t="s">
        <v>54</v>
      </c>
      <c r="J16" s="26" t="s">
        <v>18</v>
      </c>
      <c r="K16" s="30">
        <v>70000.0</v>
      </c>
      <c r="L16" s="23" t="s">
        <v>323</v>
      </c>
      <c r="M16" s="26" t="s">
        <v>62</v>
      </c>
      <c r="N16" s="40"/>
      <c r="O16" s="38"/>
      <c r="P16" s="38"/>
      <c r="Q16" s="23" t="s">
        <v>340</v>
      </c>
    </row>
    <row r="17" ht="22.5" customHeight="1">
      <c r="B17" s="23" t="s">
        <v>320</v>
      </c>
      <c r="C17" s="24">
        <v>46193.0</v>
      </c>
      <c r="D17" s="26" t="s">
        <v>50</v>
      </c>
      <c r="E17" s="94"/>
      <c r="F17" s="94"/>
      <c r="G17" s="29" t="s">
        <v>341</v>
      </c>
      <c r="H17" s="29" t="s">
        <v>342</v>
      </c>
      <c r="I17" s="23" t="s">
        <v>54</v>
      </c>
      <c r="J17" s="26" t="s">
        <v>18</v>
      </c>
      <c r="K17" s="30">
        <v>76270.0</v>
      </c>
      <c r="L17" s="23" t="s">
        <v>323</v>
      </c>
      <c r="M17" s="26" t="s">
        <v>62</v>
      </c>
      <c r="N17" s="40"/>
      <c r="O17" s="38"/>
      <c r="P17" s="38"/>
      <c r="Q17" s="40"/>
    </row>
    <row r="18" ht="22.5" customHeight="1">
      <c r="B18" s="23" t="s">
        <v>320</v>
      </c>
      <c r="C18" s="24">
        <v>46200.0</v>
      </c>
      <c r="D18" s="26" t="s">
        <v>129</v>
      </c>
      <c r="E18" s="94"/>
      <c r="F18" s="94"/>
      <c r="G18" s="29" t="s">
        <v>343</v>
      </c>
      <c r="H18" s="29" t="s">
        <v>344</v>
      </c>
      <c r="I18" s="23" t="s">
        <v>74</v>
      </c>
      <c r="J18" s="26" t="s">
        <v>26</v>
      </c>
      <c r="K18" s="30">
        <v>82600.0</v>
      </c>
      <c r="L18" s="23" t="s">
        <v>323</v>
      </c>
      <c r="M18" s="26" t="s">
        <v>62</v>
      </c>
      <c r="N18" s="40"/>
      <c r="O18" s="38"/>
      <c r="P18" s="38"/>
      <c r="Q18" s="40"/>
    </row>
    <row r="19" ht="22.5" customHeight="1">
      <c r="B19" s="40"/>
      <c r="C19" s="94"/>
      <c r="D19" s="36"/>
      <c r="E19" s="94"/>
      <c r="F19" s="94"/>
      <c r="G19" s="97"/>
      <c r="H19" s="97"/>
      <c r="I19" s="40"/>
      <c r="J19" s="38"/>
      <c r="K19" s="105"/>
      <c r="L19" s="40"/>
      <c r="M19" s="38"/>
      <c r="N19" s="40"/>
      <c r="O19" s="38"/>
      <c r="P19" s="38"/>
      <c r="Q19" s="40"/>
    </row>
    <row r="20" ht="22.5" customHeight="1">
      <c r="B20" s="40"/>
      <c r="C20" s="94"/>
      <c r="D20" s="36"/>
      <c r="E20" s="94"/>
      <c r="F20" s="94"/>
      <c r="G20" s="97"/>
      <c r="H20" s="97"/>
      <c r="I20" s="40"/>
      <c r="J20" s="38"/>
      <c r="K20" s="105"/>
      <c r="L20" s="40"/>
      <c r="M20" s="38"/>
      <c r="N20" s="40"/>
      <c r="O20" s="38"/>
      <c r="P20" s="38"/>
      <c r="Q20" s="40"/>
    </row>
    <row r="21" ht="22.5" customHeight="1">
      <c r="B21" s="40"/>
      <c r="C21" s="94"/>
      <c r="D21" s="36"/>
      <c r="E21" s="94"/>
      <c r="F21" s="94"/>
      <c r="G21" s="97"/>
      <c r="H21" s="97"/>
      <c r="I21" s="40"/>
      <c r="J21" s="38"/>
      <c r="K21" s="105"/>
      <c r="L21" s="40"/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1">
      <c r="B1" s="157" t="s">
        <v>345</v>
      </c>
      <c r="C1" s="157" t="s">
        <v>346</v>
      </c>
    </row>
    <row r="3" ht="26.25" customHeight="1">
      <c r="D3" s="6" t="s">
        <v>14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SUMIFS(OPI_8[MAF NETO],OPI_8[ESTADO],"Desembolsado")</f>
        <v>68200</v>
      </c>
      <c r="G4" s="14">
        <f>F4-E4</f>
        <v>-931800</v>
      </c>
      <c r="H4" s="15">
        <f>SUMIFS(OPI_8[MAF NETO],OPI_8[ESTADO],H$3)</f>
        <v>0</v>
      </c>
      <c r="I4" s="15">
        <f>SUMIFS(OPI_8[MAF NETO],OPI_8[ESTADO],I$3)</f>
        <v>0</v>
      </c>
      <c r="J4" s="15">
        <f>SUMIFS(OPI_8[MAF NETO],OPI_8[ESTADO],J$3)</f>
        <v>0</v>
      </c>
      <c r="K4" s="15">
        <f>SUMIFS(OPI_8[MAF NETO],OPI_8[ESTADO],K$3)</f>
        <v>0</v>
      </c>
      <c r="L4" s="15">
        <f>SUMIFS(OPI_8[MAF NETO],OPI_8[ESTADO],L$3)</f>
        <v>0</v>
      </c>
      <c r="M4" s="15">
        <f>SUMIFS(OPI_8[MAF NETO],OPI_8[ESTADO],M$3)</f>
        <v>0</v>
      </c>
      <c r="N4" s="15">
        <f>SUMIFS(OPI_8[MAF NETO],OPI_8[ESTADO],N$3)</f>
        <v>0</v>
      </c>
    </row>
    <row r="5" ht="26.25" customHeight="1">
      <c r="D5" s="16" t="s">
        <v>30</v>
      </c>
      <c r="E5" s="17" t="s">
        <v>31</v>
      </c>
      <c r="F5" s="18">
        <f>COUNTIFS(OPI_8[ESTADO],"Desembolsado")</f>
        <v>1</v>
      </c>
      <c r="G5" s="19">
        <f>IFERROR(F4/E4,"")</f>
        <v>0.0682</v>
      </c>
      <c r="H5" s="18">
        <f>COUNTIFS(OPI_8[ESTADO],H$3)</f>
        <v>0</v>
      </c>
      <c r="I5" s="18">
        <f>COUNTIFS(OPI_8[ESTADO],I$3)</f>
        <v>0</v>
      </c>
      <c r="J5" s="18">
        <f>COUNTIFS(OPI_8[ESTADO],J$3)</f>
        <v>0</v>
      </c>
      <c r="K5" s="18">
        <f>COUNTIFS(OPI_8[ESTADO],K$3)</f>
        <v>0</v>
      </c>
      <c r="L5" s="18">
        <f>COUNTIFS(OPI_8[ESTADO],L$3)</f>
        <v>0</v>
      </c>
      <c r="M5" s="18">
        <f>COUNTIFS(OPI_8[ESTADO],M$3)</f>
        <v>0</v>
      </c>
      <c r="N5" s="18">
        <f>COUNTIFS(OPI_8[ESTADO],N$3)</f>
        <v>1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14</v>
      </c>
      <c r="C10" s="24">
        <v>46183.0</v>
      </c>
      <c r="D10" s="26" t="s">
        <v>50</v>
      </c>
      <c r="E10" s="24"/>
      <c r="F10" s="24"/>
      <c r="G10" s="29" t="s">
        <v>347</v>
      </c>
      <c r="H10" s="29" t="s">
        <v>348</v>
      </c>
      <c r="I10" s="23" t="s">
        <v>74</v>
      </c>
      <c r="J10" s="26" t="s">
        <v>26</v>
      </c>
      <c r="K10" s="30"/>
      <c r="L10" s="23" t="s">
        <v>349</v>
      </c>
      <c r="M10" s="38"/>
      <c r="N10" s="40"/>
      <c r="O10" s="38"/>
      <c r="P10" s="38"/>
      <c r="Q10" s="40"/>
    </row>
    <row r="11" ht="22.5" customHeight="1">
      <c r="B11" s="40"/>
      <c r="C11" s="94"/>
      <c r="D11" s="26" t="s">
        <v>50</v>
      </c>
      <c r="E11" s="24">
        <v>46199.0</v>
      </c>
      <c r="F11" s="94"/>
      <c r="G11" s="29" t="s">
        <v>351</v>
      </c>
      <c r="H11" s="29" t="s">
        <v>352</v>
      </c>
      <c r="I11" s="23" t="s">
        <v>74</v>
      </c>
      <c r="J11" s="26" t="s">
        <v>18</v>
      </c>
      <c r="K11" s="30">
        <v>68200.0</v>
      </c>
      <c r="L11" s="23" t="s">
        <v>353</v>
      </c>
      <c r="M11" s="38"/>
      <c r="N11" s="40"/>
      <c r="O11" s="38"/>
      <c r="P11" s="38"/>
      <c r="Q11" s="40"/>
    </row>
    <row r="12" ht="22.5" customHeight="1">
      <c r="B12" s="40"/>
      <c r="C12" s="94"/>
      <c r="D12" s="36"/>
      <c r="E12" s="94"/>
      <c r="F12" s="94"/>
      <c r="G12" s="97"/>
      <c r="H12" s="97"/>
      <c r="I12" s="40"/>
      <c r="J12" s="38"/>
      <c r="K12" s="105"/>
      <c r="L12" s="40"/>
      <c r="M12" s="38"/>
      <c r="N12" s="40"/>
      <c r="O12" s="38"/>
      <c r="P12" s="38"/>
      <c r="Q12" s="40"/>
    </row>
    <row r="13" ht="22.5" customHeight="1">
      <c r="B13" s="40"/>
      <c r="C13" s="94"/>
      <c r="D13" s="36"/>
      <c r="E13" s="94"/>
      <c r="F13" s="94"/>
      <c r="G13" s="97"/>
      <c r="H13" s="97"/>
      <c r="I13" s="40"/>
      <c r="J13" s="38"/>
      <c r="K13" s="105"/>
      <c r="L13" s="40"/>
      <c r="M13" s="38"/>
      <c r="N13" s="40"/>
      <c r="O13" s="38"/>
      <c r="P13" s="38"/>
      <c r="Q13" s="40"/>
    </row>
    <row r="14" ht="22.5" customHeight="1">
      <c r="B14" s="40"/>
      <c r="C14" s="94"/>
      <c r="D14" s="36"/>
      <c r="E14" s="94"/>
      <c r="F14" s="94"/>
      <c r="G14" s="97"/>
      <c r="H14" s="97"/>
      <c r="I14" s="40"/>
      <c r="J14" s="38"/>
      <c r="K14" s="105"/>
      <c r="L14" s="40"/>
      <c r="M14" s="38"/>
      <c r="N14" s="40"/>
      <c r="O14" s="38"/>
      <c r="P14" s="38"/>
      <c r="Q14" s="40"/>
    </row>
    <row r="15" ht="22.5" customHeight="1">
      <c r="B15" s="40"/>
      <c r="C15" s="94"/>
      <c r="D15" s="36"/>
      <c r="E15" s="94"/>
      <c r="F15" s="94"/>
      <c r="G15" s="97"/>
      <c r="H15" s="97"/>
      <c r="I15" s="40"/>
      <c r="J15" s="38"/>
      <c r="K15" s="105"/>
      <c r="L15" s="40"/>
      <c r="M15" s="38"/>
      <c r="N15" s="40"/>
      <c r="O15" s="38"/>
      <c r="P15" s="38"/>
      <c r="Q15" s="40"/>
    </row>
    <row r="16" ht="22.5" customHeight="1">
      <c r="B16" s="40"/>
      <c r="C16" s="94"/>
      <c r="D16" s="36"/>
      <c r="E16" s="94"/>
      <c r="F16" s="94"/>
      <c r="G16" s="97"/>
      <c r="H16" s="97"/>
      <c r="I16" s="40"/>
      <c r="J16" s="38"/>
      <c r="K16" s="105"/>
      <c r="L16" s="40"/>
      <c r="M16" s="38"/>
      <c r="N16" s="40"/>
      <c r="O16" s="38"/>
      <c r="P16" s="38"/>
      <c r="Q16" s="40"/>
    </row>
    <row r="17" ht="22.5" customHeight="1">
      <c r="B17" s="40"/>
      <c r="C17" s="94"/>
      <c r="D17" s="36"/>
      <c r="E17" s="94"/>
      <c r="F17" s="94"/>
      <c r="G17" s="97"/>
      <c r="H17" s="97"/>
      <c r="I17" s="40"/>
      <c r="J17" s="38"/>
      <c r="K17" s="105"/>
      <c r="L17" s="40"/>
      <c r="M17" s="38"/>
      <c r="N17" s="40"/>
      <c r="O17" s="38"/>
      <c r="P17" s="38"/>
      <c r="Q17" s="40"/>
    </row>
    <row r="18" ht="22.5" customHeight="1">
      <c r="B18" s="40"/>
      <c r="C18" s="94"/>
      <c r="D18" s="36"/>
      <c r="E18" s="94"/>
      <c r="F18" s="94"/>
      <c r="G18" s="97"/>
      <c r="H18" s="97"/>
      <c r="I18" s="40"/>
      <c r="J18" s="38"/>
      <c r="K18" s="105"/>
      <c r="L18" s="40"/>
      <c r="M18" s="38"/>
      <c r="N18" s="40"/>
      <c r="O18" s="38"/>
      <c r="P18" s="38"/>
      <c r="Q18" s="40"/>
    </row>
    <row r="19" ht="22.5" customHeight="1">
      <c r="B19" s="40"/>
      <c r="C19" s="94"/>
      <c r="D19" s="36"/>
      <c r="E19" s="94"/>
      <c r="F19" s="94"/>
      <c r="G19" s="97"/>
      <c r="H19" s="97"/>
      <c r="I19" s="40"/>
      <c r="J19" s="38"/>
      <c r="K19" s="105"/>
      <c r="L19" s="40"/>
      <c r="M19" s="38"/>
      <c r="N19" s="40"/>
      <c r="O19" s="38"/>
      <c r="P19" s="38"/>
      <c r="Q19" s="40"/>
    </row>
    <row r="20" ht="22.5" customHeight="1">
      <c r="B20" s="40"/>
      <c r="C20" s="94"/>
      <c r="D20" s="36"/>
      <c r="E20" s="94"/>
      <c r="F20" s="94"/>
      <c r="G20" s="97"/>
      <c r="H20" s="97"/>
      <c r="I20" s="40"/>
      <c r="J20" s="38"/>
      <c r="K20" s="105"/>
      <c r="L20" s="40"/>
      <c r="M20" s="38"/>
      <c r="N20" s="40"/>
      <c r="O20" s="38"/>
      <c r="P20" s="38"/>
      <c r="Q20" s="40"/>
    </row>
    <row r="21" ht="22.5" customHeight="1">
      <c r="B21" s="40"/>
      <c r="C21" s="94"/>
      <c r="D21" s="36"/>
      <c r="E21" s="94"/>
      <c r="F21" s="94"/>
      <c r="G21" s="97"/>
      <c r="H21" s="97"/>
      <c r="I21" s="40"/>
      <c r="J21" s="38"/>
      <c r="K21" s="105"/>
      <c r="L21" s="40"/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6.0"/>
    <col customWidth="1" min="9" max="9" width="19.25"/>
    <col customWidth="1" min="10" max="10" width="22.88"/>
    <col customWidth="1" min="11" max="11" width="17.0"/>
    <col customWidth="1" min="12" max="12" width="14.3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14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2000000.0</v>
      </c>
      <c r="F4" s="14">
        <f>SUMIFS(OPI_10[MAF NETO],OPI_10[ESTADO],"Desembolsado")</f>
        <v>1049520</v>
      </c>
      <c r="G4" s="14">
        <f>F4-E4</f>
        <v>-950480</v>
      </c>
      <c r="H4" s="15">
        <f>SUMIFS(OPI_10[MAF NETO],OPI_10[ESTADO],H$3)</f>
        <v>0</v>
      </c>
      <c r="I4" s="15">
        <f>SUMIFS(OPI_10[MAF NETO],OPI_10[ESTADO],I$3)</f>
        <v>0</v>
      </c>
      <c r="J4" s="15">
        <f>SUMIFS(OPI_10[MAF NETO],OPI_10[ESTADO],J$3)</f>
        <v>0</v>
      </c>
      <c r="K4" s="15">
        <f>SUMIFS(OPI_10[MAF NETO],OPI_10[ESTADO],K$3)</f>
        <v>0</v>
      </c>
      <c r="L4" s="15">
        <f>SUMIFS(OPI_10[MAF NETO],OPI_10[ESTADO],L$3)</f>
        <v>0</v>
      </c>
      <c r="M4" s="15">
        <f>SUMIFS(OPI_10[MAF NETO],OPI_10[ESTADO],M$3)</f>
        <v>0</v>
      </c>
      <c r="N4" s="15">
        <f>SUMIFS(OPI_10[MAF NETO],OPI_10[ESTADO],N$3)</f>
        <v>0</v>
      </c>
    </row>
    <row r="5" ht="26.25" customHeight="1">
      <c r="D5" s="16" t="s">
        <v>30</v>
      </c>
      <c r="E5" s="17" t="s">
        <v>31</v>
      </c>
      <c r="F5" s="18">
        <f>COUNTIFS(OPI_10[ESTADO],"Desembolsado")</f>
        <v>16</v>
      </c>
      <c r="G5" s="19">
        <f>IFERROR(F4/E4,"")</f>
        <v>0.52476</v>
      </c>
      <c r="H5" s="18">
        <f>COUNTIFS(OPI_10[ESTADO],H$3)</f>
        <v>0</v>
      </c>
      <c r="I5" s="18">
        <f>COUNTIFS(OPI_10[ESTADO],I$3)</f>
        <v>0</v>
      </c>
      <c r="J5" s="18">
        <f>COUNTIFS(OPI_10[ESTADO],J$3)</f>
        <v>0</v>
      </c>
      <c r="K5" s="18">
        <f>COUNTIFS(OPI_10[ESTADO],K$3)</f>
        <v>0</v>
      </c>
      <c r="L5" s="18">
        <f>COUNTIFS(OPI_10[ESTADO],L$3)</f>
        <v>0</v>
      </c>
      <c r="M5" s="18">
        <f>COUNTIFS(OPI_10[ESTADO],M$3)</f>
        <v>0</v>
      </c>
      <c r="N5" s="18">
        <f>COUNTIFS(OPI_10[ESTADO],N$3)</f>
        <v>5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158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350</v>
      </c>
      <c r="C10" s="24">
        <v>46171.0</v>
      </c>
      <c r="D10" s="26" t="s">
        <v>50</v>
      </c>
      <c r="E10" s="24">
        <v>46176.0</v>
      </c>
      <c r="F10" s="24">
        <v>46176.0</v>
      </c>
      <c r="G10" s="29" t="s">
        <v>354</v>
      </c>
      <c r="H10" s="29" t="s">
        <v>355</v>
      </c>
      <c r="I10" s="23" t="s">
        <v>230</v>
      </c>
      <c r="J10" s="26" t="s">
        <v>18</v>
      </c>
      <c r="K10" s="30">
        <v>71000.0</v>
      </c>
      <c r="L10" s="23" t="s">
        <v>356</v>
      </c>
      <c r="M10" s="26" t="s">
        <v>83</v>
      </c>
      <c r="N10" s="136">
        <v>46177.0</v>
      </c>
      <c r="O10" s="38"/>
      <c r="P10" s="38"/>
      <c r="Q10" s="40"/>
    </row>
    <row r="11" ht="22.5" customHeight="1">
      <c r="B11" s="23" t="s">
        <v>350</v>
      </c>
      <c r="C11" s="24">
        <v>46172.0</v>
      </c>
      <c r="D11" s="26" t="s">
        <v>50</v>
      </c>
      <c r="E11" s="24">
        <v>46176.0</v>
      </c>
      <c r="F11" s="24">
        <v>46177.0</v>
      </c>
      <c r="G11" s="29" t="s">
        <v>357</v>
      </c>
      <c r="H11" s="159" t="s">
        <v>358</v>
      </c>
      <c r="I11" s="23" t="s">
        <v>230</v>
      </c>
      <c r="J11" s="26" t="s">
        <v>18</v>
      </c>
      <c r="K11" s="30">
        <v>54800.0</v>
      </c>
      <c r="L11" s="23" t="s">
        <v>359</v>
      </c>
      <c r="M11" s="26" t="s">
        <v>83</v>
      </c>
      <c r="N11" s="160"/>
      <c r="O11" s="38"/>
      <c r="P11" s="38"/>
      <c r="Q11" s="161"/>
    </row>
    <row r="12" ht="22.5" customHeight="1">
      <c r="B12" s="23"/>
      <c r="C12" s="24">
        <v>46177.0</v>
      </c>
      <c r="D12" s="26" t="s">
        <v>50</v>
      </c>
      <c r="E12" s="24"/>
      <c r="F12" s="24"/>
      <c r="G12" s="29" t="s">
        <v>360</v>
      </c>
      <c r="H12" s="29" t="s">
        <v>361</v>
      </c>
      <c r="I12" s="23" t="s">
        <v>242</v>
      </c>
      <c r="J12" s="26" t="s">
        <v>18</v>
      </c>
      <c r="K12" s="30">
        <v>76500.0</v>
      </c>
      <c r="L12" s="23" t="s">
        <v>356</v>
      </c>
      <c r="M12" s="26"/>
      <c r="N12" s="40"/>
      <c r="O12" s="38"/>
      <c r="P12" s="38"/>
      <c r="Q12" s="40"/>
    </row>
    <row r="13" ht="22.5" customHeight="1">
      <c r="B13" s="23"/>
      <c r="C13" s="24"/>
      <c r="D13" s="26" t="s">
        <v>50</v>
      </c>
      <c r="E13" s="24">
        <v>45086.0</v>
      </c>
      <c r="F13" s="24">
        <v>46182.0</v>
      </c>
      <c r="G13" s="29" t="s">
        <v>362</v>
      </c>
      <c r="H13" s="159" t="s">
        <v>363</v>
      </c>
      <c r="I13" s="23" t="s">
        <v>230</v>
      </c>
      <c r="J13" s="26" t="s">
        <v>18</v>
      </c>
      <c r="K13" s="30">
        <v>60000.0</v>
      </c>
      <c r="L13" s="23" t="s">
        <v>359</v>
      </c>
      <c r="M13" s="26"/>
      <c r="N13" s="40"/>
      <c r="O13" s="38"/>
      <c r="P13" s="38"/>
      <c r="Q13" s="40"/>
    </row>
    <row r="14" ht="22.5" customHeight="1">
      <c r="B14" s="23"/>
      <c r="C14" s="24"/>
      <c r="D14" s="26" t="s">
        <v>50</v>
      </c>
      <c r="E14" s="24"/>
      <c r="F14" s="24"/>
      <c r="G14" s="29" t="s">
        <v>364</v>
      </c>
      <c r="H14" s="159" t="s">
        <v>365</v>
      </c>
      <c r="I14" s="23" t="s">
        <v>128</v>
      </c>
      <c r="J14" s="26" t="s">
        <v>18</v>
      </c>
      <c r="K14" s="162">
        <v>77000.0</v>
      </c>
      <c r="L14" s="23" t="s">
        <v>356</v>
      </c>
      <c r="M14" s="26"/>
      <c r="N14" s="40"/>
      <c r="O14" s="38"/>
      <c r="P14" s="38"/>
      <c r="Q14" s="40"/>
    </row>
    <row r="15" ht="22.5" customHeight="1">
      <c r="B15" s="23"/>
      <c r="C15" s="24">
        <v>46184.0</v>
      </c>
      <c r="D15" s="26" t="s">
        <v>50</v>
      </c>
      <c r="E15" s="24"/>
      <c r="F15" s="24"/>
      <c r="G15" s="29" t="s">
        <v>366</v>
      </c>
      <c r="H15" s="29" t="s">
        <v>367</v>
      </c>
      <c r="I15" s="23" t="s">
        <v>74</v>
      </c>
      <c r="J15" s="26" t="s">
        <v>18</v>
      </c>
      <c r="K15" s="30">
        <v>77520.0</v>
      </c>
      <c r="L15" s="23" t="s">
        <v>359</v>
      </c>
      <c r="M15" s="26"/>
      <c r="N15" s="40"/>
      <c r="O15" s="38"/>
      <c r="P15" s="38"/>
      <c r="Q15" s="40"/>
    </row>
    <row r="16" ht="22.5" customHeight="1">
      <c r="B16" s="23"/>
      <c r="C16" s="24"/>
      <c r="D16" s="26" t="s">
        <v>50</v>
      </c>
      <c r="E16" s="24"/>
      <c r="F16" s="24"/>
      <c r="G16" s="29" t="s">
        <v>368</v>
      </c>
      <c r="H16" s="29" t="s">
        <v>369</v>
      </c>
      <c r="I16" s="23" t="s">
        <v>230</v>
      </c>
      <c r="J16" s="26" t="s">
        <v>18</v>
      </c>
      <c r="K16" s="30">
        <v>79550.0</v>
      </c>
      <c r="L16" s="23" t="s">
        <v>356</v>
      </c>
      <c r="M16" s="26"/>
      <c r="N16" s="40"/>
      <c r="O16" s="38"/>
      <c r="P16" s="38"/>
      <c r="Q16" s="40"/>
    </row>
    <row r="17" ht="22.5" hidden="1" customHeight="1">
      <c r="B17" s="23"/>
      <c r="C17" s="24"/>
      <c r="D17" s="26" t="s">
        <v>50</v>
      </c>
      <c r="E17" s="24"/>
      <c r="F17" s="94"/>
      <c r="G17" s="29" t="s">
        <v>370</v>
      </c>
      <c r="H17" s="29" t="s">
        <v>371</v>
      </c>
      <c r="I17" s="23" t="s">
        <v>230</v>
      </c>
      <c r="J17" s="26" t="s">
        <v>18</v>
      </c>
      <c r="K17" s="30">
        <v>44000.0</v>
      </c>
      <c r="L17" s="23" t="s">
        <v>372</v>
      </c>
      <c r="M17" s="26"/>
      <c r="N17" s="40"/>
      <c r="O17" s="38"/>
      <c r="P17" s="38"/>
      <c r="Q17" s="40"/>
    </row>
    <row r="18" ht="22.5" customHeight="1">
      <c r="B18" s="23"/>
      <c r="C18" s="24"/>
      <c r="D18" s="26" t="s">
        <v>50</v>
      </c>
      <c r="E18" s="24"/>
      <c r="F18" s="24"/>
      <c r="G18" s="29" t="s">
        <v>373</v>
      </c>
      <c r="H18" s="29"/>
      <c r="I18" s="23"/>
      <c r="J18" s="26"/>
      <c r="K18" s="30"/>
      <c r="L18" s="23" t="s">
        <v>359</v>
      </c>
      <c r="M18" s="26"/>
      <c r="N18" s="40"/>
      <c r="O18" s="38"/>
      <c r="P18" s="38"/>
      <c r="Q18" s="40"/>
    </row>
    <row r="19" ht="22.5" customHeight="1">
      <c r="B19" s="23"/>
      <c r="C19" s="24">
        <v>46183.0</v>
      </c>
      <c r="D19" s="26" t="s">
        <v>50</v>
      </c>
      <c r="E19" s="24">
        <v>46184.0</v>
      </c>
      <c r="F19" s="24">
        <v>46184.0</v>
      </c>
      <c r="G19" s="29" t="s">
        <v>378</v>
      </c>
      <c r="H19" s="29" t="s">
        <v>379</v>
      </c>
      <c r="I19" s="23" t="s">
        <v>230</v>
      </c>
      <c r="J19" s="26" t="s">
        <v>18</v>
      </c>
      <c r="K19" s="30">
        <v>71000.0</v>
      </c>
      <c r="L19" s="23" t="s">
        <v>356</v>
      </c>
      <c r="M19" s="26"/>
      <c r="N19" s="40"/>
      <c r="O19" s="38"/>
      <c r="P19" s="38"/>
      <c r="Q19" s="40"/>
    </row>
    <row r="20" ht="22.5" customHeight="1">
      <c r="B20" s="23"/>
      <c r="C20" s="24">
        <v>46184.0</v>
      </c>
      <c r="D20" s="26" t="s">
        <v>50</v>
      </c>
      <c r="E20" s="24"/>
      <c r="F20" s="24"/>
      <c r="G20" s="29" t="s">
        <v>382</v>
      </c>
      <c r="H20" s="29" t="s">
        <v>383</v>
      </c>
      <c r="I20" s="23" t="s">
        <v>230</v>
      </c>
      <c r="J20" s="26" t="s">
        <v>18</v>
      </c>
      <c r="K20" s="30">
        <v>63150.0</v>
      </c>
      <c r="L20" s="23" t="s">
        <v>356</v>
      </c>
      <c r="M20" s="26"/>
      <c r="N20" s="40"/>
      <c r="O20" s="38"/>
      <c r="P20" s="38"/>
      <c r="Q20" s="40"/>
    </row>
    <row r="21" ht="22.5" customHeight="1">
      <c r="B21" s="23"/>
      <c r="C21" s="24">
        <v>46188.0</v>
      </c>
      <c r="D21" s="26" t="s">
        <v>50</v>
      </c>
      <c r="E21" s="24">
        <v>46189.0</v>
      </c>
      <c r="F21" s="24">
        <v>46189.0</v>
      </c>
      <c r="G21" s="29" t="s">
        <v>386</v>
      </c>
      <c r="H21" s="29" t="s">
        <v>387</v>
      </c>
      <c r="I21" s="23" t="s">
        <v>230</v>
      </c>
      <c r="J21" s="26" t="s">
        <v>18</v>
      </c>
      <c r="K21" s="30">
        <v>68690.0</v>
      </c>
      <c r="L21" s="23" t="s">
        <v>359</v>
      </c>
      <c r="M21" s="26"/>
      <c r="N21" s="40"/>
      <c r="O21" s="38"/>
      <c r="P21" s="38"/>
      <c r="Q21" s="40"/>
    </row>
    <row r="22" ht="22.5" customHeight="1">
      <c r="B22" s="23"/>
      <c r="C22" s="24"/>
      <c r="D22" s="26"/>
      <c r="E22" s="24"/>
      <c r="F22" s="23"/>
      <c r="G22" s="29" t="s">
        <v>391</v>
      </c>
      <c r="H22" s="159" t="s">
        <v>392</v>
      </c>
      <c r="I22" s="23" t="s">
        <v>230</v>
      </c>
      <c r="J22" s="26" t="s">
        <v>18</v>
      </c>
      <c r="K22" s="30">
        <v>46000.0</v>
      </c>
      <c r="L22" s="23" t="s">
        <v>359</v>
      </c>
      <c r="M22" s="26"/>
      <c r="N22" s="40"/>
      <c r="O22" s="38"/>
      <c r="P22" s="38"/>
      <c r="Q22" s="40"/>
    </row>
    <row r="23" ht="22.5" customHeight="1">
      <c r="B23" s="40"/>
      <c r="C23" s="24"/>
      <c r="D23" s="26" t="s">
        <v>50</v>
      </c>
      <c r="E23" s="24"/>
      <c r="F23" s="24"/>
      <c r="G23" s="29" t="s">
        <v>396</v>
      </c>
      <c r="H23" s="29" t="s">
        <v>397</v>
      </c>
      <c r="I23" s="23" t="s">
        <v>230</v>
      </c>
      <c r="J23" s="26" t="s">
        <v>18</v>
      </c>
      <c r="K23" s="30">
        <v>80340.0</v>
      </c>
      <c r="L23" s="23" t="s">
        <v>359</v>
      </c>
      <c r="M23" s="26"/>
      <c r="N23" s="40"/>
      <c r="O23" s="38"/>
      <c r="P23" s="38"/>
      <c r="Q23" s="40"/>
    </row>
    <row r="24" ht="22.5" customHeight="1">
      <c r="B24" s="40"/>
      <c r="C24" s="24"/>
      <c r="D24" s="26" t="s">
        <v>50</v>
      </c>
      <c r="E24" s="94"/>
      <c r="F24" s="94"/>
      <c r="G24" s="29" t="s">
        <v>400</v>
      </c>
      <c r="H24" s="29" t="s">
        <v>401</v>
      </c>
      <c r="I24" s="23" t="s">
        <v>230</v>
      </c>
      <c r="J24" s="26" t="s">
        <v>18</v>
      </c>
      <c r="K24" s="30">
        <v>80270.0</v>
      </c>
      <c r="L24" s="23" t="s">
        <v>359</v>
      </c>
      <c r="M24" s="26"/>
      <c r="N24" s="40"/>
      <c r="O24" s="38"/>
      <c r="P24" s="38"/>
      <c r="Q24" s="40"/>
    </row>
    <row r="25" ht="22.5" customHeight="1">
      <c r="B25" s="40"/>
      <c r="C25" s="24"/>
      <c r="D25" s="26" t="s">
        <v>50</v>
      </c>
      <c r="E25" s="24"/>
      <c r="F25" s="94"/>
      <c r="G25" s="29" t="s">
        <v>405</v>
      </c>
      <c r="H25" s="159" t="s">
        <v>406</v>
      </c>
      <c r="I25" s="23" t="s">
        <v>230</v>
      </c>
      <c r="J25" s="26" t="s">
        <v>18</v>
      </c>
      <c r="K25" s="30">
        <v>68700.0</v>
      </c>
      <c r="L25" s="23" t="s">
        <v>359</v>
      </c>
      <c r="M25" s="26"/>
      <c r="N25" s="40"/>
      <c r="O25" s="38"/>
      <c r="P25" s="38"/>
      <c r="Q25" s="40"/>
    </row>
    <row r="26" ht="22.5" hidden="1" customHeight="1">
      <c r="B26" s="40"/>
      <c r="C26" s="24"/>
      <c r="D26" s="26" t="s">
        <v>50</v>
      </c>
      <c r="E26" s="24"/>
      <c r="F26" s="94"/>
      <c r="G26" s="29" t="s">
        <v>409</v>
      </c>
      <c r="H26" s="29" t="s">
        <v>410</v>
      </c>
      <c r="I26" s="23" t="s">
        <v>230</v>
      </c>
      <c r="J26" s="26" t="s">
        <v>18</v>
      </c>
      <c r="K26" s="30">
        <v>31000.0</v>
      </c>
      <c r="L26" s="23" t="s">
        <v>372</v>
      </c>
      <c r="M26" s="38"/>
      <c r="N26" s="40"/>
      <c r="O26" s="38"/>
      <c r="P26" s="38"/>
      <c r="Q26" s="40"/>
    </row>
    <row r="27" ht="22.5" customHeight="1">
      <c r="B27" s="40"/>
      <c r="C27" s="24"/>
      <c r="D27" s="26"/>
      <c r="E27" s="24"/>
      <c r="F27" s="94"/>
      <c r="G27" s="29" t="s">
        <v>414</v>
      </c>
      <c r="H27" s="29"/>
      <c r="I27" s="23" t="s">
        <v>230</v>
      </c>
      <c r="J27" s="26" t="s">
        <v>26</v>
      </c>
      <c r="K27" s="30">
        <v>0.0</v>
      </c>
      <c r="L27" s="23"/>
      <c r="M27" s="38"/>
      <c r="N27" s="40"/>
      <c r="O27" s="38"/>
      <c r="P27" s="38"/>
      <c r="Q27" s="40"/>
    </row>
    <row r="28" ht="22.5" customHeight="1">
      <c r="B28" s="40"/>
      <c r="C28" s="94"/>
      <c r="D28" s="26"/>
      <c r="E28" s="94"/>
      <c r="F28" s="24"/>
      <c r="G28" s="29" t="s">
        <v>417</v>
      </c>
      <c r="H28" s="29"/>
      <c r="I28" s="23" t="s">
        <v>230</v>
      </c>
      <c r="J28" s="26" t="s">
        <v>26</v>
      </c>
      <c r="K28" s="30">
        <v>0.0</v>
      </c>
      <c r="L28" s="23"/>
      <c r="M28" s="38"/>
      <c r="N28" s="40"/>
      <c r="O28" s="38"/>
      <c r="P28" s="38"/>
      <c r="Q28" s="40"/>
    </row>
    <row r="29" ht="22.5" customHeight="1">
      <c r="B29" s="40"/>
      <c r="C29" s="94"/>
      <c r="D29" s="26"/>
      <c r="E29" s="94"/>
      <c r="F29" s="94"/>
      <c r="G29" s="29" t="s">
        <v>418</v>
      </c>
      <c r="H29" s="29"/>
      <c r="I29" s="23" t="s">
        <v>420</v>
      </c>
      <c r="J29" s="26" t="s">
        <v>26</v>
      </c>
      <c r="K29" s="30">
        <v>0.0</v>
      </c>
      <c r="L29" s="23"/>
      <c r="M29" s="38"/>
      <c r="N29" s="40"/>
      <c r="O29" s="38"/>
      <c r="P29" s="38"/>
      <c r="Q29" s="40"/>
    </row>
    <row r="30" ht="22.5" customHeight="1">
      <c r="B30" s="40"/>
      <c r="C30" s="24"/>
      <c r="D30" s="26"/>
      <c r="E30" s="94"/>
      <c r="F30" s="94"/>
      <c r="G30" s="29" t="s">
        <v>422</v>
      </c>
      <c r="H30" s="29"/>
      <c r="I30" s="23" t="s">
        <v>242</v>
      </c>
      <c r="J30" s="26" t="s">
        <v>26</v>
      </c>
      <c r="K30" s="30">
        <v>0.0</v>
      </c>
      <c r="L30" s="23"/>
      <c r="M30" s="38"/>
      <c r="N30" s="40"/>
      <c r="O30" s="38"/>
      <c r="P30" s="38"/>
      <c r="Q30" s="40"/>
    </row>
    <row r="31" ht="22.5" customHeight="1">
      <c r="B31" s="40"/>
      <c r="C31" s="24"/>
      <c r="D31" s="26"/>
      <c r="E31" s="94"/>
      <c r="F31" s="94"/>
      <c r="G31" s="29" t="s">
        <v>425</v>
      </c>
      <c r="H31" s="29"/>
      <c r="I31" s="23" t="s">
        <v>230</v>
      </c>
      <c r="J31" s="26" t="s">
        <v>26</v>
      </c>
      <c r="K31" s="30"/>
      <c r="L31" s="23"/>
      <c r="M31" s="38"/>
      <c r="N31" s="40"/>
      <c r="O31" s="38"/>
      <c r="P31" s="38"/>
      <c r="Q31" s="40"/>
    </row>
    <row r="32" ht="22.5" customHeight="1">
      <c r="B32" s="40"/>
      <c r="C32" s="24"/>
      <c r="D32" s="26"/>
      <c r="E32" s="94"/>
      <c r="F32" s="94"/>
      <c r="G32" s="29"/>
      <c r="H32" s="29"/>
      <c r="I32" s="23"/>
      <c r="J32" s="26"/>
      <c r="K32" s="30"/>
      <c r="L32" s="23"/>
      <c r="M32" s="38"/>
      <c r="N32" s="40"/>
      <c r="O32" s="38"/>
      <c r="P32" s="38"/>
      <c r="Q32" s="40"/>
    </row>
    <row r="33" ht="22.5" customHeight="1">
      <c r="B33" s="40"/>
      <c r="C33" s="94"/>
      <c r="D33" s="26"/>
      <c r="E33" s="94"/>
      <c r="F33" s="94"/>
      <c r="G33" s="29"/>
      <c r="H33" s="29"/>
      <c r="I33" s="23"/>
      <c r="J33" s="26"/>
      <c r="K33" s="30"/>
      <c r="L33" s="23"/>
      <c r="M33" s="38"/>
      <c r="N33" s="40"/>
      <c r="O33" s="38"/>
      <c r="P33" s="38"/>
      <c r="Q33" s="40"/>
    </row>
    <row r="34" ht="22.5" customHeight="1">
      <c r="B34" s="40"/>
      <c r="C34" s="94"/>
      <c r="D34" s="26"/>
      <c r="E34" s="94"/>
      <c r="F34" s="94"/>
      <c r="G34" s="29"/>
      <c r="H34" s="29"/>
      <c r="I34" s="23"/>
      <c r="J34" s="26"/>
      <c r="K34" s="30"/>
      <c r="L34" s="23"/>
      <c r="M34" s="38"/>
      <c r="N34" s="40"/>
      <c r="O34" s="38"/>
      <c r="P34" s="38"/>
      <c r="Q34" s="40"/>
    </row>
    <row r="35" ht="22.5" customHeight="1">
      <c r="B35" s="40"/>
      <c r="C35" s="94"/>
      <c r="D35" s="26"/>
      <c r="E35" s="94"/>
      <c r="F35" s="94"/>
      <c r="G35" s="29"/>
      <c r="H35" s="29"/>
      <c r="I35" s="23"/>
      <c r="J35" s="26"/>
      <c r="K35" s="30"/>
      <c r="L35" s="23"/>
      <c r="M35" s="38"/>
      <c r="N35" s="40"/>
      <c r="O35" s="38"/>
      <c r="P35" s="38"/>
      <c r="Q35" s="40"/>
    </row>
    <row r="36" ht="22.5" customHeight="1">
      <c r="B36" s="40"/>
      <c r="C36" s="24"/>
      <c r="D36" s="26"/>
      <c r="E36" s="94"/>
      <c r="F36" s="94"/>
      <c r="G36" s="29"/>
      <c r="H36" s="29"/>
      <c r="I36" s="23"/>
      <c r="J36" s="26"/>
      <c r="K36" s="30"/>
      <c r="L36" s="23"/>
      <c r="M36" s="38"/>
      <c r="N36" s="40"/>
      <c r="O36" s="38"/>
      <c r="P36" s="38"/>
      <c r="Q36" s="40"/>
    </row>
    <row r="37" ht="22.5" customHeight="1">
      <c r="B37" s="40"/>
      <c r="C37" s="94"/>
      <c r="D37" s="26"/>
      <c r="E37" s="94"/>
      <c r="F37" s="94"/>
      <c r="G37" s="29"/>
      <c r="H37" s="29"/>
      <c r="I37" s="23"/>
      <c r="J37" s="26"/>
      <c r="K37" s="30"/>
      <c r="L37" s="23"/>
      <c r="M37" s="38"/>
      <c r="N37" s="40"/>
      <c r="O37" s="38"/>
      <c r="P37" s="38"/>
      <c r="Q37" s="40"/>
    </row>
    <row r="38" ht="22.5" customHeight="1">
      <c r="B38" s="40"/>
      <c r="C38" s="24"/>
      <c r="D38" s="26"/>
      <c r="E38" s="94"/>
      <c r="F38" s="94"/>
      <c r="G38" s="29"/>
      <c r="H38" s="29"/>
      <c r="I38" s="23"/>
      <c r="J38" s="26"/>
      <c r="K38" s="30"/>
      <c r="L38" s="23"/>
      <c r="M38" s="38"/>
      <c r="N38" s="40"/>
      <c r="O38" s="38"/>
      <c r="P38" s="38"/>
      <c r="Q38" s="40"/>
    </row>
    <row r="39" ht="22.5" customHeight="1">
      <c r="B39" s="40"/>
      <c r="C39" s="24"/>
      <c r="D39" s="26"/>
      <c r="E39" s="94"/>
      <c r="F39" s="94"/>
      <c r="G39" s="29"/>
      <c r="H39" s="29"/>
      <c r="I39" s="23"/>
      <c r="J39" s="26"/>
      <c r="K39" s="30"/>
      <c r="L39" s="23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29"/>
      <c r="H40" s="29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29"/>
      <c r="H41" s="29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9.5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132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800000.0</v>
      </c>
      <c r="F4" s="14">
        <f>SUMIFS(OPI_9[MAF NETO],OPI_9[ESTADO],"Desembolsado")</f>
        <v>857400</v>
      </c>
      <c r="G4" s="14">
        <f>F4-E4</f>
        <v>57400</v>
      </c>
      <c r="H4" s="15">
        <f>SUMIFS(OPI_9[MAF NETO],OPI_9[ESTADO],H$3)</f>
        <v>0</v>
      </c>
      <c r="I4" s="15">
        <f>SUMIFS(OPI_9[MAF NETO],OPI_9[ESTADO],I$3)</f>
        <v>0</v>
      </c>
      <c r="J4" s="15">
        <f>SUMIFS(OPI_9[MAF NETO],OPI_9[ESTADO],J$3)</f>
        <v>0</v>
      </c>
      <c r="K4" s="15">
        <f>SUMIFS(OPI_9[MAF NETO],OPI_9[ESTADO],K$3)</f>
        <v>0</v>
      </c>
      <c r="L4" s="15">
        <f>SUMIFS(OPI_9[MAF NETO],OPI_9[ESTADO],L$3)</f>
        <v>0</v>
      </c>
      <c r="M4" s="15">
        <f>SUMIFS(OPI_9[MAF NETO],OPI_9[ESTADO],M$3)</f>
        <v>0</v>
      </c>
      <c r="N4" s="15">
        <f>SUMIFS(OPI_9[MAF NETO],OPI_9[ESTADO],N$3)</f>
        <v>0</v>
      </c>
    </row>
    <row r="5" ht="26.25" customHeight="1">
      <c r="D5" s="16" t="s">
        <v>30</v>
      </c>
      <c r="E5" s="17" t="s">
        <v>31</v>
      </c>
      <c r="F5" s="18">
        <f>COUNTIFS(OPI_9[ESTADO],"Desembolsado")</f>
        <v>14</v>
      </c>
      <c r="G5" s="19">
        <f>IFERROR(F4/E4,"")</f>
        <v>1.07175</v>
      </c>
      <c r="H5" s="18">
        <f>COUNTIFS(OPI_9[ESTADO],H$3)</f>
        <v>0</v>
      </c>
      <c r="I5" s="18">
        <f>COUNTIFS(OPI_9[ESTADO],I$3)</f>
        <v>0</v>
      </c>
      <c r="J5" s="18">
        <f>COUNTIFS(OPI_9[ESTADO],J$3)</f>
        <v>0</v>
      </c>
      <c r="K5" s="18">
        <f>COUNTIFS(OPI_9[ESTADO],K$3)</f>
        <v>0</v>
      </c>
      <c r="L5" s="18">
        <f>COUNTIFS(OPI_9[ESTADO],L$3)</f>
        <v>0</v>
      </c>
      <c r="M5" s="18">
        <f>COUNTIFS(OPI_9[ESTADO],M$3)</f>
        <v>0</v>
      </c>
      <c r="N5" s="18">
        <f>COUNTIFS(OPI_9[ESTADO],N$3)</f>
        <v>3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132</v>
      </c>
      <c r="C10" s="24">
        <v>46175.0</v>
      </c>
      <c r="D10" s="26" t="s">
        <v>50</v>
      </c>
      <c r="E10" s="24">
        <v>46181.0</v>
      </c>
      <c r="F10" s="24">
        <v>46185.0</v>
      </c>
      <c r="G10" s="29" t="s">
        <v>374</v>
      </c>
      <c r="H10" s="29" t="s">
        <v>375</v>
      </c>
      <c r="I10" s="23" t="s">
        <v>82</v>
      </c>
      <c r="J10" s="26" t="s">
        <v>18</v>
      </c>
      <c r="K10" s="30">
        <v>74300.0</v>
      </c>
      <c r="L10" s="23" t="s">
        <v>376</v>
      </c>
      <c r="M10" s="26" t="s">
        <v>83</v>
      </c>
      <c r="N10" s="40"/>
      <c r="O10" s="26" t="s">
        <v>377</v>
      </c>
      <c r="P10" s="38"/>
      <c r="Q10" s="40"/>
    </row>
    <row r="11" ht="22.5" customHeight="1">
      <c r="B11" s="23" t="s">
        <v>132</v>
      </c>
      <c r="C11" s="24">
        <v>46176.0</v>
      </c>
      <c r="D11" s="26" t="s">
        <v>50</v>
      </c>
      <c r="E11" s="24">
        <v>46176.0</v>
      </c>
      <c r="F11" s="94"/>
      <c r="G11" s="29" t="s">
        <v>380</v>
      </c>
      <c r="H11" s="29" t="s">
        <v>381</v>
      </c>
      <c r="I11" s="23" t="s">
        <v>54</v>
      </c>
      <c r="J11" s="26" t="s">
        <v>18</v>
      </c>
      <c r="K11" s="30">
        <v>37500.0</v>
      </c>
      <c r="L11" s="23" t="s">
        <v>376</v>
      </c>
      <c r="M11" s="26" t="s">
        <v>83</v>
      </c>
      <c r="N11" s="40"/>
      <c r="O11" s="38"/>
      <c r="P11" s="38"/>
      <c r="Q11" s="40"/>
    </row>
    <row r="12" ht="22.5" customHeight="1">
      <c r="B12" s="23" t="s">
        <v>132</v>
      </c>
      <c r="C12" s="24">
        <v>46176.0</v>
      </c>
      <c r="D12" s="26" t="s">
        <v>50</v>
      </c>
      <c r="E12" s="24">
        <v>46176.0</v>
      </c>
      <c r="F12" s="24">
        <v>46177.0</v>
      </c>
      <c r="G12" s="29" t="s">
        <v>384</v>
      </c>
      <c r="H12" s="29" t="s">
        <v>385</v>
      </c>
      <c r="I12" s="23" t="s">
        <v>54</v>
      </c>
      <c r="J12" s="26" t="s">
        <v>18</v>
      </c>
      <c r="K12" s="30">
        <v>68000.0</v>
      </c>
      <c r="L12" s="23" t="s">
        <v>376</v>
      </c>
      <c r="M12" s="26" t="s">
        <v>83</v>
      </c>
      <c r="N12" s="40"/>
      <c r="O12" s="26" t="s">
        <v>388</v>
      </c>
      <c r="P12" s="38"/>
      <c r="Q12" s="40"/>
    </row>
    <row r="13" ht="22.5" customHeight="1">
      <c r="B13" s="23" t="s">
        <v>132</v>
      </c>
      <c r="C13" s="24">
        <v>46185.0</v>
      </c>
      <c r="D13" s="26" t="s">
        <v>50</v>
      </c>
      <c r="E13" s="24">
        <v>46188.0</v>
      </c>
      <c r="F13" s="94"/>
      <c r="G13" s="29" t="s">
        <v>389</v>
      </c>
      <c r="H13" s="29" t="s">
        <v>390</v>
      </c>
      <c r="I13" s="23" t="s">
        <v>54</v>
      </c>
      <c r="J13" s="26" t="s">
        <v>18</v>
      </c>
      <c r="K13" s="30">
        <v>23500.0</v>
      </c>
      <c r="L13" s="23" t="s">
        <v>393</v>
      </c>
      <c r="M13" s="26" t="s">
        <v>83</v>
      </c>
      <c r="N13" s="40"/>
      <c r="O13" s="26" t="s">
        <v>388</v>
      </c>
      <c r="P13" s="38"/>
      <c r="Q13" s="40"/>
    </row>
    <row r="14" ht="22.5" customHeight="1">
      <c r="B14" s="23" t="s">
        <v>132</v>
      </c>
      <c r="C14" s="24">
        <v>46188.0</v>
      </c>
      <c r="D14" s="26" t="s">
        <v>129</v>
      </c>
      <c r="E14" s="94"/>
      <c r="F14" s="94"/>
      <c r="G14" s="29" t="s">
        <v>394</v>
      </c>
      <c r="H14" s="29" t="s">
        <v>395</v>
      </c>
      <c r="I14" s="23" t="s">
        <v>54</v>
      </c>
      <c r="J14" s="26" t="s">
        <v>26</v>
      </c>
      <c r="K14" s="30">
        <v>0.0</v>
      </c>
      <c r="L14" s="23" t="s">
        <v>376</v>
      </c>
      <c r="M14" s="26" t="s">
        <v>62</v>
      </c>
      <c r="N14" s="40"/>
      <c r="O14" s="26" t="s">
        <v>388</v>
      </c>
      <c r="P14" s="38"/>
      <c r="Q14" s="40"/>
    </row>
    <row r="15" ht="22.5" customHeight="1">
      <c r="B15" s="23" t="s">
        <v>132</v>
      </c>
      <c r="C15" s="24">
        <v>46191.0</v>
      </c>
      <c r="D15" s="26" t="s">
        <v>50</v>
      </c>
      <c r="E15" s="24">
        <v>46191.0</v>
      </c>
      <c r="F15" s="94"/>
      <c r="G15" s="29" t="s">
        <v>398</v>
      </c>
      <c r="H15" s="29" t="s">
        <v>399</v>
      </c>
      <c r="I15" s="23" t="s">
        <v>54</v>
      </c>
      <c r="J15" s="26" t="s">
        <v>18</v>
      </c>
      <c r="K15" s="30">
        <v>80600.0</v>
      </c>
      <c r="L15" s="23" t="s">
        <v>376</v>
      </c>
      <c r="M15" s="26" t="s">
        <v>62</v>
      </c>
      <c r="N15" s="40"/>
      <c r="O15" s="26" t="s">
        <v>402</v>
      </c>
      <c r="P15" s="38"/>
      <c r="Q15" s="40"/>
    </row>
    <row r="16" ht="22.5" customHeight="1">
      <c r="B16" s="40"/>
      <c r="C16" s="94"/>
      <c r="D16" s="26" t="s">
        <v>50</v>
      </c>
      <c r="E16" s="94"/>
      <c r="F16" s="94"/>
      <c r="G16" s="29" t="s">
        <v>403</v>
      </c>
      <c r="H16" s="29" t="s">
        <v>404</v>
      </c>
      <c r="I16" s="23" t="s">
        <v>54</v>
      </c>
      <c r="J16" s="26" t="s">
        <v>18</v>
      </c>
      <c r="K16" s="30">
        <v>67000.0</v>
      </c>
      <c r="L16" s="23" t="s">
        <v>376</v>
      </c>
      <c r="M16" s="38"/>
      <c r="N16" s="40"/>
      <c r="O16" s="38"/>
      <c r="P16" s="38"/>
      <c r="Q16" s="40"/>
    </row>
    <row r="17" ht="22.5" customHeight="1">
      <c r="B17" s="40"/>
      <c r="C17" s="94"/>
      <c r="D17" s="26" t="s">
        <v>50</v>
      </c>
      <c r="E17" s="94"/>
      <c r="F17" s="94"/>
      <c r="G17" s="29" t="s">
        <v>407</v>
      </c>
      <c r="H17" s="29" t="s">
        <v>408</v>
      </c>
      <c r="I17" s="23" t="s">
        <v>82</v>
      </c>
      <c r="J17" s="26" t="s">
        <v>18</v>
      </c>
      <c r="K17" s="30">
        <v>30000.0</v>
      </c>
      <c r="L17" s="23" t="s">
        <v>411</v>
      </c>
      <c r="M17" s="38"/>
      <c r="N17" s="40"/>
      <c r="O17" s="38"/>
      <c r="P17" s="38"/>
      <c r="Q17" s="40"/>
    </row>
    <row r="18" ht="22.5" customHeight="1">
      <c r="B18" s="40"/>
      <c r="C18" s="94"/>
      <c r="D18" s="26" t="s">
        <v>50</v>
      </c>
      <c r="E18" s="94"/>
      <c r="F18" s="94"/>
      <c r="G18" s="29" t="s">
        <v>412</v>
      </c>
      <c r="H18" s="29" t="s">
        <v>413</v>
      </c>
      <c r="I18" s="23" t="s">
        <v>54</v>
      </c>
      <c r="J18" s="26" t="s">
        <v>18</v>
      </c>
      <c r="K18" s="30">
        <v>79500.0</v>
      </c>
      <c r="L18" s="23" t="s">
        <v>376</v>
      </c>
      <c r="M18" s="38"/>
      <c r="N18" s="40"/>
      <c r="O18" s="38"/>
      <c r="P18" s="38"/>
      <c r="Q18" s="40"/>
    </row>
    <row r="19" ht="22.5" customHeight="1">
      <c r="B19" s="40"/>
      <c r="C19" s="94"/>
      <c r="D19" s="26" t="s">
        <v>50</v>
      </c>
      <c r="E19" s="94"/>
      <c r="F19" s="94"/>
      <c r="G19" s="29" t="s">
        <v>415</v>
      </c>
      <c r="H19" s="29" t="s">
        <v>416</v>
      </c>
      <c r="I19" s="23" t="s">
        <v>54</v>
      </c>
      <c r="J19" s="26" t="s">
        <v>18</v>
      </c>
      <c r="K19" s="30">
        <v>38200.0</v>
      </c>
      <c r="L19" s="23" t="s">
        <v>376</v>
      </c>
      <c r="M19" s="38"/>
      <c r="N19" s="40"/>
      <c r="O19" s="38"/>
      <c r="P19" s="38"/>
      <c r="Q19" s="40"/>
    </row>
    <row r="20" ht="22.5" customHeight="1">
      <c r="B20" s="40"/>
      <c r="C20" s="94"/>
      <c r="D20" s="26" t="s">
        <v>50</v>
      </c>
      <c r="E20" s="94"/>
      <c r="F20" s="94"/>
      <c r="G20" s="29" t="s">
        <v>419</v>
      </c>
      <c r="H20" s="29" t="s">
        <v>421</v>
      </c>
      <c r="I20" s="23" t="s">
        <v>54</v>
      </c>
      <c r="J20" s="26" t="s">
        <v>18</v>
      </c>
      <c r="K20" s="30">
        <v>63500.0</v>
      </c>
      <c r="L20" s="23" t="s">
        <v>376</v>
      </c>
      <c r="M20" s="38"/>
      <c r="N20" s="40"/>
      <c r="O20" s="38"/>
      <c r="P20" s="38"/>
      <c r="Q20" s="40"/>
    </row>
    <row r="21" ht="22.5" customHeight="1">
      <c r="B21" s="40"/>
      <c r="C21" s="24">
        <v>46198.0</v>
      </c>
      <c r="D21" s="26" t="s">
        <v>50</v>
      </c>
      <c r="E21" s="94"/>
      <c r="F21" s="94"/>
      <c r="G21" s="29" t="s">
        <v>423</v>
      </c>
      <c r="H21" s="29" t="s">
        <v>424</v>
      </c>
      <c r="I21" s="23" t="s">
        <v>54</v>
      </c>
      <c r="J21" s="26" t="s">
        <v>18</v>
      </c>
      <c r="K21" s="30">
        <v>78500.0</v>
      </c>
      <c r="L21" s="23" t="s">
        <v>376</v>
      </c>
      <c r="M21" s="38"/>
      <c r="N21" s="40"/>
      <c r="O21" s="38"/>
      <c r="P21" s="38"/>
      <c r="Q21" s="40"/>
    </row>
    <row r="22" ht="22.5" customHeight="1">
      <c r="B22" s="40"/>
      <c r="C22" s="94"/>
      <c r="D22" s="26" t="s">
        <v>50</v>
      </c>
      <c r="E22" s="94"/>
      <c r="F22" s="94"/>
      <c r="G22" s="29" t="s">
        <v>426</v>
      </c>
      <c r="H22" s="29" t="s">
        <v>427</v>
      </c>
      <c r="I22" s="23" t="s">
        <v>54</v>
      </c>
      <c r="J22" s="26" t="s">
        <v>18</v>
      </c>
      <c r="K22" s="30">
        <v>60900.0</v>
      </c>
      <c r="L22" s="23" t="s">
        <v>376</v>
      </c>
      <c r="M22" s="38"/>
      <c r="N22" s="40"/>
      <c r="O22" s="38"/>
      <c r="P22" s="38"/>
      <c r="Q22" s="40"/>
    </row>
    <row r="23" ht="22.5" customHeight="1">
      <c r="B23" s="40"/>
      <c r="C23" s="24">
        <v>46199.0</v>
      </c>
      <c r="D23" s="26" t="s">
        <v>50</v>
      </c>
      <c r="E23" s="94"/>
      <c r="F23" s="94"/>
      <c r="G23" s="29" t="s">
        <v>428</v>
      </c>
      <c r="H23" s="29" t="s">
        <v>429</v>
      </c>
      <c r="I23" s="23" t="s">
        <v>54</v>
      </c>
      <c r="J23" s="26" t="s">
        <v>18</v>
      </c>
      <c r="K23" s="30">
        <v>70700.0</v>
      </c>
      <c r="L23" s="23" t="s">
        <v>393</v>
      </c>
      <c r="M23" s="38"/>
      <c r="N23" s="40"/>
      <c r="O23" s="38"/>
      <c r="P23" s="38"/>
      <c r="Q23" s="40"/>
    </row>
    <row r="24" ht="22.5" customHeight="1">
      <c r="B24" s="40"/>
      <c r="C24" s="24">
        <v>46199.0</v>
      </c>
      <c r="D24" s="26" t="s">
        <v>129</v>
      </c>
      <c r="E24" s="94"/>
      <c r="F24" s="94"/>
      <c r="G24" s="29" t="s">
        <v>430</v>
      </c>
      <c r="H24" s="29" t="s">
        <v>431</v>
      </c>
      <c r="I24" s="23" t="s">
        <v>54</v>
      </c>
      <c r="J24" s="26" t="s">
        <v>26</v>
      </c>
      <c r="K24" s="30">
        <v>0.0</v>
      </c>
      <c r="L24" s="23" t="s">
        <v>376</v>
      </c>
      <c r="M24" s="38"/>
      <c r="N24" s="40"/>
      <c r="O24" s="38"/>
      <c r="P24" s="38"/>
      <c r="Q24" s="40"/>
    </row>
    <row r="25" ht="22.5" customHeight="1">
      <c r="B25" s="40"/>
      <c r="C25" s="94"/>
      <c r="D25" s="26" t="s">
        <v>50</v>
      </c>
      <c r="E25" s="94"/>
      <c r="F25" s="94"/>
      <c r="G25" s="29" t="s">
        <v>432</v>
      </c>
      <c r="H25" s="29" t="s">
        <v>433</v>
      </c>
      <c r="I25" s="23" t="s">
        <v>54</v>
      </c>
      <c r="J25" s="26" t="s">
        <v>18</v>
      </c>
      <c r="K25" s="30">
        <v>85200.0</v>
      </c>
      <c r="L25" s="23" t="s">
        <v>376</v>
      </c>
      <c r="M25" s="38"/>
      <c r="N25" s="40"/>
      <c r="O25" s="38"/>
      <c r="P25" s="38"/>
      <c r="Q25" s="40"/>
    </row>
    <row r="26" ht="22.5" customHeight="1">
      <c r="B26" s="40"/>
      <c r="C26" s="94"/>
      <c r="D26" s="26" t="s">
        <v>50</v>
      </c>
      <c r="E26" s="94"/>
      <c r="F26" s="94"/>
      <c r="G26" s="29" t="s">
        <v>434</v>
      </c>
      <c r="H26" s="29" t="s">
        <v>435</v>
      </c>
      <c r="I26" s="23" t="s">
        <v>230</v>
      </c>
      <c r="J26" s="26" t="s">
        <v>26</v>
      </c>
      <c r="K26" s="30">
        <v>0.0</v>
      </c>
      <c r="L26" s="23" t="s">
        <v>376</v>
      </c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320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SUMIFS(OPI_15[MAF NETO],OPI_15[ESTADO],"Desembolsado")</f>
        <v>39650</v>
      </c>
      <c r="G4" s="14">
        <f>F4-E4</f>
        <v>-960350</v>
      </c>
      <c r="H4" s="15">
        <f>SUMIFS(OPI_15[MAF NETO],OPI_15[ESTADO],H$3)</f>
        <v>0</v>
      </c>
      <c r="I4" s="15">
        <f>SUMIFS(OPI_15[MAF NETO],OPI_15[ESTADO],I$3)</f>
        <v>0</v>
      </c>
      <c r="J4" s="15">
        <f>SUMIFS(OPI_15[MAF NETO],OPI_15[ESTADO],J$3)</f>
        <v>0</v>
      </c>
      <c r="K4" s="15">
        <f>SUMIFS(OPI_15[MAF NETO],OPI_15[ESTADO],K$3)</f>
        <v>0</v>
      </c>
      <c r="L4" s="15">
        <f>SUMIFS(OPI_15[MAF NETO],OPI_15[ESTADO],L$3)</f>
        <v>0</v>
      </c>
      <c r="M4" s="15">
        <f>SUMIFS(OPI_15[MAF NETO],OPI_15[ESTADO],M$3)</f>
        <v>0</v>
      </c>
      <c r="N4" s="15">
        <f>SUMIFS(OPI_15[MAF NETO],OPI_15[ESTADO],N$3)</f>
        <v>0</v>
      </c>
    </row>
    <row r="5" ht="26.25" customHeight="1">
      <c r="D5" s="16" t="s">
        <v>30</v>
      </c>
      <c r="E5" s="17" t="s">
        <v>31</v>
      </c>
      <c r="F5" s="18">
        <f>COUNTIFS(OPI_15[ESTADO],"Desembolsado")</f>
        <v>1</v>
      </c>
      <c r="G5" s="19">
        <f>IFERROR(F4/E4,"")</f>
        <v>0.03965</v>
      </c>
      <c r="H5" s="18">
        <f>COUNTIFS(OPI_15[ESTADO],H$3)</f>
        <v>0</v>
      </c>
      <c r="I5" s="18">
        <f>COUNTIFS(OPI_15[ESTADO],I$3)</f>
        <v>0</v>
      </c>
      <c r="J5" s="18">
        <f>COUNTIFS(OPI_15[ESTADO],J$3)</f>
        <v>0</v>
      </c>
      <c r="K5" s="18">
        <f>COUNTIFS(OPI_15[ESTADO],K$3)</f>
        <v>0</v>
      </c>
      <c r="L5" s="18">
        <f>COUNTIFS(OPI_15[ESTADO],L$3)</f>
        <v>0</v>
      </c>
      <c r="M5" s="18">
        <f>COUNTIFS(OPI_15[ESTADO],M$3)</f>
        <v>0</v>
      </c>
      <c r="N5" s="18">
        <f>COUNTIFS(OPI_15[ESTADO],N$3)</f>
        <v>0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320</v>
      </c>
      <c r="C10" s="24">
        <v>46182.0</v>
      </c>
      <c r="D10" s="26" t="s">
        <v>50</v>
      </c>
      <c r="E10" s="94"/>
      <c r="F10" s="94"/>
      <c r="G10" s="29" t="s">
        <v>439</v>
      </c>
      <c r="H10" s="29" t="s">
        <v>440</v>
      </c>
      <c r="I10" s="23" t="s">
        <v>82</v>
      </c>
      <c r="J10" s="26" t="s">
        <v>18</v>
      </c>
      <c r="K10" s="30">
        <v>39650.0</v>
      </c>
      <c r="L10" s="23" t="s">
        <v>441</v>
      </c>
      <c r="M10" s="26" t="s">
        <v>62</v>
      </c>
      <c r="N10" s="40"/>
      <c r="O10" s="36"/>
      <c r="P10" s="38"/>
      <c r="Q10" s="23"/>
    </row>
    <row r="11" ht="22.5" customHeight="1">
      <c r="B11" s="23" t="s">
        <v>320</v>
      </c>
      <c r="C11" s="24">
        <v>46183.0</v>
      </c>
      <c r="D11" s="36"/>
      <c r="E11" s="94"/>
      <c r="F11" s="94"/>
      <c r="G11" s="29"/>
      <c r="H11" s="29"/>
      <c r="I11" s="23"/>
      <c r="J11" s="36"/>
      <c r="K11" s="30"/>
      <c r="L11" s="23"/>
      <c r="M11" s="36"/>
      <c r="N11" s="40"/>
      <c r="O11" s="36"/>
      <c r="P11" s="38"/>
      <c r="Q11" s="40"/>
    </row>
    <row r="12" ht="22.5" customHeight="1">
      <c r="B12" s="23"/>
      <c r="C12" s="24"/>
      <c r="D12" s="36"/>
      <c r="E12" s="94"/>
      <c r="F12" s="94"/>
      <c r="G12" s="29"/>
      <c r="H12" s="29"/>
      <c r="I12" s="23"/>
      <c r="J12" s="36"/>
      <c r="K12" s="30"/>
      <c r="L12" s="23"/>
      <c r="M12" s="36"/>
      <c r="N12" s="40"/>
      <c r="O12" s="36"/>
      <c r="P12" s="38"/>
      <c r="Q12" s="40"/>
    </row>
    <row r="13" ht="22.5" customHeight="1">
      <c r="B13" s="23"/>
      <c r="C13" s="24"/>
      <c r="D13" s="36"/>
      <c r="E13" s="94"/>
      <c r="F13" s="94"/>
      <c r="G13" s="29"/>
      <c r="H13" s="29"/>
      <c r="I13" s="23"/>
      <c r="J13" s="36"/>
      <c r="K13" s="30"/>
      <c r="L13" s="23"/>
      <c r="M13" s="36"/>
      <c r="N13" s="40"/>
      <c r="O13" s="36"/>
      <c r="P13" s="38"/>
      <c r="Q13" s="40"/>
    </row>
    <row r="14" ht="22.5" customHeight="1">
      <c r="B14" s="23"/>
      <c r="C14" s="24"/>
      <c r="D14" s="36"/>
      <c r="E14" s="94"/>
      <c r="F14" s="94"/>
      <c r="G14" s="29"/>
      <c r="H14" s="29"/>
      <c r="I14" s="40"/>
      <c r="J14" s="38"/>
      <c r="K14" s="105"/>
      <c r="L14" s="40"/>
      <c r="M14" s="38"/>
      <c r="N14" s="40"/>
      <c r="O14" s="38"/>
      <c r="P14" s="38"/>
      <c r="Q14" s="40"/>
    </row>
    <row r="15" ht="22.5" customHeight="1">
      <c r="B15" s="40"/>
      <c r="C15" s="94"/>
      <c r="D15" s="36"/>
      <c r="E15" s="94"/>
      <c r="F15" s="94"/>
      <c r="G15" s="97"/>
      <c r="H15" s="97"/>
      <c r="I15" s="40"/>
      <c r="J15" s="38"/>
      <c r="K15" s="105"/>
      <c r="L15" s="40"/>
      <c r="M15" s="38"/>
      <c r="N15" s="40"/>
      <c r="O15" s="38"/>
      <c r="P15" s="38"/>
      <c r="Q15" s="40"/>
    </row>
    <row r="16" ht="22.5" customHeight="1">
      <c r="B16" s="40"/>
      <c r="C16" s="94"/>
      <c r="D16" s="36"/>
      <c r="E16" s="94"/>
      <c r="F16" s="94"/>
      <c r="G16" s="97"/>
      <c r="H16" s="97"/>
      <c r="I16" s="40"/>
      <c r="J16" s="38"/>
      <c r="K16" s="105"/>
      <c r="L16" s="40"/>
      <c r="M16" s="38"/>
      <c r="N16" s="40"/>
      <c r="O16" s="38"/>
      <c r="P16" s="38"/>
      <c r="Q16" s="40"/>
    </row>
    <row r="17" ht="22.5" customHeight="1">
      <c r="B17" s="40"/>
      <c r="C17" s="94"/>
      <c r="D17" s="36"/>
      <c r="E17" s="94"/>
      <c r="F17" s="94"/>
      <c r="G17" s="97"/>
      <c r="H17" s="97"/>
      <c r="I17" s="40"/>
      <c r="J17" s="38"/>
      <c r="K17" s="105"/>
      <c r="L17" s="40"/>
      <c r="M17" s="38"/>
      <c r="N17" s="40"/>
      <c r="O17" s="38"/>
      <c r="P17" s="38"/>
      <c r="Q17" s="40"/>
    </row>
    <row r="18" ht="22.5" customHeight="1">
      <c r="B18" s="40"/>
      <c r="C18" s="94"/>
      <c r="D18" s="36"/>
      <c r="E18" s="94"/>
      <c r="F18" s="94"/>
      <c r="G18" s="97"/>
      <c r="H18" s="97"/>
      <c r="I18" s="40"/>
      <c r="J18" s="38"/>
      <c r="K18" s="105"/>
      <c r="L18" s="40"/>
      <c r="M18" s="38"/>
      <c r="N18" s="40"/>
      <c r="O18" s="38"/>
      <c r="P18" s="38"/>
      <c r="Q18" s="40"/>
    </row>
    <row r="19" ht="22.5" customHeight="1">
      <c r="B19" s="40"/>
      <c r="C19" s="94"/>
      <c r="D19" s="36"/>
      <c r="E19" s="94"/>
      <c r="F19" s="94"/>
      <c r="G19" s="97"/>
      <c r="H19" s="97"/>
      <c r="I19" s="40"/>
      <c r="J19" s="38"/>
      <c r="K19" s="105"/>
      <c r="L19" s="40"/>
      <c r="M19" s="38"/>
      <c r="N19" s="40"/>
      <c r="O19" s="38"/>
      <c r="P19" s="38"/>
      <c r="Q19" s="40"/>
    </row>
    <row r="20" ht="22.5" customHeight="1">
      <c r="B20" s="40"/>
      <c r="C20" s="94"/>
      <c r="D20" s="36"/>
      <c r="E20" s="94"/>
      <c r="F20" s="94"/>
      <c r="G20" s="97"/>
      <c r="H20" s="97"/>
      <c r="I20" s="40"/>
      <c r="J20" s="38"/>
      <c r="K20" s="105"/>
      <c r="L20" s="40"/>
      <c r="M20" s="38"/>
      <c r="N20" s="40"/>
      <c r="O20" s="38"/>
      <c r="P20" s="38"/>
      <c r="Q20" s="40"/>
    </row>
    <row r="21" ht="22.5" customHeight="1">
      <c r="B21" s="40"/>
      <c r="C21" s="94"/>
      <c r="D21" s="36"/>
      <c r="E21" s="94"/>
      <c r="F21" s="94"/>
      <c r="G21" s="97"/>
      <c r="H21" s="97"/>
      <c r="I21" s="40"/>
      <c r="J21" s="38"/>
      <c r="K21" s="105"/>
      <c r="L21" s="40"/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320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SUMIFS(OPI_16[MAF NETO],OPI_16[ESTADO],"Desembolsado")</f>
        <v>64200</v>
      </c>
      <c r="G4" s="14">
        <f>F4-E4</f>
        <v>-935800</v>
      </c>
      <c r="H4" s="15">
        <f>SUMIFS(OPI_16[MAF NETO],OPI_16[ESTADO],H$3)</f>
        <v>0</v>
      </c>
      <c r="I4" s="15">
        <f>SUMIFS(OPI_16[MAF NETO],OPI_16[ESTADO],I$3)</f>
        <v>0</v>
      </c>
      <c r="J4" s="15">
        <f>SUMIFS(OPI_16[MAF NETO],OPI_16[ESTADO],J$3)</f>
        <v>0</v>
      </c>
      <c r="K4" s="15">
        <f>SUMIFS(OPI_16[MAF NETO],OPI_16[ESTADO],K$3)</f>
        <v>0</v>
      </c>
      <c r="L4" s="15">
        <f>SUMIFS(OPI_16[MAF NETO],OPI_16[ESTADO],L$3)</f>
        <v>0</v>
      </c>
      <c r="M4" s="15">
        <f>SUMIFS(OPI_16[MAF NETO],OPI_16[ESTADO],M$3)</f>
        <v>0</v>
      </c>
      <c r="N4" s="15">
        <f>SUMIFS(OPI_16[MAF NETO],OPI_16[ESTADO],N$3)</f>
        <v>150650</v>
      </c>
    </row>
    <row r="5" ht="26.25" customHeight="1">
      <c r="D5" s="16" t="s">
        <v>30</v>
      </c>
      <c r="E5" s="17" t="s">
        <v>31</v>
      </c>
      <c r="F5" s="18">
        <f>COUNTIFS(OPI_16[ESTADO],"Desembolsado")</f>
        <v>1</v>
      </c>
      <c r="G5" s="19">
        <f>IFERROR(F4/E4,"")</f>
        <v>0.0642</v>
      </c>
      <c r="H5" s="18">
        <f>COUNTIFS(OPI_16[ESTADO],H$3)</f>
        <v>0</v>
      </c>
      <c r="I5" s="18">
        <f>COUNTIFS(OPI_16[ESTADO],I$3)</f>
        <v>0</v>
      </c>
      <c r="J5" s="18">
        <f>COUNTIFS(OPI_16[ESTADO],J$3)</f>
        <v>0</v>
      </c>
      <c r="K5" s="18">
        <f>COUNTIFS(OPI_16[ESTADO],K$3)</f>
        <v>0</v>
      </c>
      <c r="L5" s="18">
        <f>COUNTIFS(OPI_16[ESTADO],L$3)</f>
        <v>0</v>
      </c>
      <c r="M5" s="18">
        <f>COUNTIFS(OPI_16[ESTADO],M$3)</f>
        <v>0</v>
      </c>
      <c r="N5" s="18">
        <f>COUNTIFS(OPI_16[ESTADO],N$3)</f>
        <v>2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/>
      <c r="C10" s="24">
        <v>46183.0</v>
      </c>
      <c r="D10" s="26" t="s">
        <v>129</v>
      </c>
      <c r="E10" s="24">
        <v>46183.0</v>
      </c>
      <c r="F10" s="24"/>
      <c r="G10" s="29" t="s">
        <v>436</v>
      </c>
      <c r="H10" s="29" t="s">
        <v>437</v>
      </c>
      <c r="I10" s="23" t="s">
        <v>74</v>
      </c>
      <c r="J10" s="26" t="s">
        <v>26</v>
      </c>
      <c r="K10" s="30">
        <v>75450.0</v>
      </c>
      <c r="L10" s="23" t="s">
        <v>438</v>
      </c>
      <c r="M10" s="36"/>
      <c r="N10" s="40"/>
      <c r="O10" s="36"/>
      <c r="P10" s="38"/>
      <c r="Q10" s="23"/>
    </row>
    <row r="11" ht="22.5" customHeight="1">
      <c r="B11" s="23"/>
      <c r="C11" s="24">
        <v>46188.0</v>
      </c>
      <c r="D11" s="26" t="s">
        <v>50</v>
      </c>
      <c r="E11" s="24">
        <v>46188.0</v>
      </c>
      <c r="F11" s="94"/>
      <c r="G11" s="29" t="s">
        <v>442</v>
      </c>
      <c r="H11" s="29" t="s">
        <v>443</v>
      </c>
      <c r="I11" s="23" t="s">
        <v>82</v>
      </c>
      <c r="J11" s="26" t="s">
        <v>18</v>
      </c>
      <c r="K11" s="30">
        <v>64200.0</v>
      </c>
      <c r="L11" s="23" t="s">
        <v>438</v>
      </c>
      <c r="M11" s="36"/>
      <c r="N11" s="40"/>
      <c r="O11" s="36"/>
      <c r="P11" s="38"/>
      <c r="Q11" s="40"/>
    </row>
    <row r="12" ht="22.5" customHeight="1">
      <c r="B12" s="23"/>
      <c r="C12" s="24">
        <v>46192.0</v>
      </c>
      <c r="D12" s="26" t="s">
        <v>129</v>
      </c>
      <c r="E12" s="24">
        <v>46192.0</v>
      </c>
      <c r="F12" s="94"/>
      <c r="G12" s="29" t="s">
        <v>436</v>
      </c>
      <c r="H12" s="29" t="s">
        <v>437</v>
      </c>
      <c r="I12" s="23" t="s">
        <v>74</v>
      </c>
      <c r="J12" s="26" t="s">
        <v>26</v>
      </c>
      <c r="K12" s="30">
        <v>75200.0</v>
      </c>
      <c r="L12" s="23" t="s">
        <v>438</v>
      </c>
      <c r="M12" s="36"/>
      <c r="N12" s="40"/>
      <c r="O12" s="36"/>
      <c r="P12" s="38"/>
      <c r="Q12" s="40"/>
    </row>
    <row r="13" ht="22.5" customHeight="1">
      <c r="B13" s="23"/>
      <c r="C13" s="24"/>
      <c r="D13" s="36"/>
      <c r="E13" s="94"/>
      <c r="F13" s="94"/>
      <c r="G13" s="29"/>
      <c r="H13" s="29"/>
      <c r="I13" s="23"/>
      <c r="J13" s="36"/>
      <c r="K13" s="30"/>
      <c r="L13" s="23"/>
      <c r="M13" s="36"/>
      <c r="N13" s="40"/>
      <c r="O13" s="36"/>
      <c r="P13" s="38"/>
      <c r="Q13" s="40"/>
    </row>
    <row r="14" ht="22.5" customHeight="1">
      <c r="B14" s="23"/>
      <c r="C14" s="24"/>
      <c r="D14" s="36"/>
      <c r="E14" s="94"/>
      <c r="F14" s="94"/>
      <c r="G14" s="29"/>
      <c r="H14" s="29"/>
      <c r="I14" s="40"/>
      <c r="J14" s="38"/>
      <c r="K14" s="105"/>
      <c r="L14" s="40"/>
      <c r="M14" s="38"/>
      <c r="N14" s="40"/>
      <c r="O14" s="38"/>
      <c r="P14" s="38"/>
      <c r="Q14" s="40"/>
    </row>
    <row r="15" ht="22.5" customHeight="1">
      <c r="B15" s="40"/>
      <c r="C15" s="94"/>
      <c r="D15" s="36"/>
      <c r="E15" s="94"/>
      <c r="F15" s="94"/>
      <c r="G15" s="97"/>
      <c r="H15" s="97"/>
      <c r="I15" s="40"/>
      <c r="J15" s="38"/>
      <c r="K15" s="105"/>
      <c r="L15" s="40"/>
      <c r="M15" s="38"/>
      <c r="N15" s="40"/>
      <c r="O15" s="38"/>
      <c r="P15" s="38"/>
      <c r="Q15" s="40"/>
    </row>
    <row r="16" ht="22.5" customHeight="1">
      <c r="B16" s="40"/>
      <c r="C16" s="94"/>
      <c r="D16" s="36"/>
      <c r="E16" s="94"/>
      <c r="F16" s="94"/>
      <c r="G16" s="97"/>
      <c r="H16" s="97"/>
      <c r="I16" s="40"/>
      <c r="J16" s="38"/>
      <c r="K16" s="105"/>
      <c r="L16" s="40"/>
      <c r="M16" s="38"/>
      <c r="N16" s="40"/>
      <c r="O16" s="38"/>
      <c r="P16" s="38"/>
      <c r="Q16" s="40"/>
    </row>
    <row r="17" ht="22.5" customHeight="1">
      <c r="B17" s="40"/>
      <c r="C17" s="94"/>
      <c r="D17" s="36"/>
      <c r="E17" s="94"/>
      <c r="F17" s="94"/>
      <c r="G17" s="97"/>
      <c r="H17" s="97"/>
      <c r="I17" s="40"/>
      <c r="J17" s="38"/>
      <c r="K17" s="105"/>
      <c r="L17" s="40"/>
      <c r="M17" s="38"/>
      <c r="N17" s="40"/>
      <c r="O17" s="38"/>
      <c r="P17" s="38"/>
      <c r="Q17" s="40"/>
    </row>
    <row r="18" ht="22.5" customHeight="1">
      <c r="B18" s="40"/>
      <c r="C18" s="94"/>
      <c r="D18" s="36"/>
      <c r="E18" s="94"/>
      <c r="F18" s="94"/>
      <c r="G18" s="97"/>
      <c r="H18" s="97"/>
      <c r="I18" s="40"/>
      <c r="J18" s="38"/>
      <c r="K18" s="105"/>
      <c r="L18" s="40"/>
      <c r="M18" s="38"/>
      <c r="N18" s="40"/>
      <c r="O18" s="38"/>
      <c r="P18" s="38"/>
      <c r="Q18" s="40"/>
    </row>
    <row r="19" ht="22.5" customHeight="1">
      <c r="B19" s="40"/>
      <c r="C19" s="94"/>
      <c r="D19" s="36"/>
      <c r="E19" s="94"/>
      <c r="F19" s="94"/>
      <c r="G19" s="97"/>
      <c r="H19" s="97"/>
      <c r="I19" s="40"/>
      <c r="J19" s="38"/>
      <c r="K19" s="105"/>
      <c r="L19" s="40"/>
      <c r="M19" s="38"/>
      <c r="N19" s="40"/>
      <c r="O19" s="38"/>
      <c r="P19" s="38"/>
      <c r="Q19" s="40"/>
    </row>
    <row r="20" ht="22.5" customHeight="1">
      <c r="B20" s="40"/>
      <c r="C20" s="94"/>
      <c r="D20" s="36"/>
      <c r="E20" s="94"/>
      <c r="F20" s="94"/>
      <c r="G20" s="97"/>
      <c r="H20" s="97"/>
      <c r="I20" s="40"/>
      <c r="J20" s="38"/>
      <c r="K20" s="105"/>
      <c r="L20" s="40"/>
      <c r="M20" s="38"/>
      <c r="N20" s="40"/>
      <c r="O20" s="38"/>
      <c r="P20" s="38"/>
      <c r="Q20" s="40"/>
    </row>
    <row r="21" ht="22.5" customHeight="1">
      <c r="B21" s="40"/>
      <c r="C21" s="94"/>
      <c r="D21" s="36"/>
      <c r="E21" s="94"/>
      <c r="F21" s="94"/>
      <c r="G21" s="97"/>
      <c r="H21" s="97"/>
      <c r="I21" s="40"/>
      <c r="J21" s="38"/>
      <c r="K21" s="105"/>
      <c r="L21" s="40"/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320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SUMIFS(OPI_17[MAF NETO],OPI_17[ESTADO],"Desembolsado")</f>
        <v>123500</v>
      </c>
      <c r="G4" s="14">
        <f>F4-E4</f>
        <v>-876500</v>
      </c>
      <c r="H4" s="15">
        <f>SUMIFS(OPI_17[MAF NETO],OPI_17[ESTADO],H$3)</f>
        <v>0</v>
      </c>
      <c r="I4" s="15">
        <f>SUMIFS(OPI_17[MAF NETO],OPI_17[ESTADO],I$3)</f>
        <v>0</v>
      </c>
      <c r="J4" s="15">
        <f>SUMIFS(OPI_17[MAF NETO],OPI_17[ESTADO],J$3)</f>
        <v>0</v>
      </c>
      <c r="K4" s="15">
        <f>SUMIFS(OPI_17[MAF NETO],OPI_17[ESTADO],K$3)</f>
        <v>0</v>
      </c>
      <c r="L4" s="15">
        <f>SUMIFS(OPI_17[MAF NETO],OPI_17[ESTADO],L$3)</f>
        <v>0</v>
      </c>
      <c r="M4" s="15">
        <f>SUMIFS(OPI_17[MAF NETO],OPI_17[ESTADO],M$3)</f>
        <v>0</v>
      </c>
      <c r="N4" s="15">
        <f>SUMIFS(OPI_17[MAF NETO],OPI_17[ESTADO],N$3)</f>
        <v>50190</v>
      </c>
    </row>
    <row r="5" ht="26.25" customHeight="1">
      <c r="D5" s="16" t="s">
        <v>30</v>
      </c>
      <c r="E5" s="17" t="s">
        <v>31</v>
      </c>
      <c r="F5" s="18">
        <f>COUNTIFS(OPI_17[ESTADO],"Desembolsado")</f>
        <v>2</v>
      </c>
      <c r="G5" s="19">
        <f>IFERROR(F4/E4,"")</f>
        <v>0.1235</v>
      </c>
      <c r="H5" s="18">
        <f>COUNTIFS(OPI_17[ESTADO],H$3)</f>
        <v>0</v>
      </c>
      <c r="I5" s="18">
        <f>COUNTIFS(OPI_17[ESTADO],I$3)</f>
        <v>0</v>
      </c>
      <c r="J5" s="18">
        <f>COUNTIFS(OPI_17[ESTADO],J$3)</f>
        <v>0</v>
      </c>
      <c r="K5" s="18">
        <f>COUNTIFS(OPI_17[ESTADO],K$3)</f>
        <v>0</v>
      </c>
      <c r="L5" s="18">
        <f>COUNTIFS(OPI_17[ESTADO],L$3)</f>
        <v>0</v>
      </c>
      <c r="M5" s="18">
        <f>COUNTIFS(OPI_17[ESTADO],M$3)</f>
        <v>0</v>
      </c>
      <c r="N5" s="18">
        <f>COUNTIFS(OPI_17[ESTADO],N$3)</f>
        <v>1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/>
      <c r="C10" s="24">
        <v>46183.0</v>
      </c>
      <c r="D10" s="26" t="s">
        <v>129</v>
      </c>
      <c r="E10" s="24">
        <v>46181.0</v>
      </c>
      <c r="F10" s="24">
        <v>46181.0</v>
      </c>
      <c r="G10" s="29" t="s">
        <v>444</v>
      </c>
      <c r="H10" s="29" t="s">
        <v>445</v>
      </c>
      <c r="I10" s="23" t="s">
        <v>82</v>
      </c>
      <c r="J10" s="26" t="s">
        <v>26</v>
      </c>
      <c r="K10" s="30">
        <v>50190.0</v>
      </c>
      <c r="L10" s="23" t="s">
        <v>446</v>
      </c>
      <c r="M10" s="26" t="s">
        <v>62</v>
      </c>
      <c r="N10" s="40"/>
      <c r="O10" s="36"/>
      <c r="P10" s="38"/>
      <c r="Q10" s="23"/>
    </row>
    <row r="11" ht="22.5" customHeight="1">
      <c r="B11" s="23"/>
      <c r="C11" s="24">
        <v>46188.0</v>
      </c>
      <c r="D11" s="26" t="s">
        <v>50</v>
      </c>
      <c r="E11" s="24">
        <v>46188.0</v>
      </c>
      <c r="F11" s="24">
        <v>46188.0</v>
      </c>
      <c r="G11" s="29" t="s">
        <v>444</v>
      </c>
      <c r="H11" s="29" t="s">
        <v>445</v>
      </c>
      <c r="I11" s="23" t="s">
        <v>82</v>
      </c>
      <c r="J11" s="26" t="s">
        <v>18</v>
      </c>
      <c r="K11" s="30">
        <v>49000.0</v>
      </c>
      <c r="L11" s="23" t="s">
        <v>446</v>
      </c>
      <c r="M11" s="26" t="s">
        <v>62</v>
      </c>
      <c r="N11" s="40"/>
      <c r="O11" s="36"/>
      <c r="P11" s="38"/>
      <c r="Q11" s="40"/>
    </row>
    <row r="12" ht="22.5" customHeight="1">
      <c r="B12" s="23"/>
      <c r="C12" s="24">
        <v>46186.0</v>
      </c>
      <c r="D12" s="26" t="s">
        <v>50</v>
      </c>
      <c r="E12" s="24">
        <v>46200.0</v>
      </c>
      <c r="F12" s="24">
        <v>46200.0</v>
      </c>
      <c r="G12" s="29" t="s">
        <v>447</v>
      </c>
      <c r="H12" s="29" t="s">
        <v>448</v>
      </c>
      <c r="I12" s="23" t="s">
        <v>54</v>
      </c>
      <c r="J12" s="26" t="s">
        <v>18</v>
      </c>
      <c r="K12" s="30">
        <v>74500.0</v>
      </c>
      <c r="L12" s="23" t="s">
        <v>446</v>
      </c>
      <c r="M12" s="36"/>
      <c r="N12" s="40"/>
      <c r="O12" s="36"/>
      <c r="P12" s="38"/>
      <c r="Q12" s="40"/>
    </row>
    <row r="13" ht="22.5" customHeight="1">
      <c r="B13" s="23"/>
      <c r="C13" s="24"/>
      <c r="D13" s="26" t="s">
        <v>50</v>
      </c>
      <c r="E13" s="94"/>
      <c r="F13" s="94"/>
      <c r="G13" s="29"/>
      <c r="H13" s="29"/>
      <c r="I13" s="23"/>
      <c r="J13" s="36"/>
      <c r="K13" s="30"/>
      <c r="L13" s="23"/>
      <c r="M13" s="26" t="s">
        <v>62</v>
      </c>
      <c r="N13" s="40"/>
      <c r="O13" s="36"/>
      <c r="P13" s="38"/>
      <c r="Q13" s="40"/>
    </row>
    <row r="14" ht="22.5" customHeight="1">
      <c r="B14" s="23"/>
      <c r="C14" s="24"/>
      <c r="D14" s="36"/>
      <c r="E14" s="94"/>
      <c r="F14" s="94"/>
      <c r="G14" s="29"/>
      <c r="H14" s="29"/>
      <c r="I14" s="40"/>
      <c r="J14" s="38"/>
      <c r="K14" s="105"/>
      <c r="L14" s="40"/>
      <c r="M14" s="38"/>
      <c r="N14" s="40"/>
      <c r="O14" s="38"/>
      <c r="P14" s="38"/>
      <c r="Q14" s="40"/>
    </row>
    <row r="15" ht="22.5" customHeight="1">
      <c r="B15" s="40"/>
      <c r="C15" s="94"/>
      <c r="D15" s="36"/>
      <c r="E15" s="94"/>
      <c r="F15" s="94"/>
      <c r="G15" s="97"/>
      <c r="H15" s="97"/>
      <c r="I15" s="40"/>
      <c r="J15" s="38"/>
      <c r="K15" s="105"/>
      <c r="L15" s="40"/>
      <c r="M15" s="38"/>
      <c r="N15" s="40"/>
      <c r="O15" s="38"/>
      <c r="P15" s="38"/>
      <c r="Q15" s="40"/>
    </row>
    <row r="16" ht="22.5" customHeight="1">
      <c r="B16" s="40"/>
      <c r="C16" s="94"/>
      <c r="D16" s="36"/>
      <c r="E16" s="94"/>
      <c r="F16" s="94"/>
      <c r="G16" s="97"/>
      <c r="H16" s="97"/>
      <c r="I16" s="40"/>
      <c r="J16" s="38"/>
      <c r="K16" s="105"/>
      <c r="L16" s="40"/>
      <c r="M16" s="38"/>
      <c r="N16" s="40"/>
      <c r="O16" s="38"/>
      <c r="P16" s="38"/>
      <c r="Q16" s="40"/>
    </row>
    <row r="17" ht="22.5" customHeight="1">
      <c r="B17" s="40"/>
      <c r="C17" s="94"/>
      <c r="D17" s="36"/>
      <c r="E17" s="94"/>
      <c r="F17" s="94"/>
      <c r="G17" s="97"/>
      <c r="H17" s="97"/>
      <c r="I17" s="40"/>
      <c r="J17" s="38"/>
      <c r="K17" s="105"/>
      <c r="L17" s="40"/>
      <c r="M17" s="38"/>
      <c r="N17" s="40"/>
      <c r="O17" s="38"/>
      <c r="P17" s="38"/>
      <c r="Q17" s="40"/>
    </row>
    <row r="18" ht="22.5" customHeight="1">
      <c r="B18" s="40"/>
      <c r="C18" s="94"/>
      <c r="D18" s="36"/>
      <c r="E18" s="94"/>
      <c r="F18" s="94"/>
      <c r="G18" s="97"/>
      <c r="H18" s="97"/>
      <c r="I18" s="40"/>
      <c r="J18" s="38"/>
      <c r="K18" s="105"/>
      <c r="L18" s="40"/>
      <c r="M18" s="38"/>
      <c r="N18" s="40"/>
      <c r="O18" s="38"/>
      <c r="P18" s="38"/>
      <c r="Q18" s="40"/>
    </row>
    <row r="19" ht="22.5" customHeight="1">
      <c r="B19" s="40"/>
      <c r="C19" s="94"/>
      <c r="D19" s="36"/>
      <c r="E19" s="94"/>
      <c r="F19" s="94"/>
      <c r="G19" s="97"/>
      <c r="H19" s="97"/>
      <c r="I19" s="40"/>
      <c r="J19" s="38"/>
      <c r="K19" s="105"/>
      <c r="L19" s="40"/>
      <c r="M19" s="38"/>
      <c r="N19" s="40"/>
      <c r="O19" s="38"/>
      <c r="P19" s="38"/>
      <c r="Q19" s="40"/>
    </row>
    <row r="20" ht="22.5" customHeight="1">
      <c r="B20" s="40"/>
      <c r="C20" s="94"/>
      <c r="D20" s="36"/>
      <c r="E20" s="94"/>
      <c r="F20" s="94"/>
      <c r="G20" s="97"/>
      <c r="H20" s="97"/>
      <c r="I20" s="40"/>
      <c r="J20" s="38"/>
      <c r="K20" s="105"/>
      <c r="L20" s="40"/>
      <c r="M20" s="38"/>
      <c r="N20" s="40"/>
      <c r="O20" s="38"/>
      <c r="P20" s="38"/>
      <c r="Q20" s="40"/>
    </row>
    <row r="21" ht="22.5" customHeight="1">
      <c r="B21" s="40"/>
      <c r="C21" s="94"/>
      <c r="D21" s="36"/>
      <c r="E21" s="94"/>
      <c r="F21" s="94"/>
      <c r="G21" s="97"/>
      <c r="H21" s="97"/>
      <c r="I21" s="40"/>
      <c r="J21" s="38"/>
      <c r="K21" s="105"/>
      <c r="L21" s="40"/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30.0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139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SUMIFS(OPI_13[MAF NETO],OPI_13[ESTADO],"Desembolsado")</f>
        <v>522050</v>
      </c>
      <c r="G4" s="14">
        <f>F4-E4</f>
        <v>-477950</v>
      </c>
      <c r="H4" s="15">
        <f>SUMIFS(OPI_13[MAF NETO],OPI_13[ESTADO],H$3)</f>
        <v>0</v>
      </c>
      <c r="I4" s="15">
        <f>SUMIFS(OPI_13[MAF NETO],OPI_13[ESTADO],I$3)</f>
        <v>0</v>
      </c>
      <c r="J4" s="15">
        <f>SUMIFS(OPI_13[MAF NETO],OPI_13[ESTADO],J$3)</f>
        <v>0</v>
      </c>
      <c r="K4" s="15">
        <f>SUMIFS(OPI_13[MAF NETO],OPI_13[ESTADO],K$3)</f>
        <v>0</v>
      </c>
      <c r="L4" s="15">
        <f>SUMIFS(OPI_13[MAF NETO],OPI_13[ESTADO],L$3)</f>
        <v>0</v>
      </c>
      <c r="M4" s="15">
        <f>SUMIFS(OPI_13[MAF NETO],OPI_13[ESTADO],M$3)</f>
        <v>0</v>
      </c>
      <c r="N4" s="15">
        <f>SUMIFS(OPI_13[MAF NETO],OPI_13[ESTADO],N$3)</f>
        <v>0</v>
      </c>
    </row>
    <row r="5" ht="26.25" customHeight="1">
      <c r="D5" s="16" t="s">
        <v>30</v>
      </c>
      <c r="E5" s="17" t="s">
        <v>31</v>
      </c>
      <c r="F5" s="18">
        <f>COUNTIFS(OPI_13[ESTADO],"Desembolsado")</f>
        <v>7</v>
      </c>
      <c r="G5" s="19">
        <f>IFERROR(F4/E4,"")</f>
        <v>0.52205</v>
      </c>
      <c r="H5" s="18">
        <f>COUNTIFS(OPI_13[ESTADO],H$3)</f>
        <v>0</v>
      </c>
      <c r="I5" s="18">
        <f>COUNTIFS(OPI_13[ESTADO],I$3)</f>
        <v>0</v>
      </c>
      <c r="J5" s="18">
        <f>COUNTIFS(OPI_13[ESTADO],J$3)</f>
        <v>0</v>
      </c>
      <c r="K5" s="18">
        <f>COUNTIFS(OPI_13[ESTADO],K$3)</f>
        <v>0</v>
      </c>
      <c r="L5" s="18">
        <f>COUNTIFS(OPI_13[ESTADO],L$3)</f>
        <v>0</v>
      </c>
      <c r="M5" s="18">
        <f>COUNTIFS(OPI_13[ESTADO],M$3)</f>
        <v>0</v>
      </c>
      <c r="N5" s="18">
        <f>COUNTIFS(OPI_13[ESTADO],N$3)</f>
        <v>0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 t="s">
        <v>139</v>
      </c>
      <c r="C10" s="24">
        <v>46184.0</v>
      </c>
      <c r="D10" s="26" t="s">
        <v>50</v>
      </c>
      <c r="E10" s="24">
        <v>46185.0</v>
      </c>
      <c r="F10" s="24">
        <v>46185.0</v>
      </c>
      <c r="G10" s="29" t="s">
        <v>449</v>
      </c>
      <c r="H10" s="29" t="s">
        <v>450</v>
      </c>
      <c r="I10" s="23" t="s">
        <v>54</v>
      </c>
      <c r="J10" s="26" t="s">
        <v>18</v>
      </c>
      <c r="K10" s="30">
        <v>78260.0</v>
      </c>
      <c r="L10" s="23" t="s">
        <v>451</v>
      </c>
      <c r="M10" s="26" t="s">
        <v>62</v>
      </c>
      <c r="N10" s="34">
        <v>46189.0</v>
      </c>
      <c r="O10" s="26" t="s">
        <v>83</v>
      </c>
      <c r="P10" s="26" t="s">
        <v>83</v>
      </c>
      <c r="Q10" s="23"/>
    </row>
    <row r="11" ht="22.5" customHeight="1">
      <c r="B11" s="23" t="s">
        <v>139</v>
      </c>
      <c r="C11" s="24">
        <v>46185.0</v>
      </c>
      <c r="D11" s="26" t="s">
        <v>50</v>
      </c>
      <c r="E11" s="24">
        <v>46190.0</v>
      </c>
      <c r="F11" s="24">
        <v>46164.0</v>
      </c>
      <c r="G11" s="29" t="s">
        <v>452</v>
      </c>
      <c r="H11" s="29" t="s">
        <v>453</v>
      </c>
      <c r="I11" s="23" t="s">
        <v>82</v>
      </c>
      <c r="J11" s="26" t="s">
        <v>18</v>
      </c>
      <c r="K11" s="30">
        <v>39990.0</v>
      </c>
      <c r="L11" s="23" t="s">
        <v>451</v>
      </c>
      <c r="M11" s="26" t="s">
        <v>62</v>
      </c>
      <c r="N11" s="34">
        <v>46195.0</v>
      </c>
      <c r="O11" s="26" t="s">
        <v>83</v>
      </c>
      <c r="P11" s="26" t="s">
        <v>83</v>
      </c>
      <c r="Q11" s="40"/>
    </row>
    <row r="12" ht="22.5" customHeight="1">
      <c r="B12" s="23" t="s">
        <v>139</v>
      </c>
      <c r="C12" s="24">
        <v>46189.0</v>
      </c>
      <c r="D12" s="26" t="s">
        <v>50</v>
      </c>
      <c r="E12" s="24">
        <v>46190.0</v>
      </c>
      <c r="F12" s="24">
        <v>46191.0</v>
      </c>
      <c r="G12" s="29" t="s">
        <v>454</v>
      </c>
      <c r="H12" s="29" t="s">
        <v>455</v>
      </c>
      <c r="I12" s="23" t="s">
        <v>54</v>
      </c>
      <c r="J12" s="26" t="s">
        <v>18</v>
      </c>
      <c r="K12" s="30">
        <v>110900.0</v>
      </c>
      <c r="L12" s="23" t="s">
        <v>451</v>
      </c>
      <c r="M12" s="26" t="s">
        <v>62</v>
      </c>
      <c r="N12" s="34">
        <v>46197.0</v>
      </c>
      <c r="O12" s="26" t="s">
        <v>83</v>
      </c>
      <c r="P12" s="26" t="s">
        <v>83</v>
      </c>
      <c r="Q12" s="40"/>
    </row>
    <row r="13" ht="22.5" customHeight="1">
      <c r="B13" s="23" t="s">
        <v>139</v>
      </c>
      <c r="C13" s="24">
        <v>46192.0</v>
      </c>
      <c r="D13" s="26" t="s">
        <v>50</v>
      </c>
      <c r="E13" s="24">
        <v>46192.0</v>
      </c>
      <c r="F13" s="24">
        <v>46196.0</v>
      </c>
      <c r="G13" s="29" t="s">
        <v>456</v>
      </c>
      <c r="H13" s="29" t="s">
        <v>457</v>
      </c>
      <c r="I13" s="23" t="s">
        <v>242</v>
      </c>
      <c r="J13" s="26" t="s">
        <v>18</v>
      </c>
      <c r="K13" s="30">
        <v>75300.0</v>
      </c>
      <c r="L13" s="23" t="s">
        <v>451</v>
      </c>
      <c r="M13" s="26" t="s">
        <v>62</v>
      </c>
      <c r="N13" s="34">
        <v>46198.0</v>
      </c>
      <c r="O13" s="26" t="s">
        <v>83</v>
      </c>
      <c r="P13" s="26" t="s">
        <v>83</v>
      </c>
      <c r="Q13" s="23"/>
    </row>
    <row r="14" ht="22.5" customHeight="1">
      <c r="B14" s="23" t="s">
        <v>139</v>
      </c>
      <c r="C14" s="24">
        <v>46192.0</v>
      </c>
      <c r="D14" s="26" t="s">
        <v>50</v>
      </c>
      <c r="E14" s="24">
        <v>46192.0</v>
      </c>
      <c r="F14" s="24">
        <v>46195.0</v>
      </c>
      <c r="G14" s="29" t="s">
        <v>458</v>
      </c>
      <c r="H14" s="29" t="s">
        <v>459</v>
      </c>
      <c r="I14" s="23" t="s">
        <v>54</v>
      </c>
      <c r="J14" s="26" t="s">
        <v>18</v>
      </c>
      <c r="K14" s="30">
        <v>78000.0</v>
      </c>
      <c r="L14" s="23" t="s">
        <v>451</v>
      </c>
      <c r="M14" s="26" t="s">
        <v>62</v>
      </c>
      <c r="N14" s="34">
        <v>46197.0</v>
      </c>
      <c r="O14" s="26" t="s">
        <v>83</v>
      </c>
      <c r="P14" s="26" t="s">
        <v>83</v>
      </c>
      <c r="Q14" s="40"/>
    </row>
    <row r="15" ht="22.5" customHeight="1">
      <c r="B15" s="23" t="s">
        <v>139</v>
      </c>
      <c r="C15" s="24">
        <v>46193.0</v>
      </c>
      <c r="D15" s="26" t="s">
        <v>50</v>
      </c>
      <c r="E15" s="24">
        <v>46193.0</v>
      </c>
      <c r="F15" s="24">
        <v>46199.0</v>
      </c>
      <c r="G15" s="29" t="s">
        <v>460</v>
      </c>
      <c r="H15" s="29" t="s">
        <v>461</v>
      </c>
      <c r="I15" s="23" t="s">
        <v>74</v>
      </c>
      <c r="J15" s="26" t="s">
        <v>18</v>
      </c>
      <c r="K15" s="30">
        <v>84600.0</v>
      </c>
      <c r="L15" s="23" t="s">
        <v>451</v>
      </c>
      <c r="M15" s="26" t="s">
        <v>62</v>
      </c>
      <c r="N15" s="34">
        <v>46203.0</v>
      </c>
      <c r="O15" s="26" t="s">
        <v>83</v>
      </c>
      <c r="P15" s="38"/>
      <c r="Q15" s="40"/>
    </row>
    <row r="16" ht="22.5" customHeight="1">
      <c r="B16" s="23" t="s">
        <v>139</v>
      </c>
      <c r="C16" s="24">
        <v>46197.0</v>
      </c>
      <c r="D16" s="26" t="s">
        <v>50</v>
      </c>
      <c r="E16" s="24">
        <v>46197.0</v>
      </c>
      <c r="F16" s="24">
        <v>46203.0</v>
      </c>
      <c r="G16" s="29" t="s">
        <v>462</v>
      </c>
      <c r="H16" s="29" t="s">
        <v>463</v>
      </c>
      <c r="I16" s="23" t="s">
        <v>242</v>
      </c>
      <c r="J16" s="26" t="s">
        <v>18</v>
      </c>
      <c r="K16" s="30">
        <v>55000.0</v>
      </c>
      <c r="L16" s="23" t="s">
        <v>451</v>
      </c>
      <c r="M16" s="26" t="s">
        <v>62</v>
      </c>
      <c r="N16" s="40"/>
      <c r="O16" s="38"/>
      <c r="P16" s="38"/>
      <c r="Q16" s="40"/>
    </row>
    <row r="17" ht="22.5" customHeight="1">
      <c r="B17" s="40"/>
      <c r="C17" s="94"/>
      <c r="D17" s="36"/>
      <c r="E17" s="94"/>
      <c r="F17" s="94"/>
      <c r="G17" s="97"/>
      <c r="H17" s="97"/>
      <c r="I17" s="40"/>
      <c r="J17" s="38"/>
      <c r="K17" s="105"/>
      <c r="L17" s="40"/>
      <c r="M17" s="38"/>
      <c r="N17" s="40"/>
      <c r="O17" s="38"/>
      <c r="P17" s="38"/>
      <c r="Q17" s="40"/>
    </row>
    <row r="18" ht="22.5" customHeight="1">
      <c r="B18" s="40"/>
      <c r="C18" s="94"/>
      <c r="D18" s="36"/>
      <c r="E18" s="94"/>
      <c r="F18" s="94"/>
      <c r="G18" s="97"/>
      <c r="H18" s="97"/>
      <c r="I18" s="40"/>
      <c r="J18" s="38"/>
      <c r="K18" s="105"/>
      <c r="L18" s="40"/>
      <c r="M18" s="38"/>
      <c r="N18" s="40"/>
      <c r="O18" s="38"/>
      <c r="P18" s="38"/>
      <c r="Q18" s="40"/>
    </row>
    <row r="19" ht="22.5" customHeight="1">
      <c r="B19" s="40"/>
      <c r="C19" s="94"/>
      <c r="D19" s="36"/>
      <c r="E19" s="94"/>
      <c r="F19" s="94"/>
      <c r="G19" s="97"/>
      <c r="H19" s="97"/>
      <c r="I19" s="40"/>
      <c r="J19" s="38"/>
      <c r="K19" s="105"/>
      <c r="L19" s="40"/>
      <c r="M19" s="38"/>
      <c r="N19" s="40"/>
      <c r="O19" s="38"/>
      <c r="P19" s="38"/>
      <c r="Q19" s="40"/>
    </row>
    <row r="20" ht="22.5" customHeight="1">
      <c r="B20" s="40"/>
      <c r="C20" s="94"/>
      <c r="D20" s="36"/>
      <c r="E20" s="94"/>
      <c r="F20" s="94"/>
      <c r="G20" s="97"/>
      <c r="H20" s="97"/>
      <c r="I20" s="40"/>
      <c r="J20" s="38"/>
      <c r="K20" s="105"/>
      <c r="L20" s="40"/>
      <c r="M20" s="38"/>
      <c r="N20" s="40"/>
      <c r="O20" s="38"/>
      <c r="P20" s="38"/>
      <c r="Q20" s="40"/>
    </row>
    <row r="21" ht="22.5" customHeight="1">
      <c r="B21" s="40"/>
      <c r="C21" s="94"/>
      <c r="D21" s="36"/>
      <c r="E21" s="94"/>
      <c r="F21" s="94"/>
      <c r="G21" s="97"/>
      <c r="H21" s="97"/>
      <c r="I21" s="40"/>
      <c r="J21" s="38"/>
      <c r="K21" s="105"/>
      <c r="L21" s="40"/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22.63"/>
    <col customWidth="1" min="9" max="9" width="19.25"/>
    <col customWidth="1" min="10" max="10" width="22.88"/>
    <col customWidth="1" min="11" max="11" width="17.0"/>
    <col customWidth="1" min="12" max="12" width="14.25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6" t="s">
        <v>112</v>
      </c>
      <c r="E3" s="8" t="s">
        <v>17</v>
      </c>
      <c r="F3" s="8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ht="26.25" customHeight="1">
      <c r="D4" s="11" t="s">
        <v>27</v>
      </c>
      <c r="E4" s="12">
        <v>1000000.0</v>
      </c>
      <c r="F4" s="14">
        <f>SUMIFS(OPI_2[MAF NETO],OPI_2[ESTADO],"Desembolsado")</f>
        <v>0</v>
      </c>
      <c r="G4" s="14">
        <f>F4-E4</f>
        <v>-1000000</v>
      </c>
      <c r="H4" s="15">
        <f>SUMIFS(OPI_2[MAF NETO],OPI_2[ESTADO],H$3)</f>
        <v>0</v>
      </c>
      <c r="I4" s="15">
        <f>SUMIFS(OPI_2[MAF NETO],OPI_2[ESTADO],I$3)</f>
        <v>0</v>
      </c>
      <c r="J4" s="15">
        <f>SUMIFS(OPI_2[MAF NETO],OPI_2[ESTADO],J$3)</f>
        <v>0</v>
      </c>
      <c r="K4" s="15">
        <f>SUMIFS(OPI_2[MAF NETO],OPI_2[ESTADO],K$3)</f>
        <v>0</v>
      </c>
      <c r="L4" s="15">
        <f>SUMIFS(OPI_2[MAF NETO],OPI_2[ESTADO],L$3)</f>
        <v>0</v>
      </c>
      <c r="M4" s="15">
        <f>SUMIFS(OPI_2[MAF NETO],OPI_2[ESTADO],M$3)</f>
        <v>0</v>
      </c>
      <c r="N4" s="15">
        <f>SUMIFS(OPI_2[MAF NETO],OPI_2[ESTADO],N$3)</f>
        <v>0</v>
      </c>
    </row>
    <row r="5" ht="26.25" customHeight="1">
      <c r="D5" s="16" t="s">
        <v>30</v>
      </c>
      <c r="E5" s="17" t="s">
        <v>31</v>
      </c>
      <c r="F5" s="18">
        <f>COUNTIFS(OPI_2[ESTADO],"Desembolsado")</f>
        <v>0</v>
      </c>
      <c r="G5" s="19">
        <f>IFERROR(F4/E4,"")</f>
        <v>0</v>
      </c>
      <c r="H5" s="18">
        <f>COUNTIFS(OPI_2[ESTADO],H$3)</f>
        <v>0</v>
      </c>
      <c r="I5" s="18">
        <f>COUNTIFS(OPI_2[ESTADO],I$3)</f>
        <v>0</v>
      </c>
      <c r="J5" s="18">
        <f>COUNTIFS(OPI_2[ESTADO],J$3)</f>
        <v>0</v>
      </c>
      <c r="K5" s="18">
        <f>COUNTIFS(OPI_2[ESTADO],K$3)</f>
        <v>0</v>
      </c>
      <c r="L5" s="18">
        <f>COUNTIFS(OPI_2[ESTADO],L$3)</f>
        <v>0</v>
      </c>
      <c r="M5" s="18">
        <f>COUNTIFS(OPI_2[ESTADO],M$3)</f>
        <v>0</v>
      </c>
      <c r="N5" s="18">
        <f>COUNTIFS(OPI_2[ESTADO],N$3)</f>
        <v>0</v>
      </c>
    </row>
    <row r="9" ht="22.5" customHeight="1">
      <c r="A9" s="20"/>
      <c r="B9" s="21" t="s">
        <v>33</v>
      </c>
      <c r="C9" s="21" t="s">
        <v>34</v>
      </c>
      <c r="D9" s="22" t="s">
        <v>35</v>
      </c>
      <c r="E9" s="21" t="s">
        <v>36</v>
      </c>
      <c r="F9" s="21" t="s">
        <v>37</v>
      </c>
      <c r="G9" s="21" t="s">
        <v>38</v>
      </c>
      <c r="H9" s="21" t="s">
        <v>39</v>
      </c>
      <c r="I9" s="21" t="s">
        <v>40</v>
      </c>
      <c r="J9" s="22" t="s">
        <v>42</v>
      </c>
      <c r="K9" s="21" t="s">
        <v>43</v>
      </c>
      <c r="L9" s="21" t="s">
        <v>44</v>
      </c>
      <c r="M9" s="22" t="s">
        <v>45</v>
      </c>
      <c r="N9" s="21" t="s">
        <v>46</v>
      </c>
      <c r="O9" s="22" t="s">
        <v>47</v>
      </c>
      <c r="P9" s="22" t="s">
        <v>48</v>
      </c>
      <c r="Q9" s="21" t="s">
        <v>49</v>
      </c>
    </row>
    <row r="10" ht="22.5" customHeight="1">
      <c r="B10" s="23"/>
      <c r="C10" s="24"/>
      <c r="D10" s="26"/>
      <c r="E10" s="24"/>
      <c r="F10" s="24"/>
      <c r="G10" s="29"/>
      <c r="H10" s="29"/>
      <c r="I10" s="23"/>
      <c r="J10" s="26"/>
      <c r="K10" s="30"/>
      <c r="L10" s="40"/>
      <c r="M10" s="36"/>
      <c r="N10" s="40"/>
      <c r="O10" s="38"/>
      <c r="P10" s="38"/>
      <c r="Q10" s="40"/>
    </row>
    <row r="11" ht="22.5" customHeight="1">
      <c r="B11" s="40"/>
      <c r="C11" s="94"/>
      <c r="D11" s="36"/>
      <c r="E11" s="94"/>
      <c r="F11" s="94"/>
      <c r="G11" s="29"/>
      <c r="H11" s="97"/>
      <c r="I11" s="40"/>
      <c r="J11" s="38"/>
      <c r="K11" s="105"/>
      <c r="L11" s="40"/>
      <c r="M11" s="38"/>
      <c r="N11" s="40"/>
      <c r="O11" s="38"/>
      <c r="P11" s="38"/>
      <c r="Q11" s="40"/>
    </row>
    <row r="12" ht="22.5" customHeight="1">
      <c r="B12" s="40"/>
      <c r="C12" s="94"/>
      <c r="D12" s="36"/>
      <c r="E12" s="94"/>
      <c r="F12" s="94"/>
      <c r="G12" s="97"/>
      <c r="H12" s="97"/>
      <c r="I12" s="40"/>
      <c r="J12" s="38"/>
      <c r="K12" s="105"/>
      <c r="L12" s="40"/>
      <c r="M12" s="38"/>
      <c r="N12" s="40"/>
      <c r="O12" s="38"/>
      <c r="P12" s="38"/>
      <c r="Q12" s="40"/>
    </row>
    <row r="13" ht="22.5" customHeight="1">
      <c r="B13" s="40"/>
      <c r="C13" s="94"/>
      <c r="D13" s="36"/>
      <c r="E13" s="94"/>
      <c r="F13" s="94"/>
      <c r="G13" s="97"/>
      <c r="H13" s="97"/>
      <c r="I13" s="40"/>
      <c r="J13" s="38"/>
      <c r="K13" s="105"/>
      <c r="L13" s="40"/>
      <c r="M13" s="38"/>
      <c r="N13" s="40"/>
      <c r="O13" s="38"/>
      <c r="P13" s="38"/>
      <c r="Q13" s="40"/>
    </row>
    <row r="14" ht="22.5" customHeight="1">
      <c r="B14" s="40"/>
      <c r="C14" s="94"/>
      <c r="D14" s="36"/>
      <c r="E14" s="94"/>
      <c r="F14" s="94"/>
      <c r="G14" s="97"/>
      <c r="H14" s="97"/>
      <c r="I14" s="40"/>
      <c r="J14" s="38"/>
      <c r="K14" s="105"/>
      <c r="L14" s="40"/>
      <c r="M14" s="38"/>
      <c r="N14" s="40"/>
      <c r="O14" s="38"/>
      <c r="P14" s="38"/>
      <c r="Q14" s="40"/>
    </row>
    <row r="15" ht="22.5" customHeight="1">
      <c r="B15" s="40"/>
      <c r="C15" s="94"/>
      <c r="D15" s="36"/>
      <c r="E15" s="94"/>
      <c r="F15" s="94"/>
      <c r="G15" s="97"/>
      <c r="H15" s="97"/>
      <c r="I15" s="40"/>
      <c r="J15" s="38"/>
      <c r="K15" s="105"/>
      <c r="L15" s="40"/>
      <c r="M15" s="38"/>
      <c r="N15" s="40"/>
      <c r="O15" s="38"/>
      <c r="P15" s="38"/>
      <c r="Q15" s="40"/>
    </row>
    <row r="16" ht="22.5" customHeight="1">
      <c r="B16" s="40"/>
      <c r="C16" s="94"/>
      <c r="D16" s="36"/>
      <c r="E16" s="94"/>
      <c r="F16" s="94"/>
      <c r="G16" s="97"/>
      <c r="H16" s="97"/>
      <c r="I16" s="40"/>
      <c r="J16" s="38"/>
      <c r="K16" s="105"/>
      <c r="L16" s="40"/>
      <c r="M16" s="38"/>
      <c r="N16" s="40"/>
      <c r="O16" s="38"/>
      <c r="P16" s="38"/>
      <c r="Q16" s="40"/>
    </row>
    <row r="17" ht="22.5" customHeight="1">
      <c r="B17" s="40"/>
      <c r="C17" s="94"/>
      <c r="D17" s="36"/>
      <c r="E17" s="94"/>
      <c r="F17" s="94"/>
      <c r="G17" s="97"/>
      <c r="H17" s="97"/>
      <c r="I17" s="40"/>
      <c r="J17" s="38"/>
      <c r="K17" s="105"/>
      <c r="L17" s="40"/>
      <c r="M17" s="38"/>
      <c r="N17" s="40"/>
      <c r="O17" s="38"/>
      <c r="P17" s="38"/>
      <c r="Q17" s="40"/>
    </row>
    <row r="18" ht="22.5" customHeight="1">
      <c r="B18" s="40"/>
      <c r="C18" s="94"/>
      <c r="D18" s="36"/>
      <c r="E18" s="94"/>
      <c r="F18" s="94"/>
      <c r="G18" s="97"/>
      <c r="H18" s="97"/>
      <c r="I18" s="40"/>
      <c r="J18" s="38"/>
      <c r="K18" s="105"/>
      <c r="L18" s="40"/>
      <c r="M18" s="38"/>
      <c r="N18" s="40"/>
      <c r="O18" s="38"/>
      <c r="P18" s="38"/>
      <c r="Q18" s="40"/>
    </row>
    <row r="19" ht="22.5" customHeight="1">
      <c r="B19" s="40"/>
      <c r="C19" s="94"/>
      <c r="D19" s="36"/>
      <c r="E19" s="94"/>
      <c r="F19" s="94"/>
      <c r="G19" s="97"/>
      <c r="H19" s="97"/>
      <c r="I19" s="40"/>
      <c r="J19" s="38"/>
      <c r="K19" s="105"/>
      <c r="L19" s="40"/>
      <c r="M19" s="38"/>
      <c r="N19" s="40"/>
      <c r="O19" s="38"/>
      <c r="P19" s="38"/>
      <c r="Q19" s="40"/>
    </row>
    <row r="20" ht="22.5" customHeight="1">
      <c r="B20" s="40"/>
      <c r="C20" s="94"/>
      <c r="D20" s="36"/>
      <c r="E20" s="94"/>
      <c r="F20" s="94"/>
      <c r="G20" s="97"/>
      <c r="H20" s="97"/>
      <c r="I20" s="40"/>
      <c r="J20" s="38"/>
      <c r="K20" s="105"/>
      <c r="L20" s="40"/>
      <c r="M20" s="38"/>
      <c r="N20" s="40"/>
      <c r="O20" s="38"/>
      <c r="P20" s="38"/>
      <c r="Q20" s="40"/>
    </row>
    <row r="21" ht="22.5" customHeight="1">
      <c r="B21" s="40"/>
      <c r="C21" s="94"/>
      <c r="D21" s="36"/>
      <c r="E21" s="94"/>
      <c r="F21" s="94"/>
      <c r="G21" s="97"/>
      <c r="H21" s="97"/>
      <c r="I21" s="40"/>
      <c r="J21" s="38"/>
      <c r="K21" s="105"/>
      <c r="L21" s="40"/>
      <c r="M21" s="38"/>
      <c r="N21" s="40"/>
      <c r="O21" s="38"/>
      <c r="P21" s="38"/>
      <c r="Q21" s="40"/>
    </row>
    <row r="22" ht="22.5" customHeight="1">
      <c r="B22" s="40"/>
      <c r="C22" s="94"/>
      <c r="D22" s="36"/>
      <c r="E22" s="94"/>
      <c r="F22" s="94"/>
      <c r="G22" s="97"/>
      <c r="H22" s="97"/>
      <c r="I22" s="40"/>
      <c r="J22" s="38"/>
      <c r="K22" s="105"/>
      <c r="L22" s="40"/>
      <c r="M22" s="38"/>
      <c r="N22" s="40"/>
      <c r="O22" s="38"/>
      <c r="P22" s="38"/>
      <c r="Q22" s="40"/>
    </row>
    <row r="23" ht="22.5" customHeight="1">
      <c r="B23" s="40"/>
      <c r="C23" s="94"/>
      <c r="D23" s="36"/>
      <c r="E23" s="94"/>
      <c r="F23" s="94"/>
      <c r="G23" s="97"/>
      <c r="H23" s="97"/>
      <c r="I23" s="40"/>
      <c r="J23" s="38"/>
      <c r="K23" s="105"/>
      <c r="L23" s="40"/>
      <c r="M23" s="38"/>
      <c r="N23" s="40"/>
      <c r="O23" s="38"/>
      <c r="P23" s="38"/>
      <c r="Q23" s="40"/>
    </row>
    <row r="24" ht="22.5" customHeight="1">
      <c r="B24" s="40"/>
      <c r="C24" s="94"/>
      <c r="D24" s="36"/>
      <c r="E24" s="94"/>
      <c r="F24" s="94"/>
      <c r="G24" s="97"/>
      <c r="H24" s="97"/>
      <c r="I24" s="40"/>
      <c r="J24" s="38"/>
      <c r="K24" s="105"/>
      <c r="L24" s="40"/>
      <c r="M24" s="38"/>
      <c r="N24" s="40"/>
      <c r="O24" s="38"/>
      <c r="P24" s="38"/>
      <c r="Q24" s="40"/>
    </row>
    <row r="25" ht="22.5" customHeight="1">
      <c r="B25" s="40"/>
      <c r="C25" s="94"/>
      <c r="D25" s="36"/>
      <c r="E25" s="94"/>
      <c r="F25" s="94"/>
      <c r="G25" s="97"/>
      <c r="H25" s="97"/>
      <c r="I25" s="40"/>
      <c r="J25" s="38"/>
      <c r="K25" s="105"/>
      <c r="L25" s="40"/>
      <c r="M25" s="38"/>
      <c r="N25" s="40"/>
      <c r="O25" s="38"/>
      <c r="P25" s="38"/>
      <c r="Q25" s="40"/>
    </row>
    <row r="26" ht="22.5" customHeight="1">
      <c r="B26" s="40"/>
      <c r="C26" s="94"/>
      <c r="D26" s="36"/>
      <c r="E26" s="94"/>
      <c r="F26" s="94"/>
      <c r="G26" s="97"/>
      <c r="H26" s="97"/>
      <c r="I26" s="40"/>
      <c r="J26" s="38"/>
      <c r="K26" s="105"/>
      <c r="L26" s="40"/>
      <c r="M26" s="38"/>
      <c r="N26" s="40"/>
      <c r="O26" s="38"/>
      <c r="P26" s="38"/>
      <c r="Q26" s="40"/>
    </row>
    <row r="27" ht="22.5" customHeight="1">
      <c r="B27" s="40"/>
      <c r="C27" s="94"/>
      <c r="D27" s="36"/>
      <c r="E27" s="94"/>
      <c r="F27" s="94"/>
      <c r="G27" s="97"/>
      <c r="H27" s="97"/>
      <c r="I27" s="40"/>
      <c r="J27" s="38"/>
      <c r="K27" s="105"/>
      <c r="L27" s="40"/>
      <c r="M27" s="38"/>
      <c r="N27" s="40"/>
      <c r="O27" s="38"/>
      <c r="P27" s="38"/>
      <c r="Q27" s="40"/>
    </row>
    <row r="28" ht="22.5" customHeight="1">
      <c r="B28" s="40"/>
      <c r="C28" s="94"/>
      <c r="D28" s="36"/>
      <c r="E28" s="94"/>
      <c r="F28" s="94"/>
      <c r="G28" s="97"/>
      <c r="H28" s="97"/>
      <c r="I28" s="40"/>
      <c r="J28" s="38"/>
      <c r="K28" s="105"/>
      <c r="L28" s="40"/>
      <c r="M28" s="38"/>
      <c r="N28" s="40"/>
      <c r="O28" s="38"/>
      <c r="P28" s="38"/>
      <c r="Q28" s="40"/>
    </row>
    <row r="29" ht="22.5" customHeight="1">
      <c r="B29" s="40"/>
      <c r="C29" s="94"/>
      <c r="D29" s="36"/>
      <c r="E29" s="94"/>
      <c r="F29" s="94"/>
      <c r="G29" s="97"/>
      <c r="H29" s="97"/>
      <c r="I29" s="40"/>
      <c r="J29" s="38"/>
      <c r="K29" s="105"/>
      <c r="L29" s="40"/>
      <c r="M29" s="38"/>
      <c r="N29" s="40"/>
      <c r="O29" s="38"/>
      <c r="P29" s="38"/>
      <c r="Q29" s="40"/>
    </row>
    <row r="30" ht="22.5" customHeight="1">
      <c r="B30" s="40"/>
      <c r="C30" s="94"/>
      <c r="D30" s="36"/>
      <c r="E30" s="94"/>
      <c r="F30" s="94"/>
      <c r="G30" s="97"/>
      <c r="H30" s="97"/>
      <c r="I30" s="40"/>
      <c r="J30" s="38"/>
      <c r="K30" s="105"/>
      <c r="L30" s="40"/>
      <c r="M30" s="38"/>
      <c r="N30" s="40"/>
      <c r="O30" s="38"/>
      <c r="P30" s="38"/>
      <c r="Q30" s="40"/>
    </row>
    <row r="31" ht="22.5" customHeight="1">
      <c r="B31" s="40"/>
      <c r="C31" s="94"/>
      <c r="D31" s="36"/>
      <c r="E31" s="94"/>
      <c r="F31" s="94"/>
      <c r="G31" s="97"/>
      <c r="H31" s="97"/>
      <c r="I31" s="40"/>
      <c r="J31" s="38"/>
      <c r="K31" s="105"/>
      <c r="L31" s="40"/>
      <c r="M31" s="38"/>
      <c r="N31" s="40"/>
      <c r="O31" s="38"/>
      <c r="P31" s="38"/>
      <c r="Q31" s="40"/>
    </row>
    <row r="32" ht="22.5" customHeight="1">
      <c r="B32" s="40"/>
      <c r="C32" s="94"/>
      <c r="D32" s="36"/>
      <c r="E32" s="94"/>
      <c r="F32" s="94"/>
      <c r="G32" s="97"/>
      <c r="H32" s="97"/>
      <c r="I32" s="40"/>
      <c r="J32" s="38"/>
      <c r="K32" s="105"/>
      <c r="L32" s="40"/>
      <c r="M32" s="38"/>
      <c r="N32" s="40"/>
      <c r="O32" s="38"/>
      <c r="P32" s="38"/>
      <c r="Q32" s="40"/>
    </row>
    <row r="33" ht="22.5" customHeight="1">
      <c r="B33" s="40"/>
      <c r="C33" s="94"/>
      <c r="D33" s="36"/>
      <c r="E33" s="94"/>
      <c r="F33" s="94"/>
      <c r="G33" s="97"/>
      <c r="H33" s="97"/>
      <c r="I33" s="40"/>
      <c r="J33" s="38"/>
      <c r="K33" s="105"/>
      <c r="L33" s="40"/>
      <c r="M33" s="38"/>
      <c r="N33" s="40"/>
      <c r="O33" s="38"/>
      <c r="P33" s="38"/>
      <c r="Q33" s="40"/>
    </row>
    <row r="34" ht="22.5" customHeight="1">
      <c r="B34" s="40"/>
      <c r="C34" s="94"/>
      <c r="D34" s="36"/>
      <c r="E34" s="94"/>
      <c r="F34" s="94"/>
      <c r="G34" s="97"/>
      <c r="H34" s="97"/>
      <c r="I34" s="40"/>
      <c r="J34" s="38"/>
      <c r="K34" s="105"/>
      <c r="L34" s="40"/>
      <c r="M34" s="38"/>
      <c r="N34" s="40"/>
      <c r="O34" s="38"/>
      <c r="P34" s="38"/>
      <c r="Q34" s="40"/>
    </row>
    <row r="35" ht="22.5" customHeight="1">
      <c r="B35" s="40"/>
      <c r="C35" s="94"/>
      <c r="D35" s="36"/>
      <c r="E35" s="94"/>
      <c r="F35" s="94"/>
      <c r="G35" s="97"/>
      <c r="H35" s="97"/>
      <c r="I35" s="40"/>
      <c r="J35" s="38"/>
      <c r="K35" s="105"/>
      <c r="L35" s="40"/>
      <c r="M35" s="38"/>
      <c r="N35" s="40"/>
      <c r="O35" s="38"/>
      <c r="P35" s="38"/>
      <c r="Q35" s="40"/>
    </row>
    <row r="36" ht="22.5" customHeight="1">
      <c r="B36" s="40"/>
      <c r="C36" s="94"/>
      <c r="D36" s="36"/>
      <c r="E36" s="94"/>
      <c r="F36" s="94"/>
      <c r="G36" s="97"/>
      <c r="H36" s="97"/>
      <c r="I36" s="40"/>
      <c r="J36" s="38"/>
      <c r="K36" s="105"/>
      <c r="L36" s="40"/>
      <c r="M36" s="38"/>
      <c r="N36" s="40"/>
      <c r="O36" s="38"/>
      <c r="P36" s="38"/>
      <c r="Q36" s="40"/>
    </row>
    <row r="37" ht="22.5" customHeight="1">
      <c r="B37" s="40"/>
      <c r="C37" s="94"/>
      <c r="D37" s="36"/>
      <c r="E37" s="94"/>
      <c r="F37" s="94"/>
      <c r="G37" s="97"/>
      <c r="H37" s="97"/>
      <c r="I37" s="40"/>
      <c r="J37" s="38"/>
      <c r="K37" s="105"/>
      <c r="L37" s="40"/>
      <c r="M37" s="38"/>
      <c r="N37" s="40"/>
      <c r="O37" s="38"/>
      <c r="P37" s="38"/>
      <c r="Q37" s="40"/>
    </row>
    <row r="38" ht="22.5" customHeight="1">
      <c r="B38" s="40"/>
      <c r="C38" s="94"/>
      <c r="D38" s="36"/>
      <c r="E38" s="94"/>
      <c r="F38" s="94"/>
      <c r="G38" s="97"/>
      <c r="H38" s="97"/>
      <c r="I38" s="40"/>
      <c r="J38" s="38"/>
      <c r="K38" s="105"/>
      <c r="L38" s="40"/>
      <c r="M38" s="38"/>
      <c r="N38" s="40"/>
      <c r="O38" s="38"/>
      <c r="P38" s="38"/>
      <c r="Q38" s="40"/>
    </row>
    <row r="39" ht="22.5" customHeight="1">
      <c r="B39" s="40"/>
      <c r="C39" s="94"/>
      <c r="D39" s="36"/>
      <c r="E39" s="94"/>
      <c r="F39" s="94"/>
      <c r="G39" s="97"/>
      <c r="H39" s="97"/>
      <c r="I39" s="40"/>
      <c r="J39" s="38"/>
      <c r="K39" s="105"/>
      <c r="L39" s="40"/>
      <c r="M39" s="38"/>
      <c r="N39" s="40"/>
      <c r="O39" s="38"/>
      <c r="P39" s="38"/>
      <c r="Q39" s="40"/>
    </row>
    <row r="40" ht="22.5" customHeight="1">
      <c r="B40" s="40"/>
      <c r="C40" s="94"/>
      <c r="D40" s="36"/>
      <c r="E40" s="94"/>
      <c r="F40" s="94"/>
      <c r="G40" s="97"/>
      <c r="H40" s="97"/>
      <c r="I40" s="40"/>
      <c r="J40" s="38"/>
      <c r="K40" s="105"/>
      <c r="L40" s="40"/>
      <c r="M40" s="38"/>
      <c r="N40" s="40"/>
      <c r="O40" s="38"/>
      <c r="P40" s="38"/>
      <c r="Q40" s="40"/>
    </row>
    <row r="41" ht="22.5" customHeight="1">
      <c r="B41" s="40"/>
      <c r="C41" s="94"/>
      <c r="D41" s="36"/>
      <c r="E41" s="94"/>
      <c r="F41" s="94"/>
      <c r="G41" s="97"/>
      <c r="H41" s="97"/>
      <c r="I41" s="40"/>
      <c r="J41" s="38"/>
      <c r="K41" s="105"/>
      <c r="L41" s="40"/>
      <c r="M41" s="38"/>
      <c r="N41" s="40"/>
      <c r="O41" s="38"/>
      <c r="P41" s="38"/>
      <c r="Q41" s="40"/>
    </row>
    <row r="42" ht="22.5" customHeight="1">
      <c r="B42" s="40"/>
      <c r="C42" s="94"/>
      <c r="D42" s="36"/>
      <c r="E42" s="94"/>
      <c r="F42" s="94"/>
      <c r="G42" s="97"/>
      <c r="H42" s="97"/>
      <c r="I42" s="40"/>
      <c r="J42" s="38"/>
      <c r="K42" s="105"/>
      <c r="L42" s="40"/>
      <c r="M42" s="38"/>
      <c r="N42" s="40"/>
      <c r="O42" s="38"/>
      <c r="P42" s="38"/>
      <c r="Q42" s="40"/>
    </row>
    <row r="43" ht="22.5" customHeight="1">
      <c r="B43" s="40"/>
      <c r="C43" s="94"/>
      <c r="D43" s="36"/>
      <c r="E43" s="94"/>
      <c r="F43" s="94"/>
      <c r="G43" s="97"/>
      <c r="H43" s="97"/>
      <c r="I43" s="40"/>
      <c r="J43" s="38"/>
      <c r="K43" s="105"/>
      <c r="L43" s="40"/>
      <c r="M43" s="38"/>
      <c r="N43" s="40"/>
      <c r="O43" s="38"/>
      <c r="P43" s="38"/>
      <c r="Q43" s="40"/>
    </row>
    <row r="44" ht="22.5" customHeight="1">
      <c r="B44" s="40"/>
      <c r="C44" s="94"/>
      <c r="D44" s="36"/>
      <c r="E44" s="94"/>
      <c r="F44" s="94"/>
      <c r="G44" s="97"/>
      <c r="H44" s="97"/>
      <c r="I44" s="40"/>
      <c r="J44" s="38"/>
      <c r="K44" s="105"/>
      <c r="L44" s="40"/>
      <c r="M44" s="38"/>
      <c r="N44" s="40"/>
      <c r="O44" s="38"/>
      <c r="P44" s="38"/>
      <c r="Q44" s="40"/>
    </row>
    <row r="45" ht="22.5" customHeight="1">
      <c r="B45" s="40"/>
      <c r="C45" s="94"/>
      <c r="D45" s="36"/>
      <c r="E45" s="94"/>
      <c r="F45" s="94"/>
      <c r="G45" s="97"/>
      <c r="H45" s="97"/>
      <c r="I45" s="40"/>
      <c r="J45" s="38"/>
      <c r="K45" s="105"/>
      <c r="L45" s="40"/>
      <c r="M45" s="38"/>
      <c r="N45" s="40"/>
      <c r="O45" s="38"/>
      <c r="P45" s="38"/>
      <c r="Q45" s="40"/>
    </row>
    <row r="46" ht="22.5" customHeight="1">
      <c r="B46" s="40"/>
      <c r="C46" s="94"/>
      <c r="D46" s="36"/>
      <c r="E46" s="94"/>
      <c r="F46" s="94"/>
      <c r="G46" s="97"/>
      <c r="H46" s="97"/>
      <c r="I46" s="40"/>
      <c r="J46" s="38"/>
      <c r="K46" s="105"/>
      <c r="L46" s="40"/>
      <c r="M46" s="38"/>
      <c r="N46" s="40"/>
      <c r="O46" s="38"/>
      <c r="P46" s="38"/>
      <c r="Q46" s="40"/>
    </row>
    <row r="47" ht="22.5" customHeight="1">
      <c r="B47" s="40"/>
      <c r="C47" s="94"/>
      <c r="D47" s="36"/>
      <c r="E47" s="94"/>
      <c r="F47" s="94"/>
      <c r="G47" s="97"/>
      <c r="H47" s="97"/>
      <c r="I47" s="40"/>
      <c r="J47" s="38"/>
      <c r="K47" s="105"/>
      <c r="L47" s="40"/>
      <c r="M47" s="38"/>
      <c r="N47" s="40"/>
      <c r="O47" s="38"/>
      <c r="P47" s="38"/>
      <c r="Q47" s="40"/>
    </row>
    <row r="48" ht="22.5" customHeight="1">
      <c r="B48" s="40"/>
      <c r="C48" s="94"/>
      <c r="D48" s="36"/>
      <c r="E48" s="94"/>
      <c r="F48" s="94"/>
      <c r="G48" s="97"/>
      <c r="H48" s="97"/>
      <c r="I48" s="40"/>
      <c r="J48" s="38"/>
      <c r="K48" s="105"/>
      <c r="L48" s="40"/>
      <c r="M48" s="38"/>
      <c r="N48" s="40"/>
      <c r="O48" s="38"/>
      <c r="P48" s="38"/>
      <c r="Q48" s="40"/>
    </row>
    <row r="49" ht="22.5" customHeight="1">
      <c r="B49" s="40"/>
      <c r="C49" s="94"/>
      <c r="D49" s="36"/>
      <c r="E49" s="94"/>
      <c r="F49" s="94"/>
      <c r="G49" s="97"/>
      <c r="H49" s="97"/>
      <c r="I49" s="40"/>
      <c r="J49" s="38"/>
      <c r="K49" s="105"/>
      <c r="L49" s="40"/>
      <c r="M49" s="38"/>
      <c r="N49" s="40"/>
      <c r="O49" s="38"/>
      <c r="P49" s="38"/>
      <c r="Q49" s="40"/>
    </row>
    <row r="50" ht="22.5" customHeight="1">
      <c r="B50" s="40"/>
      <c r="C50" s="94"/>
      <c r="D50" s="36"/>
      <c r="E50" s="94"/>
      <c r="F50" s="94"/>
      <c r="G50" s="97"/>
      <c r="H50" s="97"/>
      <c r="I50" s="40"/>
      <c r="J50" s="38"/>
      <c r="K50" s="105"/>
      <c r="L50" s="40"/>
      <c r="M50" s="38"/>
      <c r="N50" s="40"/>
      <c r="O50" s="38"/>
      <c r="P50" s="38"/>
      <c r="Q50" s="40"/>
    </row>
    <row r="51" ht="22.5" customHeight="1">
      <c r="B51" s="40"/>
      <c r="C51" s="94"/>
      <c r="D51" s="36"/>
      <c r="E51" s="94"/>
      <c r="F51" s="94"/>
      <c r="G51" s="97"/>
      <c r="H51" s="97"/>
      <c r="I51" s="40"/>
      <c r="J51" s="38"/>
      <c r="K51" s="105"/>
      <c r="L51" s="40"/>
      <c r="M51" s="38"/>
      <c r="N51" s="40"/>
      <c r="O51" s="38"/>
      <c r="P51" s="38"/>
      <c r="Q51" s="40"/>
    </row>
    <row r="52" ht="22.5" customHeight="1">
      <c r="B52" s="40"/>
      <c r="C52" s="94"/>
      <c r="D52" s="36"/>
      <c r="E52" s="94"/>
      <c r="F52" s="94"/>
      <c r="G52" s="97"/>
      <c r="H52" s="97"/>
      <c r="I52" s="40"/>
      <c r="J52" s="38"/>
      <c r="K52" s="105"/>
      <c r="L52" s="40"/>
      <c r="M52" s="38"/>
      <c r="N52" s="40"/>
      <c r="O52" s="38"/>
      <c r="P52" s="38"/>
      <c r="Q52" s="40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