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" sheetId="1" r:id="rId5"/>
    <sheet state="visible" name="NAHOMI DIAZ" sheetId="2" r:id="rId6"/>
    <sheet state="visible" name="OMAR MINAYA" sheetId="3" r:id="rId7"/>
    <sheet state="visible" name="JHON ZAMORA" sheetId="4" r:id="rId8"/>
    <sheet state="visible" name="ANGIE SILVERA" sheetId="5" r:id="rId9"/>
    <sheet state="visible" name="LUIS CHUSE" sheetId="6" r:id="rId10"/>
    <sheet state="visible" name="NATHALIE ARANDA" sheetId="7" r:id="rId11"/>
    <sheet state="visible" name="JIMMY COLLAZOS" sheetId="8" r:id="rId12"/>
    <sheet state="visible" name="KENNY MORALES" sheetId="9" r:id="rId13"/>
    <sheet state="visible" name="WINNIE ESCALANTE" sheetId="10" r:id="rId14"/>
    <sheet state="visible" name="JOSE LUIS QUINTEROS" sheetId="11" r:id="rId15"/>
    <sheet state="visible" name="MARIELLA PAÑAHUA" sheetId="12" r:id="rId16"/>
    <sheet state="visible" name="ALEXANDRA GUZMAN" sheetId="13" r:id="rId17"/>
    <sheet state="visible" name="WENDY IPANEQUE" sheetId="14" r:id="rId18"/>
    <sheet state="visible" name="AMALIA QUINDE" sheetId="15" r:id="rId19"/>
    <sheet state="visible" name="THALIA SALOME" sheetId="16" r:id="rId20"/>
    <sheet state="visible" name="VIOLETA LLERENA" sheetId="17" r:id="rId21"/>
    <sheet state="visible" name="ARACELY VENTURA" sheetId="18" r:id="rId22"/>
    <sheet state="visible" name="MILUSKA LINARES" sheetId="19" r:id="rId23"/>
    <sheet state="visible" name="JOSUE CENTENO" sheetId="20" r:id="rId24"/>
  </sheets>
  <definedNames>
    <definedName hidden="1" localSheetId="0" name="_xlnm._FilterDatabase">CONSOLIDADO!$B$4:$M$22</definedName>
    <definedName hidden="1" localSheetId="3" name="_xlnm._FilterDatabase">'JHON ZAMORA'!$B$9:$Q$52</definedName>
    <definedName hidden="1" localSheetId="4" name="_xlnm._FilterDatabase">'ANGIE SILVERA'!$B$9:$Q$52</definedName>
    <definedName hidden="1" localSheetId="5" name="_xlnm._FilterDatabase">'LUIS CHUSE'!$B$9:$Q$52</definedName>
    <definedName hidden="1" localSheetId="6" name="_xlnm._FilterDatabase">'NATHALIE ARANDA'!$B$9:$Q$52</definedName>
    <definedName hidden="1" localSheetId="10" name="_xlnm._FilterDatabase">'JOSE LUIS QUINTEROS'!$B$9:$Q$52</definedName>
    <definedName hidden="1" localSheetId="13" name="_xlnm._FilterDatabase">'WENDY IPANEQUE'!$B$9:$Q$52</definedName>
  </definedNames>
  <calcPr/>
</workbook>
</file>

<file path=xl/sharedStrings.xml><?xml version="1.0" encoding="utf-8"?>
<sst xmlns="http://schemas.openxmlformats.org/spreadsheetml/2006/main" count="2913" uniqueCount="876">
  <si>
    <t>,</t>
  </si>
  <si>
    <t>Tablas de Gestión:</t>
  </si>
  <si>
    <t>SUPERVISOR</t>
  </si>
  <si>
    <t>ZONA</t>
  </si>
  <si>
    <t>TOTAL DESEMBOLSO</t>
  </si>
  <si>
    <t>Q DESEMBOLSO</t>
  </si>
  <si>
    <t>CHICLAYO</t>
  </si>
  <si>
    <t>EVALUACION BCP</t>
  </si>
  <si>
    <t>Meta</t>
  </si>
  <si>
    <t>PENDIENTE DE BACK</t>
  </si>
  <si>
    <t>PENDIENTE DE REMESA</t>
  </si>
  <si>
    <t>Desembolsado</t>
  </si>
  <si>
    <t>PENDIENTE DE DOCUMENTAR</t>
  </si>
  <si>
    <t>Avance</t>
  </si>
  <si>
    <t>META OBJETIVO</t>
  </si>
  <si>
    <t>AVANCE</t>
  </si>
  <si>
    <t>Pendiente De Documentar</t>
  </si>
  <si>
    <t>Pendiente De Remesa</t>
  </si>
  <si>
    <t>Pendiente De Backoffice</t>
  </si>
  <si>
    <t>Q EVALUACION BCP</t>
  </si>
  <si>
    <t>Evaluación BCP</t>
  </si>
  <si>
    <t>Obs Backoffice</t>
  </si>
  <si>
    <t>Q PENDIENTE DE BACK</t>
  </si>
  <si>
    <t>Obs BCP</t>
  </si>
  <si>
    <t>Rechazado</t>
  </si>
  <si>
    <t>JIMMY COLLAZOS</t>
  </si>
  <si>
    <t>S/.</t>
  </si>
  <si>
    <t>ALEXANDRA GUZMAN</t>
  </si>
  <si>
    <t>Q / %</t>
  </si>
  <si>
    <t>-</t>
  </si>
  <si>
    <t>AMALIA QUINDE</t>
  </si>
  <si>
    <t>PLAZA DE VENTA</t>
  </si>
  <si>
    <t>WENDY IPANAQUÉ</t>
  </si>
  <si>
    <t>FECHA DE ENVIO DE REMESA</t>
  </si>
  <si>
    <t>ESTADO DE REMESA</t>
  </si>
  <si>
    <t>FECHA DE INGRESO</t>
  </si>
  <si>
    <t>FECHA DE DESEMBOLSO</t>
  </si>
  <si>
    <t>DOCUMENTO</t>
  </si>
  <si>
    <t>NOMBRES Y APELLIDOS</t>
  </si>
  <si>
    <t>CONVENIO</t>
  </si>
  <si>
    <t>ESTADO</t>
  </si>
  <si>
    <t>MAF NETO</t>
  </si>
  <si>
    <t>EJECUTIVO</t>
  </si>
  <si>
    <t>ANGIE SILVERA</t>
  </si>
  <si>
    <t>FILE ENVIADO A BANCO</t>
  </si>
  <si>
    <t>FECHA DE ENVIÓ CARTA PODER A BCP</t>
  </si>
  <si>
    <t>COMPRA DE DEUDA REALIZADA</t>
  </si>
  <si>
    <t>LIBERACIÓN</t>
  </si>
  <si>
    <t>FEEDBACK</t>
  </si>
  <si>
    <t>Rechazada</t>
  </si>
  <si>
    <t>---------</t>
  </si>
  <si>
    <t>--------------------------</t>
  </si>
  <si>
    <t>46466484</t>
  </si>
  <si>
    <t>CLAUDIA CRISTINA MARRUFO DIAZ</t>
  </si>
  <si>
    <t>ESSALUD</t>
  </si>
  <si>
    <t xml:space="preserve">MILAGROS LIMO </t>
  </si>
  <si>
    <t>-------------</t>
  </si>
  <si>
    <t>KENNY MORALES</t>
  </si>
  <si>
    <t>Aprobada</t>
  </si>
  <si>
    <t>--------------</t>
  </si>
  <si>
    <t>--------</t>
  </si>
  <si>
    <t>INDICA NO TIENE LIQUIDEZ</t>
  </si>
  <si>
    <t>76476905</t>
  </si>
  <si>
    <t>JIMENEZ PICON DEYBY ORLEY</t>
  </si>
  <si>
    <t>PNP</t>
  </si>
  <si>
    <t>FLOR LLATAS</t>
  </si>
  <si>
    <t>LUIS CHUSE</t>
  </si>
  <si>
    <t>73858275</t>
  </si>
  <si>
    <t>REATEGUI PINEDO ROBER</t>
  </si>
  <si>
    <t xml:space="preserve">MARINA </t>
  </si>
  <si>
    <t>HENRY CARCAMO</t>
  </si>
  <si>
    <t>No</t>
  </si>
  <si>
    <t>45820431</t>
  </si>
  <si>
    <t>Si</t>
  </si>
  <si>
    <t>TINTAYA TINTAYA NETO</t>
  </si>
  <si>
    <t>.</t>
  </si>
  <si>
    <t xml:space="preserve">PNP </t>
  </si>
  <si>
    <t>MARIELLA PAÑAHUA</t>
  </si>
  <si>
    <t>AZUCENA BARBA</t>
  </si>
  <si>
    <t>75910205</t>
  </si>
  <si>
    <t>DESITIO</t>
  </si>
  <si>
    <t>ORTIZ SANCHEZ OSEPH  ALAIN</t>
  </si>
  <si>
    <t>73893219</t>
  </si>
  <si>
    <t>QUEA VASQUEZ KENVERLY YASMIRA</t>
  </si>
  <si>
    <t>YURIKO OSPINO</t>
  </si>
  <si>
    <t>WINNIE ESCALANTE</t>
  </si>
  <si>
    <t>LAMBAYEQUE</t>
  </si>
  <si>
    <t>21886400</t>
  </si>
  <si>
    <t>CHICO REYES PERCY JAVIER</t>
  </si>
  <si>
    <t>JOSE LUIS QUINTEROS</t>
  </si>
  <si>
    <t>LIMA</t>
  </si>
  <si>
    <t>48355262</t>
  </si>
  <si>
    <t>ASTONITAS GAMONAL YESSICA RAQUEL</t>
  </si>
  <si>
    <t>NATHALIE ARANDA</t>
  </si>
  <si>
    <t xml:space="preserve">EYLIN VELASCO </t>
  </si>
  <si>
    <t>76036410</t>
  </si>
  <si>
    <t>-----------</t>
  </si>
  <si>
    <t>CUSI VILLARROEL,JOAO CLIMACO</t>
  </si>
  <si>
    <t>74550302</t>
  </si>
  <si>
    <t xml:space="preserve">CAMPOS AGUILAR MAGALI </t>
  </si>
  <si>
    <t>GABRIELA VELASQUEZ</t>
  </si>
  <si>
    <t>FALTA 3RA CUOTA</t>
  </si>
  <si>
    <t>JHON ZAMORA</t>
  </si>
  <si>
    <t>,,,</t>
  </si>
  <si>
    <t>46929261</t>
  </si>
  <si>
    <t>LIVIAPOMA VALLES NEYLL</t>
  </si>
  <si>
    <t>70540043</t>
  </si>
  <si>
    <t>LAZO SANCHEZ GUSTAVO JESUS</t>
  </si>
  <si>
    <t>YURIKO  OSPINO</t>
  </si>
  <si>
    <t>EJERCITO</t>
  </si>
  <si>
    <t>OMAR MINAYA</t>
  </si>
  <si>
    <t>42180595</t>
  </si>
  <si>
    <t xml:space="preserve">MANAYAY CESPEDES DINO JOEL </t>
  </si>
  <si>
    <t>73598377</t>
  </si>
  <si>
    <t>URRUTIA SALINAS FRANKLIN EHDUARDO</t>
  </si>
  <si>
    <t>NAHOMI DIAZ</t>
  </si>
  <si>
    <t>76477136</t>
  </si>
  <si>
    <t>HUAMAN LAZO NIXON JHAN PIERRE</t>
  </si>
  <si>
    <t>VIOLETA LLERENA</t>
  </si>
  <si>
    <t>46556570</t>
  </si>
  <si>
    <t xml:space="preserve">FLORES CASTRO ELVER YOEL </t>
  </si>
  <si>
    <t>31/07/0226</t>
  </si>
  <si>
    <t>44660132</t>
  </si>
  <si>
    <t xml:space="preserve">CERDAN  ZARATE NORBERTO </t>
  </si>
  <si>
    <t>EP</t>
  </si>
  <si>
    <t>MILUSKA LINARES</t>
  </si>
  <si>
    <t>TRUJILLO</t>
  </si>
  <si>
    <t xml:space="preserve">SE MANDO NUEVA REMESA </t>
  </si>
  <si>
    <t>THALIA SALOME</t>
  </si>
  <si>
    <t>47395269</t>
  </si>
  <si>
    <t>HUANCAYO</t>
  </si>
  <si>
    <t>48410510</t>
  </si>
  <si>
    <t xml:space="preserve">DAVALOS PONGO ENRIQUE </t>
  </si>
  <si>
    <t>DELGADO SAMAME LUIS ALEXANDER</t>
  </si>
  <si>
    <t>45591401</t>
  </si>
  <si>
    <t>VILLANUEVA SANCHEZ ERIKA JULIANA</t>
  </si>
  <si>
    <t xml:space="preserve">FALTA LEVANTAR AN </t>
  </si>
  <si>
    <t>NO APRUEBAN AN AUN</t>
  </si>
  <si>
    <t>TOTAL</t>
  </si>
  <si>
    <t>76393921</t>
  </si>
  <si>
    <t>JAIME WILY RIVERA GUERRERO</t>
  </si>
  <si>
    <t>76176312</t>
  </si>
  <si>
    <t>CHECA TEJADA FRANKLYN ALEXIS</t>
  </si>
  <si>
    <t>72845496</t>
  </si>
  <si>
    <t>PLAZA</t>
  </si>
  <si>
    <t>TABOADA RIVERA CRISTHIAN ALFREDO</t>
  </si>
  <si>
    <t>---------------</t>
  </si>
  <si>
    <t>43538557</t>
  </si>
  <si>
    <t>SOLIS BENAVENTE LUIGY MONTARELY</t>
  </si>
  <si>
    <t>ANA FARRO</t>
  </si>
  <si>
    <t>----------------------------</t>
  </si>
  <si>
    <t>-----------------------------</t>
  </si>
  <si>
    <t>-----------------------</t>
  </si>
  <si>
    <t>--------------------</t>
  </si>
  <si>
    <t>NORTE</t>
  </si>
  <si>
    <t>70584256</t>
  </si>
  <si>
    <t>JOSE GABRIEL AGURTO PEREZ</t>
  </si>
  <si>
    <t>46548057</t>
  </si>
  <si>
    <t>VICTOR CIEZA LA MADRID</t>
  </si>
  <si>
    <t>CORDOVA BERMEO LEYTON</t>
  </si>
  <si>
    <t>46187625</t>
  </si>
  <si>
    <t>FLORES COCHACHI JESUS JAVIER</t>
  </si>
  <si>
    <t xml:space="preserve">SE MANDO FILE </t>
  </si>
  <si>
    <t>TARAPOTO</t>
  </si>
  <si>
    <t>46005010</t>
  </si>
  <si>
    <t>PALACIOS SUXO JOSE EDUARDO</t>
  </si>
  <si>
    <t>-------------------</t>
  </si>
  <si>
    <t>---------------------</t>
  </si>
  <si>
    <t>AYACUCHO</t>
  </si>
  <si>
    <t>44898565</t>
  </si>
  <si>
    <t>GUARDIA SANTI OSCAR GUSTAVO</t>
  </si>
  <si>
    <t>71081828</t>
  </si>
  <si>
    <t>AREQUIPA</t>
  </si>
  <si>
    <t>46367470</t>
  </si>
  <si>
    <t xml:space="preserve">JIMENEZ RUIZ,LUIS MAXIMO DNI </t>
  </si>
  <si>
    <t>DANIA ARACELY CRUZ ALARCON</t>
  </si>
  <si>
    <t>0.0</t>
  </si>
  <si>
    <t xml:space="preserve">PENDIENTE REMESA Y SE MANDO FILE </t>
  </si>
  <si>
    <t>47294911</t>
  </si>
  <si>
    <t>VILCA FLORES FREDY</t>
  </si>
  <si>
    <t>----------------------</t>
  </si>
  <si>
    <t>40580977</t>
  </si>
  <si>
    <t>DE LA CRUZ GRAJEDA ABRAHAM FELIX</t>
  </si>
  <si>
    <t>-----------------</t>
  </si>
  <si>
    <t>------------------</t>
  </si>
  <si>
    <t>71479939</t>
  </si>
  <si>
    <t xml:space="preserve">LILIBETH HERRERA RAMIREZ </t>
  </si>
  <si>
    <t>71776287</t>
  </si>
  <si>
    <t xml:space="preserve">MOGOLLON FLORES JORGE EDUARDO </t>
  </si>
  <si>
    <t>48113624</t>
  </si>
  <si>
    <t>ACOSTA CRUZADO FRANKLIN ABEL</t>
  </si>
  <si>
    <t>MEDALITH GALLARDO</t>
  </si>
  <si>
    <t>---------------------------</t>
  </si>
  <si>
    <t>SOBREGIRADA POR FACULTATIVOS</t>
  </si>
  <si>
    <t>-------------------------</t>
  </si>
  <si>
    <t xml:space="preserve">74390314 </t>
  </si>
  <si>
    <t>GUEVARA ANGELES WILLIAN ANTONY</t>
  </si>
  <si>
    <t>48232251</t>
  </si>
  <si>
    <t xml:space="preserve">CEVALLOS FLORES JAMES JACK </t>
  </si>
  <si>
    <t>73040397</t>
  </si>
  <si>
    <t>FLORES ORDOÑEZ FELIX JAVIER</t>
  </si>
  <si>
    <t>46392979</t>
  </si>
  <si>
    <t>PINTO ARAGON,NICK JEEANLOISE</t>
  </si>
  <si>
    <t>72622896</t>
  </si>
  <si>
    <t>PEREZ VILLALOBOS FRANKLIN JOSE</t>
  </si>
  <si>
    <t>NICOLASA RAMOS</t>
  </si>
  <si>
    <t>76962343</t>
  </si>
  <si>
    <t>ZEÑA SANTOS ANTONY CONCE</t>
  </si>
  <si>
    <t>46861513</t>
  </si>
  <si>
    <t xml:space="preserve">COBEÑAS EFFIO JULIO MANUEL </t>
  </si>
  <si>
    <t>46059493</t>
  </si>
  <si>
    <t>YNGA SANDOVAL,ERIKA MELISSA</t>
  </si>
  <si>
    <t>74769536</t>
  </si>
  <si>
    <t xml:space="preserve">OLAECHEA SALCEDO JOSEPH EDUARDO </t>
  </si>
  <si>
    <t>72931118</t>
  </si>
  <si>
    <t>FERNANDEZ CADENILLAS,ANDY JOSEPTH</t>
  </si>
  <si>
    <t>------------</t>
  </si>
  <si>
    <t>47626539</t>
  </si>
  <si>
    <t xml:space="preserve">HUAMAN PALACIOS ANALY GABRIELA </t>
  </si>
  <si>
    <t>73377048</t>
  </si>
  <si>
    <t>LLATAS RIMARACHIN JORGE LUIS</t>
  </si>
  <si>
    <t>----------------</t>
  </si>
  <si>
    <t>------------------------</t>
  </si>
  <si>
    <t>70446644</t>
  </si>
  <si>
    <t xml:space="preserve">CUTIMANGO VELASQUEZ ROEL ALEX </t>
  </si>
  <si>
    <t>KAROL MIÑAN</t>
  </si>
  <si>
    <t>71824277</t>
  </si>
  <si>
    <t>76287652</t>
  </si>
  <si>
    <t>URIARTE RENTERIA SOFIA STEFANY</t>
  </si>
  <si>
    <t xml:space="preserve">CALLIRGOS MIRES ELIAS ISAI </t>
  </si>
  <si>
    <t>75937974</t>
  </si>
  <si>
    <t>MARCO ANTONIO CALDERON ZAMBRANO</t>
  </si>
  <si>
    <t>EX CIP CADUCADO</t>
  </si>
  <si>
    <t>78551156</t>
  </si>
  <si>
    <t>42047411</t>
  </si>
  <si>
    <t xml:space="preserve">CARLOS SANDOVAL DENNYS FRANLEY </t>
  </si>
  <si>
    <t>EDGAR SMITH CUMPEN LARA</t>
  </si>
  <si>
    <t>70587217</t>
  </si>
  <si>
    <t>LIBERATO SANTIAGO JOSE ARMANDO</t>
  </si>
  <si>
    <t xml:space="preserve">ESPERANDO DESISTIMINTO </t>
  </si>
  <si>
    <t>73630681</t>
  </si>
  <si>
    <t>HIDALGO GOMEZ WIMER ARTURO</t>
  </si>
  <si>
    <t xml:space="preserve">DESEMBOLSO EN INTERBANK </t>
  </si>
  <si>
    <t>40083839</t>
  </si>
  <si>
    <t>CARBAJAL CECILIO WILMER GIOVANNI</t>
  </si>
  <si>
    <t>MGP</t>
  </si>
  <si>
    <t>AURELIA FERNANDEZ</t>
  </si>
  <si>
    <t>Enviada</t>
  </si>
  <si>
    <t>47969819</t>
  </si>
  <si>
    <t>ROJAS GUEVARA SHYMY YONATAN</t>
  </si>
  <si>
    <t>40956932</t>
  </si>
  <si>
    <t>OLIVA ATUNCAR ROSMERY</t>
  </si>
  <si>
    <t>DIRIS ESTE</t>
  </si>
  <si>
    <t>48935859</t>
  </si>
  <si>
    <t>73235180</t>
  </si>
  <si>
    <t>ENCARNACION GALLARDO FABIAN JESUS</t>
  </si>
  <si>
    <t>DINAMAQUE TOCTO JHAN JHORDIN</t>
  </si>
  <si>
    <t>71199201</t>
  </si>
  <si>
    <t>NAVARRO VELA AUREA ALEXANDRA NICOLE</t>
  </si>
  <si>
    <t>73052181</t>
  </si>
  <si>
    <t>GOÑE GARAY MISHELL TEYLITH</t>
  </si>
  <si>
    <t>10172325</t>
  </si>
  <si>
    <t>ARMAS MORALES ELIZABETH MARIA</t>
  </si>
  <si>
    <t>43432467</t>
  </si>
  <si>
    <t>AYME SALCEDO CESAR FREDDY</t>
  </si>
  <si>
    <t>FAP</t>
  </si>
  <si>
    <t>44587494</t>
  </si>
  <si>
    <t>MORALES LOPEZ EBER</t>
  </si>
  <si>
    <t>MARIA LLONTOP</t>
  </si>
  <si>
    <t>47754160</t>
  </si>
  <si>
    <t>TANANTA PAIMA LEVI</t>
  </si>
  <si>
    <t>77060050</t>
  </si>
  <si>
    <t>LOPEZ MARCOS BRAYAN ANTONIO</t>
  </si>
  <si>
    <t>45726757</t>
  </si>
  <si>
    <t>ANDRADE MACHACA JEAN PAUL</t>
  </si>
  <si>
    <t>JUAN CORDOVA</t>
  </si>
  <si>
    <t>71605767</t>
  </si>
  <si>
    <t>TIRADO SILVA MILTON LENIN</t>
  </si>
  <si>
    <t>44666926</t>
  </si>
  <si>
    <t>DIAZ AVALOS LUZ EDITH</t>
  </si>
  <si>
    <t>44696261</t>
  </si>
  <si>
    <t>CABRERA ESPINOZA DIESEL NUEL</t>
  </si>
  <si>
    <t>45139936</t>
  </si>
  <si>
    <t>BETETA RUBIO SEGUNDO CONSTANTINO</t>
  </si>
  <si>
    <t>70751258</t>
  </si>
  <si>
    <t>SANCHEZ RUIZ HANS PETER</t>
  </si>
  <si>
    <t>73582028</t>
  </si>
  <si>
    <t>ARRESE PEREZ ANDERSON ANTONY</t>
  </si>
  <si>
    <t>CARTERA TRANSFERIDA</t>
  </si>
  <si>
    <t>76287655</t>
  </si>
  <si>
    <t>SOPLAPUCO SOPLAPUCO LUIGUI ANTONY</t>
  </si>
  <si>
    <t>73489404</t>
  </si>
  <si>
    <t>BARRERA LOPEZ LUCAS</t>
  </si>
  <si>
    <t>74384926</t>
  </si>
  <si>
    <t>ALARCON VASQUEZ HECTOR HUGO</t>
  </si>
  <si>
    <t xml:space="preserve">BOLETA AGOSTO </t>
  </si>
  <si>
    <t>40354668</t>
  </si>
  <si>
    <t>SANCHEZ BARRERA MERCEDES JANET</t>
  </si>
  <si>
    <t>76294410</t>
  </si>
  <si>
    <t>MORALES LUIS KAREN JACKELIN</t>
  </si>
  <si>
    <t>75334296</t>
  </si>
  <si>
    <t>YARIHUAMAN REATEGUI JESUS ALBERTO</t>
  </si>
  <si>
    <t>73109555</t>
  </si>
  <si>
    <t>FARRO CASTILLO LUIS ENRIQUE</t>
  </si>
  <si>
    <t>JUDITH FARRO</t>
  </si>
  <si>
    <t>IQUITOS</t>
  </si>
  <si>
    <t>75370617</t>
  </si>
  <si>
    <t>MERCADO GONZALES JORGE EDUARDO</t>
  </si>
  <si>
    <t>46146763</t>
  </si>
  <si>
    <t>VERGARA HUALLPAROMACHI AMILCAR</t>
  </si>
  <si>
    <t xml:space="preserve">SIGUE APARECIENDO COMO BCP Y LO EXTORNARON </t>
  </si>
  <si>
    <t>77217734</t>
  </si>
  <si>
    <t>PITTMAN PADILLA SHARON HELEN</t>
  </si>
  <si>
    <t>73512709</t>
  </si>
  <si>
    <t>YESICA HEREDIA</t>
  </si>
  <si>
    <t>QUISPE FLORES CHARLES ALBIN LENIN</t>
  </si>
  <si>
    <t>73772658</t>
  </si>
  <si>
    <t>FLORES CORONADO JHOSSELYN ANGELA</t>
  </si>
  <si>
    <t>48242327</t>
  </si>
  <si>
    <t>RIOJA DE LA CRUZ YIMIN DEYVI</t>
  </si>
  <si>
    <t>NO ALCANZA MONTO CD</t>
  </si>
  <si>
    <t>72436908</t>
  </si>
  <si>
    <t>PONCE ABANTO LICETH</t>
  </si>
  <si>
    <t>NAZCA</t>
  </si>
  <si>
    <t>CARLOS ESPINOZA</t>
  </si>
  <si>
    <t>SI</t>
  </si>
  <si>
    <t>72163611</t>
  </si>
  <si>
    <t>LEON CARDENAS LUIS ALBERTO</t>
  </si>
  <si>
    <t>76280744</t>
  </si>
  <si>
    <t>MONTALVAN JIMENEZ FRAY CESAR</t>
  </si>
  <si>
    <t>AGOSTO</t>
  </si>
  <si>
    <t>74710347</t>
  </si>
  <si>
    <t>FALTA UNA CUOTA</t>
  </si>
  <si>
    <t>DIOS SALVATIERRA FABRIZZIO PIERO</t>
  </si>
  <si>
    <t>MERLY ROJAS</t>
  </si>
  <si>
    <t>45901937</t>
  </si>
  <si>
    <t>NO</t>
  </si>
  <si>
    <t>LEVANO PATIÑO PAMELA LOURDES</t>
  </si>
  <si>
    <t>73537833</t>
  </si>
  <si>
    <t>TARRILLO REGALADO FRANKLIN DELEMNER</t>
  </si>
  <si>
    <t>44767826</t>
  </si>
  <si>
    <t>EXCEPCION CIP</t>
  </si>
  <si>
    <t>POMA CUEVAS HELEN DIANA</t>
  </si>
  <si>
    <t>KELLY SARMIENTO</t>
  </si>
  <si>
    <t>72510806</t>
  </si>
  <si>
    <t>PEÑA GARCIA YEFERSON JUAN</t>
  </si>
  <si>
    <t>47046936</t>
  </si>
  <si>
    <t>JIMENEZ LOPEZ WILLIAM FERNANDO</t>
  </si>
  <si>
    <t>77505087</t>
  </si>
  <si>
    <t>PAREDES TICONA ANTONY FRANK</t>
  </si>
  <si>
    <t>BOLETA JULIO</t>
  </si>
  <si>
    <t>PUCALLPA</t>
  </si>
  <si>
    <t>43255959</t>
  </si>
  <si>
    <t>PIÑA HUARATAPAIRO LIMBER ERNESTO</t>
  </si>
  <si>
    <t>45709668</t>
  </si>
  <si>
    <t>ALARCON MENOR MARIA YOHANA</t>
  </si>
  <si>
    <t>45848403</t>
  </si>
  <si>
    <t>JABO VARGAS   YOHEL ROMULO</t>
  </si>
  <si>
    <t>MELINA LEYVA</t>
  </si>
  <si>
    <t>46931645</t>
  </si>
  <si>
    <t>73018920</t>
  </si>
  <si>
    <t>VARGAS VILDOSOLA MARCO ANTONIO</t>
  </si>
  <si>
    <t>GALLO SOTO,LEONARDO MIGUEL</t>
  </si>
  <si>
    <t>CAYO SBS</t>
  </si>
  <si>
    <t>43327891</t>
  </si>
  <si>
    <t>MORALES GARCIA   DENISE IVONNE</t>
  </si>
  <si>
    <t>JOSSEF PFARE</t>
  </si>
  <si>
    <t>75066361</t>
  </si>
  <si>
    <t>DE LA CRUZ NAVARRETE ANGEL FARY</t>
  </si>
  <si>
    <t>48080672</t>
  </si>
  <si>
    <t>10370662</t>
  </si>
  <si>
    <t>LIMA QUENTA JUNNIOR MODESTO</t>
  </si>
  <si>
    <t>QUISPE APAZA GREGORIA</t>
  </si>
  <si>
    <t>DIRIS NORTE</t>
  </si>
  <si>
    <t>73948286</t>
  </si>
  <si>
    <t>BRENDA ELIZABETH CALVA VENDIVES</t>
  </si>
  <si>
    <t>47717416</t>
  </si>
  <si>
    <t>QUISPE ZUÑIGA   RICARDO DAVID</t>
  </si>
  <si>
    <t xml:space="preserve">JUDITH FARRO </t>
  </si>
  <si>
    <t>LUIS MENDOZA</t>
  </si>
  <si>
    <t>73967054</t>
  </si>
  <si>
    <t>ESPINOLA ORTIZ JUAN CARLOS</t>
  </si>
  <si>
    <t>09835595</t>
  </si>
  <si>
    <t xml:space="preserve">LUJAN FLORES CESAR MARTIN </t>
  </si>
  <si>
    <t>75089904</t>
  </si>
  <si>
    <t>LEYDI MENDOZA</t>
  </si>
  <si>
    <t>CHAPOÑAN SANTAMARIA JOSE MANUEL</t>
  </si>
  <si>
    <t>PIERO LOPEZ</t>
  </si>
  <si>
    <t>41979193</t>
  </si>
  <si>
    <t>72448444</t>
  </si>
  <si>
    <t>JULCA MACAYO LUIS ALBERTO</t>
  </si>
  <si>
    <t>PALACIOS DURAND DENNIS MARLON</t>
  </si>
  <si>
    <t>43972284</t>
  </si>
  <si>
    <t>ADOLFO DELGADO PACHAS</t>
  </si>
  <si>
    <t>72401402</t>
  </si>
  <si>
    <t>PORTOCARRERO ROCHA KEVIN FERNANDO</t>
  </si>
  <si>
    <t>73437500</t>
  </si>
  <si>
    <t>ISIDRO CAYCO GABRIEL LEVY</t>
  </si>
  <si>
    <t>77297247</t>
  </si>
  <si>
    <t>ALMEYDA VICERREL CARLOS EDUARDO</t>
  </si>
  <si>
    <t>47085199</t>
  </si>
  <si>
    <t>VILCHEZ MARAVI YAN CARLOS</t>
  </si>
  <si>
    <t>75657739</t>
  </si>
  <si>
    <t>ZEVALLOS   ESPINOZA FRANK PIERRY</t>
  </si>
  <si>
    <t>45840620</t>
  </si>
  <si>
    <t>ALVAREZ GARCIA JAMES ANTONY</t>
  </si>
  <si>
    <t>72804826</t>
  </si>
  <si>
    <t>CHICO PALOMINO KEVIN JOEL</t>
  </si>
  <si>
    <t>75620314</t>
  </si>
  <si>
    <t>MARTINEZ ARELLANO, JOSEPH JOSE</t>
  </si>
  <si>
    <t>74150135</t>
  </si>
  <si>
    <t>FERRER BENITES SERGIO SEBASTIAN</t>
  </si>
  <si>
    <t xml:space="preserve">EJERCITO </t>
  </si>
  <si>
    <t>75591436</t>
  </si>
  <si>
    <t>MORALES  HERNANDEZ JOSE HUZLER</t>
  </si>
  <si>
    <t>BAGUA GRANDE</t>
  </si>
  <si>
    <t>43261552</t>
  </si>
  <si>
    <t xml:space="preserve">75468583 </t>
  </si>
  <si>
    <t>REJAS VELASCO EVELYN MARGOT</t>
  </si>
  <si>
    <t>DIAZ TERRONES KEVIN ALEXIS</t>
  </si>
  <si>
    <t>76964997</t>
  </si>
  <si>
    <t>PERALTA SIERRA SAMIR</t>
  </si>
  <si>
    <t>74039211</t>
  </si>
  <si>
    <t>JIMENEZ CURI HECTOR FELIPE</t>
  </si>
  <si>
    <t>71831343</t>
  </si>
  <si>
    <t>ESPINOZA HERRERA MICHAEL</t>
  </si>
  <si>
    <t>09634560</t>
  </si>
  <si>
    <t>JARA LEYVA   HILDA GLADYS</t>
  </si>
  <si>
    <t>74300399</t>
  </si>
  <si>
    <t>AGUILAR BERECHE YORDAN ISMAEL</t>
  </si>
  <si>
    <t>47510821</t>
  </si>
  <si>
    <t>MORE CARRION CLEIFER BENITO</t>
  </si>
  <si>
    <t>74709400</t>
  </si>
  <si>
    <t>ARIAS ALFARO ALBERTO PAOLO</t>
  </si>
  <si>
    <t>44198597</t>
  </si>
  <si>
    <t>ESPINOZA NICOLAS SEGUNDO JESUS</t>
  </si>
  <si>
    <t>76038684</t>
  </si>
  <si>
    <t xml:space="preserve">WILMER CHAHUA CASIMIRO </t>
  </si>
  <si>
    <t>URSULA LOPEZ</t>
  </si>
  <si>
    <t>ENVIADO</t>
  </si>
  <si>
    <t>74442697</t>
  </si>
  <si>
    <t>PRADO SERVA   RODRIGO ALEXANDER</t>
  </si>
  <si>
    <t>75372222</t>
  </si>
  <si>
    <t>PEÑA OVIEDO GIAN PAULO</t>
  </si>
  <si>
    <t>HUACHO</t>
  </si>
  <si>
    <t>74418106</t>
  </si>
  <si>
    <t xml:space="preserve">JHORDAN CULLAMPE POQUIOMA </t>
  </si>
  <si>
    <t>31169449</t>
  </si>
  <si>
    <t>GUIZADO MOSCOSO JANE</t>
  </si>
  <si>
    <t>EVELYN GUTIERREZ</t>
  </si>
  <si>
    <t>73936820</t>
  </si>
  <si>
    <t>CABALLERO ARAUJO MARTHA ELENA</t>
  </si>
  <si>
    <t>40512381</t>
  </si>
  <si>
    <t>PAREDES LUJAN EDUARDO SIMON</t>
  </si>
  <si>
    <t>44727770</t>
  </si>
  <si>
    <t>ARTURO GIL BASTIDAS LAZO</t>
  </si>
  <si>
    <t>PENDIENTE</t>
  </si>
  <si>
    <t>75420930</t>
  </si>
  <si>
    <t>CALLE DAVILA POOL JUNIOR ARGENIS</t>
  </si>
  <si>
    <t>46773429</t>
  </si>
  <si>
    <t>RAMOS ROBLES EDWARDS KEYLER</t>
  </si>
  <si>
    <t>73383138</t>
  </si>
  <si>
    <t xml:space="preserve">BYRON OSWALDO RUBIO VEGAS </t>
  </si>
  <si>
    <t>MALA</t>
  </si>
  <si>
    <t>44908222</t>
  </si>
  <si>
    <t>VALDIVIA SALVADOR LORENA ISABEL</t>
  </si>
  <si>
    <t>ENVIADO 31/07</t>
  </si>
  <si>
    <t>74697789</t>
  </si>
  <si>
    <t>YALLE CHAVEZ ROBINSON ALEXIS</t>
  </si>
  <si>
    <t>77070960</t>
  </si>
  <si>
    <t>OLANO GONZALES ANTONI</t>
  </si>
  <si>
    <t>43292897</t>
  </si>
  <si>
    <t xml:space="preserve">MIGUEL ANGEL CORONADO NAVARRO </t>
  </si>
  <si>
    <t>40893802</t>
  </si>
  <si>
    <t>PAMPA PARISACA LEONCIO WALTER</t>
  </si>
  <si>
    <t>72952758</t>
  </si>
  <si>
    <t>YHON WASHINGTON QUISPE CAHUASCANCO</t>
  </si>
  <si>
    <t>74763004</t>
  </si>
  <si>
    <t>QUISPE AYALA   JOSE RAIVER</t>
  </si>
  <si>
    <t>71666083</t>
  </si>
  <si>
    <t>CRISTIAN NILO MAS TORRES</t>
  </si>
  <si>
    <t>ALCIDES FERNANDEZ PERALTA</t>
  </si>
  <si>
    <t>71265965</t>
  </si>
  <si>
    <t>71765892</t>
  </si>
  <si>
    <t>ALEXIS RAUL VELASQUEZ HERNANDEZ</t>
  </si>
  <si>
    <t>GRANADOS GUEVARA GABRIEL JESUS</t>
  </si>
  <si>
    <t>JACKELINE PAREDES</t>
  </si>
  <si>
    <t>42569355</t>
  </si>
  <si>
    <t>CORDOVA GUZMAN   KATIUZCA</t>
  </si>
  <si>
    <t>41252243</t>
  </si>
  <si>
    <t>PAOLA LILIANA PAREDES MACEDO</t>
  </si>
  <si>
    <t>72951201</t>
  </si>
  <si>
    <t>JOSUE ANDERSON NIETO PISCONTE</t>
  </si>
  <si>
    <t>75902509</t>
  </si>
  <si>
    <t>VASQUEZ VEGA   MIGUEL ANGEL</t>
  </si>
  <si>
    <t>76432673</t>
  </si>
  <si>
    <t xml:space="preserve"> QUIÑONES RAMIREZ CHRISTIAN PAOLO</t>
  </si>
  <si>
    <t>43803097</t>
  </si>
  <si>
    <t>ELVIS ACOSTA BARBARAN</t>
  </si>
  <si>
    <t>CARLOS NICOLAS MACEDO HUMEREZ</t>
  </si>
  <si>
    <t>72642797</t>
  </si>
  <si>
    <t>CARBONEL DAVILA ADOLFO JORDAN</t>
  </si>
  <si>
    <t>CLIENTE CON 02 CUOTAS DESCONTADAS, ESPERAR AGOSTO 2026</t>
  </si>
  <si>
    <t>72627235</t>
  </si>
  <si>
    <t>CARLOS ALBERTO SALINAS PAIMA</t>
  </si>
  <si>
    <t>41868367</t>
  </si>
  <si>
    <t>CORZO FLORES MIGUEL ANGEL</t>
  </si>
  <si>
    <t>71754785</t>
  </si>
  <si>
    <t xml:space="preserve">GONZALES OJEDA JARO </t>
  </si>
  <si>
    <t>72213184</t>
  </si>
  <si>
    <t>MORI MIRABAL CESAR ALEXIS</t>
  </si>
  <si>
    <t>47023361</t>
  </si>
  <si>
    <t xml:space="preserve">QUISPE VENANCINO CELIA ESTEFANY </t>
  </si>
  <si>
    <t>71831726</t>
  </si>
  <si>
    <t>PINEDO GUERRA GIAN CARLOS</t>
  </si>
  <si>
    <t>45026737</t>
  </si>
  <si>
    <t>SALAZAR PONCE LILIANA</t>
  </si>
  <si>
    <t>DIRIS LIMA NORTE</t>
  </si>
  <si>
    <t>76558570</t>
  </si>
  <si>
    <t>CORREA COTRINA ERIKA YESENIA</t>
  </si>
  <si>
    <t>71442201</t>
  </si>
  <si>
    <t>ROMAN DOBLADILLO JERY</t>
  </si>
  <si>
    <t>71559808</t>
  </si>
  <si>
    <t>SABOYA LOPEZ VICTOR</t>
  </si>
  <si>
    <t>74398403</t>
  </si>
  <si>
    <t xml:space="preserve">CHAVEZ HUAMAN   DELSIN </t>
  </si>
  <si>
    <t>10617842</t>
  </si>
  <si>
    <t>BARRIENTOS LAGOS VICTOR ALEJANDRO</t>
  </si>
  <si>
    <t>73883997</t>
  </si>
  <si>
    <t>OBLITAS FERNANDEZ CRISTIAN</t>
  </si>
  <si>
    <t>PARA SIGUIENTE MES</t>
  </si>
  <si>
    <t>21559718</t>
  </si>
  <si>
    <t>ALMEIDA DONAIRE ROBERTO SANTIAGO</t>
  </si>
  <si>
    <t>42667685</t>
  </si>
  <si>
    <t>BARCO CHACHAPOYAS GUIDO GUILLERMO</t>
  </si>
  <si>
    <t>71886363</t>
  </si>
  <si>
    <t>BARRIGA PACHECO   KEVIN RAFAEL</t>
  </si>
  <si>
    <t>71919146</t>
  </si>
  <si>
    <t>DANGLES GARCIA WILLY</t>
  </si>
  <si>
    <t>73439812</t>
  </si>
  <si>
    <t>ACUÑA LEON JHON ALEKSANOR</t>
  </si>
  <si>
    <t>SILVIA CASTAÑEDA</t>
  </si>
  <si>
    <t>46212.0</t>
  </si>
  <si>
    <t>72217881</t>
  </si>
  <si>
    <t>HILARIO DIAZ DARWIN ALBERTO</t>
  </si>
  <si>
    <t>SALLY SAAVEDRA</t>
  </si>
  <si>
    <t>43923529</t>
  </si>
  <si>
    <t>DAMIAN QUITO JOSH BECKER</t>
  </si>
  <si>
    <t>0-07-2026</t>
  </si>
  <si>
    <t xml:space="preserve"> 71541694</t>
  </si>
  <si>
    <t xml:space="preserve"> GARCIA TRUJILLO EBERTH </t>
  </si>
  <si>
    <t xml:space="preserve">MILY FERNANDEZ  </t>
  </si>
  <si>
    <t>10721455</t>
  </si>
  <si>
    <t>PINCHI MORI ELENCIT</t>
  </si>
  <si>
    <t>75523889</t>
  </si>
  <si>
    <t xml:space="preserve">YUPANQUI ESTRADA,JEANCARLOS RAFAEL </t>
  </si>
  <si>
    <t>LEIDY EGOAVIL</t>
  </si>
  <si>
    <t>42368559</t>
  </si>
  <si>
    <t>DIAZ FIGUEROA RONALD MILTON</t>
  </si>
  <si>
    <t>SANDRO AVALOS</t>
  </si>
  <si>
    <t>TIENE REFINANCIAMIENTO CON ALFIN, ATENDER PROXIMO MES, PAGARA DEUDA</t>
  </si>
  <si>
    <t>76420743</t>
  </si>
  <si>
    <t xml:space="preserve"> CUBAS RAMIREZ,BELERMINA </t>
  </si>
  <si>
    <t xml:space="preserve">ELIZABETH ESQUIVEL </t>
  </si>
  <si>
    <t>75227807</t>
  </si>
  <si>
    <t>DE LA CRUZ PALOMINO JULIO DAVID FELICIANO</t>
  </si>
  <si>
    <t>76588636</t>
  </si>
  <si>
    <t>PERALTA GOMEZ,JOSE GRIMALDO</t>
  </si>
  <si>
    <t xml:space="preserve">MILY FERNANDEZ </t>
  </si>
  <si>
    <t>09956180</t>
  </si>
  <si>
    <t xml:space="preserve">REYES INFANTE ADALBERTO LIZARDO 
</t>
  </si>
  <si>
    <t>06646480</t>
  </si>
  <si>
    <t xml:space="preserve">DIRIS </t>
  </si>
  <si>
    <t>ROSAS MENDOZA CARMEN AMALIA</t>
  </si>
  <si>
    <t>PAOLA REYES</t>
  </si>
  <si>
    <t>46575092</t>
  </si>
  <si>
    <t>SUSANIBAR RIVERA LUIS DONAIRE</t>
  </si>
  <si>
    <t xml:space="preserve">ESSALUD </t>
  </si>
  <si>
    <t>10449742</t>
  </si>
  <si>
    <t>PACHECO SOLSOL LOURDES ALICIA</t>
  </si>
  <si>
    <t>48008941</t>
  </si>
  <si>
    <t xml:space="preserve">SANCHEZ ORE DAVID  </t>
  </si>
  <si>
    <t xml:space="preserve">EP </t>
  </si>
  <si>
    <t>42062037</t>
  </si>
  <si>
    <t>ARI MAMANI MAGALY MARIA</t>
  </si>
  <si>
    <t>70171724</t>
  </si>
  <si>
    <t>LAURA DAMIANO,YAQUELIN</t>
  </si>
  <si>
    <t xml:space="preserve">MARIELA JURADO </t>
  </si>
  <si>
    <t>72724697</t>
  </si>
  <si>
    <t xml:space="preserve"> ZAVALA ILLATOPA,LUIGI PAOLO </t>
  </si>
  <si>
    <t xml:space="preserve">PIO FERREYRA </t>
  </si>
  <si>
    <t>10612262</t>
  </si>
  <si>
    <t>GUTIERREZ LOPEZ MARILU</t>
  </si>
  <si>
    <t xml:space="preserve">70421309 </t>
  </si>
  <si>
    <t xml:space="preserve">CCARHUAYPIÑA PARIONA ERIC ELIAL </t>
  </si>
  <si>
    <t>44470924</t>
  </si>
  <si>
    <t>VIRRUETA CUBA JHONATAN JESUS</t>
  </si>
  <si>
    <t>74124929</t>
  </si>
  <si>
    <t xml:space="preserve">ROJAS HIDALGO,NILTHON ANDRE </t>
  </si>
  <si>
    <t>JENNY CARRANZA</t>
  </si>
  <si>
    <t>74500582</t>
  </si>
  <si>
    <t>CRIOLLO CORNEJO,KLIVER JEFFERSON</t>
  </si>
  <si>
    <t xml:space="preserve">CARLA CORNEJO </t>
  </si>
  <si>
    <t>09645876</t>
  </si>
  <si>
    <t>FERNANDEZ CAMARGO SABY MARGARITA</t>
  </si>
  <si>
    <t>74349550</t>
  </si>
  <si>
    <t>OSORES HUAMAN,ANTHONY CLAUDIO</t>
  </si>
  <si>
    <t>CAJAMARCA</t>
  </si>
  <si>
    <t>09859053</t>
  </si>
  <si>
    <t>MORENO DIAZ FIDEL HJALMAR</t>
  </si>
  <si>
    <t>MIN. VIVIENDA</t>
  </si>
  <si>
    <t>44254146</t>
  </si>
  <si>
    <t>MENDOZA MAZA EDWIN FABIAN</t>
  </si>
  <si>
    <t>PENDIENTE DE FIRMAR EN AGENCIA CAJAMARCA</t>
  </si>
  <si>
    <t>HUANUCO</t>
  </si>
  <si>
    <t>42633545</t>
  </si>
  <si>
    <t>70996559</t>
  </si>
  <si>
    <t>CRUZADO VASQUEZ MIRELLA KATHERINE</t>
  </si>
  <si>
    <t>LOPEZ VILLACREZ LINDER</t>
  </si>
  <si>
    <t>PENDIENTE POR FIRMAR</t>
  </si>
  <si>
    <t>PUCALPA</t>
  </si>
  <si>
    <t>70369756</t>
  </si>
  <si>
    <t>LINARES CORAL,JOEL ALEJANDRO</t>
  </si>
  <si>
    <t>73099958</t>
  </si>
  <si>
    <t>DEL AGUILA PEREZ LUIS ABERTO</t>
  </si>
  <si>
    <t>40871205</t>
  </si>
  <si>
    <t>VALVERDE GUZMAN KARINA DEL ROSARIO</t>
  </si>
  <si>
    <t xml:space="preserve">DIRIS ESTE </t>
  </si>
  <si>
    <t>10162067</t>
  </si>
  <si>
    <t>CAMARGO SANTOS LENIN LUIS</t>
  </si>
  <si>
    <t>DIRIS CENTRO</t>
  </si>
  <si>
    <t>72656979</t>
  </si>
  <si>
    <t>CHUI  CUSIRRAMOS JESSICA</t>
  </si>
  <si>
    <t>PARA AGOSTO</t>
  </si>
  <si>
    <t>77078116</t>
  </si>
  <si>
    <t>ADRIANZEN TIMANA OMAR PAUL</t>
  </si>
  <si>
    <t>ROXANA FERNANDEZ</t>
  </si>
  <si>
    <t>76573723</t>
  </si>
  <si>
    <t>QUISPE JIMENEZ,JHON ESMIHT</t>
  </si>
  <si>
    <t>liMA</t>
  </si>
  <si>
    <t>45681128</t>
  </si>
  <si>
    <t>REYNA VALDEZ MILAGRO RUSBELY</t>
  </si>
  <si>
    <t>46286134</t>
  </si>
  <si>
    <t>GUTARRA LORENZO MERCEDES VERENISSE</t>
  </si>
  <si>
    <t>DIRIS LIMA ESTE</t>
  </si>
  <si>
    <t>76165170</t>
  </si>
  <si>
    <t>VILCA JESUS,JHON MELDER</t>
  </si>
  <si>
    <t>70051656</t>
  </si>
  <si>
    <t>FLORES TICONA,RUDY ANDERSON</t>
  </si>
  <si>
    <t>47078939</t>
  </si>
  <si>
    <t>ALVAREZ PRINCIPE,FIORELLA LILIANA</t>
  </si>
  <si>
    <t>76775498</t>
  </si>
  <si>
    <t>DAMIAN SANTAMARIA,JEAN CARLOS</t>
  </si>
  <si>
    <t>46691045</t>
  </si>
  <si>
    <t>ALVAREZ CABRERA FELIX SANTIAGO</t>
  </si>
  <si>
    <t>48297343</t>
  </si>
  <si>
    <t xml:space="preserve">HUAMANI QUISPE JHON </t>
  </si>
  <si>
    <t>45297463</t>
  </si>
  <si>
    <t>QUIROZ HUAYANAY,JOSE ANTONIO</t>
  </si>
  <si>
    <t>75479265</t>
  </si>
  <si>
    <t>70189246</t>
  </si>
  <si>
    <t>CONDORI OLIVERA JORGE LUIS</t>
  </si>
  <si>
    <t xml:space="preserve">MGP </t>
  </si>
  <si>
    <t>40774701</t>
  </si>
  <si>
    <t>LLANOS OYOLA JOSE ANTONIO</t>
  </si>
  <si>
    <t>RENIEC</t>
  </si>
  <si>
    <t>73348040</t>
  </si>
  <si>
    <t>VASQUEZ HOYOS,VIDAL</t>
  </si>
  <si>
    <t>75519458</t>
  </si>
  <si>
    <t>SALOME POMA JOSHELYN YESDELY</t>
  </si>
  <si>
    <t>76283476</t>
  </si>
  <si>
    <t>OSCO CONDORI MARYORIE LIZBETH</t>
  </si>
  <si>
    <t>74210925</t>
  </si>
  <si>
    <t>VALDIVIA PACHECO CHRISTOPHER LUIS</t>
  </si>
  <si>
    <t>45909185</t>
  </si>
  <si>
    <t xml:space="preserve">RAMOS NECIOSUP LILIANA </t>
  </si>
  <si>
    <t>70868475</t>
  </si>
  <si>
    <t>CALDERON URBIZAGASTEGUI JOE MATEUS</t>
  </si>
  <si>
    <t>76977299</t>
  </si>
  <si>
    <t>AGUAYO VILELA,ALLINTON ELVER</t>
  </si>
  <si>
    <t>70912308</t>
  </si>
  <si>
    <t>CRESPO MOZOMBITE,LUPITA</t>
  </si>
  <si>
    <t>LUIS ALBETO SAAVEDRA MORALES</t>
  </si>
  <si>
    <t>42353895</t>
  </si>
  <si>
    <t>sebastina quinteros</t>
  </si>
  <si>
    <t>23900276</t>
  </si>
  <si>
    <t>OXSA PALOMINO ROSA MARIA</t>
  </si>
  <si>
    <t>MINJUS</t>
  </si>
  <si>
    <t>70617630</t>
  </si>
  <si>
    <t>HERNANDEZ ROLIN JULIO CESAR</t>
  </si>
  <si>
    <t>carla  zambrano</t>
  </si>
  <si>
    <t>73414025</t>
  </si>
  <si>
    <t>VERA MONTENEGRO JORGE LUIS</t>
  </si>
  <si>
    <t>carla zambrano</t>
  </si>
  <si>
    <t>43245762</t>
  </si>
  <si>
    <t>ALVAREZ MAMANI ROSALIA</t>
  </si>
  <si>
    <t>maria vergara</t>
  </si>
  <si>
    <t>40672323</t>
  </si>
  <si>
    <t>PAMELA NEYRA VERA</t>
  </si>
  <si>
    <t>Columna 10</t>
  </si>
  <si>
    <t>PIURA</t>
  </si>
  <si>
    <t>41027088</t>
  </si>
  <si>
    <t>SANCHEZ DELGADO RONY CARLOS</t>
  </si>
  <si>
    <t>71561365</t>
  </si>
  <si>
    <t xml:space="preserve">ALCAYAURI CUCHUÑAUPA BERNABE </t>
  </si>
  <si>
    <t>DELIA VENTURA</t>
  </si>
  <si>
    <t>75115624</t>
  </si>
  <si>
    <t>MENDOZA TANTALEAN JORGE CRISTIAN</t>
  </si>
  <si>
    <t>44179817</t>
  </si>
  <si>
    <t>ANCHO SULCA FREDY</t>
  </si>
  <si>
    <t>31355877</t>
  </si>
  <si>
    <t>SORIA SERRANO EMILIO</t>
  </si>
  <si>
    <t>45485936</t>
  </si>
  <si>
    <t>JULIO CESAR YUPANQUI</t>
  </si>
  <si>
    <t>nelson mugarra</t>
  </si>
  <si>
    <t>72978183</t>
  </si>
  <si>
    <t>VERA CONDOR LUIS ANGEL</t>
  </si>
  <si>
    <t>61021293</t>
  </si>
  <si>
    <t xml:space="preserve">CARDENAS PEREZ XIAMIR </t>
  </si>
  <si>
    <t>Giovana Bedoya</t>
  </si>
  <si>
    <t>JORGE ALFARO</t>
  </si>
  <si>
    <t>73966007</t>
  </si>
  <si>
    <t>46762605</t>
  </si>
  <si>
    <t>TEJADA ISUIZA FRANK SMITH</t>
  </si>
  <si>
    <t xml:space="preserve">HUACCACHI BALBIN, YOEL RICARDO </t>
  </si>
  <si>
    <t xml:space="preserve">JESSICA GASPAR </t>
  </si>
  <si>
    <t xml:space="preserve">  </t>
  </si>
  <si>
    <t>43536759</t>
  </si>
  <si>
    <t>CURASMA POMA RONALD</t>
  </si>
  <si>
    <t>43109885</t>
  </si>
  <si>
    <t>MEZA GARCIA DANY JESUS</t>
  </si>
  <si>
    <t>06673821</t>
  </si>
  <si>
    <t>GAMARRA UGARTE OSCAR</t>
  </si>
  <si>
    <t>60741564</t>
  </si>
  <si>
    <t>LEVANO APARICIO</t>
  </si>
  <si>
    <t>70036810</t>
  </si>
  <si>
    <t>MENDOZA GUTIERREZ CHRISTIAN ALISON</t>
  </si>
  <si>
    <t>74836801</t>
  </si>
  <si>
    <t xml:space="preserve">BURGA ALARCON </t>
  </si>
  <si>
    <t>73660134</t>
  </si>
  <si>
    <t>RICAPA ARIAS FLOR MARIA</t>
  </si>
  <si>
    <t xml:space="preserve">DELIA VENTURA </t>
  </si>
  <si>
    <t>EN CONSULTA</t>
  </si>
  <si>
    <t>73340045</t>
  </si>
  <si>
    <t>JHONATTAN JUNIOR MORENO  CODINA</t>
  </si>
  <si>
    <t>AGRORURAL</t>
  </si>
  <si>
    <t>47137302</t>
  </si>
  <si>
    <t xml:space="preserve">PRINCIPE BABBINI, MANUEL </t>
  </si>
  <si>
    <t>44004519</t>
  </si>
  <si>
    <t>YOVERA QUEZADA FREDY IVAN</t>
  </si>
  <si>
    <t>76199540</t>
  </si>
  <si>
    <t>BONILLA ARENAS ARACELLI</t>
  </si>
  <si>
    <t>47621647</t>
  </si>
  <si>
    <t>TANTALEAN SANCHEZ RONAL</t>
  </si>
  <si>
    <t>60662271</t>
  </si>
  <si>
    <t>PEREZ CAYCO PERCY</t>
  </si>
  <si>
    <t>45220641</t>
  </si>
  <si>
    <t>MALLQUI TANTA</t>
  </si>
  <si>
    <t>76263020</t>
  </si>
  <si>
    <t>NIETO CORNEJO HECTOR ISMAEL</t>
  </si>
  <si>
    <t>41472478</t>
  </si>
  <si>
    <t>NOYA ANDRADE MARIEL</t>
  </si>
  <si>
    <t>75785289</t>
  </si>
  <si>
    <t>MAS CAVA EDWAR</t>
  </si>
  <si>
    <t>Pendiente de BackOffice</t>
  </si>
  <si>
    <t>73860888</t>
  </si>
  <si>
    <t>GOMEZ BERROCAL CRISTINA</t>
  </si>
  <si>
    <t>45165054</t>
  </si>
  <si>
    <t xml:space="preserve">   </t>
  </si>
  <si>
    <t>75602787</t>
  </si>
  <si>
    <t>MANYA HUMAREDA WILMER MAGUIN</t>
  </si>
  <si>
    <t xml:space="preserve">CORPUS PANCORBO KIOMEDY </t>
  </si>
  <si>
    <t>MARIA VERGARA</t>
  </si>
  <si>
    <t>45443481</t>
  </si>
  <si>
    <t>ENCISO HUERTAS FREZZIA MELINA</t>
  </si>
  <si>
    <t>KRIS BARRAGAN</t>
  </si>
  <si>
    <t>47091774</t>
  </si>
  <si>
    <t xml:space="preserve"> CARRASCO SALCEDO MELISA</t>
  </si>
  <si>
    <t>70936530</t>
  </si>
  <si>
    <t>CABELLO HUAMAN BRIAN STUAR</t>
  </si>
  <si>
    <t>WENDY IPANAQUE</t>
  </si>
  <si>
    <t>CLASIFICACION BCP HECHA</t>
  </si>
  <si>
    <t>47751526</t>
  </si>
  <si>
    <t>DE LA CRUZ VELASQUEZ ROBBINS JHON</t>
  </si>
  <si>
    <t>48123445</t>
  </si>
  <si>
    <t xml:space="preserve">MANTILLA LANDA VANESA </t>
  </si>
  <si>
    <t xml:space="preserve">CARTA DE DESISTIEMIENTO </t>
  </si>
  <si>
    <t>74212734</t>
  </si>
  <si>
    <t>ROMANI TUEROS RONY</t>
  </si>
  <si>
    <t>76395796</t>
  </si>
  <si>
    <t>MEZA ALAYO ASLY MARCO</t>
  </si>
  <si>
    <t>PASE HISTORICO PENDIENTE, SE ENVIO CNA</t>
  </si>
  <si>
    <t>43287773</t>
  </si>
  <si>
    <t xml:space="preserve">HUAMAN VENDAÑO ZULMA YANET </t>
  </si>
  <si>
    <t>44001748</t>
  </si>
  <si>
    <t xml:space="preserve">FARFAN MAMANI JUAN VLADIMIR </t>
  </si>
  <si>
    <t>A LA ESPERA DE CARTA PODER PARA CD</t>
  </si>
  <si>
    <t>70096018</t>
  </si>
  <si>
    <t>MEDRANO INFATNTE  JULIO CESAR</t>
  </si>
  <si>
    <t>44981397</t>
  </si>
  <si>
    <t>BECERRA ESPINOZA ALEXANDER MARCOS</t>
  </si>
  <si>
    <t>SE SUBSANO DNI</t>
  </si>
  <si>
    <t>74545448</t>
  </si>
  <si>
    <t>VALDIVIEZO GUERRERO CARMEN GENARA</t>
  </si>
  <si>
    <t xml:space="preserve">RSPTA PENDIENTE DE BANCO </t>
  </si>
  <si>
    <t xml:space="preserve">02831131 </t>
  </si>
  <si>
    <t>TIMANA RIVAS ROSA</t>
  </si>
  <si>
    <t>CD EN SEMESTRE</t>
  </si>
  <si>
    <t>43623113</t>
  </si>
  <si>
    <t>HERRERA PINTADO ELOY ANDRES</t>
  </si>
  <si>
    <t xml:space="preserve">SE ATIENDE EN AGOSTO </t>
  </si>
  <si>
    <t>42992200</t>
  </si>
  <si>
    <t>PALOMARES VALENTIN JUDITH BEATRIZ</t>
  </si>
  <si>
    <t>76002587</t>
  </si>
  <si>
    <t>VASQUEZ MATTA ANIBAL LUCIO</t>
  </si>
  <si>
    <t xml:space="preserve">RSPTA PENDIENTE DEL BANCO </t>
  </si>
  <si>
    <t>70483707</t>
  </si>
  <si>
    <t xml:space="preserve">ISMINIO REATEGUI CESAR KINDER </t>
  </si>
  <si>
    <t>SE ATIENDE EN AGOSTO. CUOTA 3/4</t>
  </si>
  <si>
    <t>75756343</t>
  </si>
  <si>
    <t>SANDOVAL ZUÑIGA KEVIN ELIAN</t>
  </si>
  <si>
    <t>FILE EN REVISION POR BO</t>
  </si>
  <si>
    <t>47872207</t>
  </si>
  <si>
    <t xml:space="preserve">WILLIAM HOLGUIN HOLGUIN </t>
  </si>
  <si>
    <t>Sanjinez Bermeo Mixsy</t>
  </si>
  <si>
    <t>71085486</t>
  </si>
  <si>
    <t xml:space="preserve">CARLOS DEYBY GARCIA CAMPOS </t>
  </si>
  <si>
    <t>71423781</t>
  </si>
  <si>
    <t>ROCA FLORES RODRIGO AAROM</t>
  </si>
  <si>
    <t>EJÈRCITO</t>
  </si>
  <si>
    <t>70382529</t>
  </si>
  <si>
    <t>CASTILLO VILELA CHRISTIAN ANDERSON</t>
  </si>
  <si>
    <t>73418254</t>
  </si>
  <si>
    <t>JHORDAN JHOEL CARRASCO HUAMANI</t>
  </si>
  <si>
    <t>JOSELYN MEZA</t>
  </si>
  <si>
    <t>17615269</t>
  </si>
  <si>
    <t>SUCLUPE PUICON JUAN CARLOS</t>
  </si>
  <si>
    <t>75454323</t>
  </si>
  <si>
    <t>DAVID JOSUE ARONES BUSTAMANTE</t>
  </si>
  <si>
    <t>RUTH CLARITA CJURO URACCAHUA</t>
  </si>
  <si>
    <t>47921267</t>
  </si>
  <si>
    <t>JORDAN DIDIER SOCA DEL CARPIO</t>
  </si>
  <si>
    <t>74902913</t>
  </si>
  <si>
    <t>FERNANDEZ DAVILA GRANDA HUGO ALEJANDRO</t>
  </si>
  <si>
    <t>43600507</t>
  </si>
  <si>
    <t>BLANCO FERNANDEZ LINDA MARGARITA</t>
  </si>
  <si>
    <t>73735985</t>
  </si>
  <si>
    <t>YANETH SUDAITH YUCRA YUJRA</t>
  </si>
  <si>
    <t>40626637</t>
  </si>
  <si>
    <t>DAVID CASTAÑEDA CRUZ</t>
  </si>
  <si>
    <t>MUNICIPALIDAD CC</t>
  </si>
  <si>
    <t>72545511</t>
  </si>
  <si>
    <t>JHERSON GREGORIO FOLLANO PAUCARA</t>
  </si>
  <si>
    <t>75695053</t>
  </si>
  <si>
    <t>ZEVALLOS VERA WENDY GRISSELL</t>
  </si>
  <si>
    <t>70890349</t>
  </si>
  <si>
    <t>HUILLCA MAQUI CHRISTIAN LUIS</t>
  </si>
  <si>
    <t>76406354</t>
  </si>
  <si>
    <t>NUEVO</t>
  </si>
  <si>
    <t>RENDON BARRIENTOS YAKELINE LIZBETH</t>
  </si>
  <si>
    <t>KATHERINE GONZALES</t>
  </si>
  <si>
    <t>45032231</t>
  </si>
  <si>
    <t>NUÑEZ DELGADO PABLO LUCIO</t>
  </si>
  <si>
    <t>CPP</t>
  </si>
  <si>
    <t>42082207</t>
  </si>
  <si>
    <t>ESCOBAR CALLE ALEX WILSON</t>
  </si>
  <si>
    <t>ALEXA ENEQUE</t>
  </si>
  <si>
    <t>44997700</t>
  </si>
  <si>
    <t>APONTE SUCLUPE,LUZ MABEL</t>
  </si>
  <si>
    <t>76454994</t>
  </si>
  <si>
    <t xml:space="preserve">FRETEL CUADROS LINCOL GABRIEL </t>
  </si>
  <si>
    <t>73103685</t>
  </si>
  <si>
    <t>MALCA HERNANDEZ RUBEN ARMANDO</t>
  </si>
  <si>
    <t>ELIZABETH TORRES</t>
  </si>
  <si>
    <t>76218434</t>
  </si>
  <si>
    <t>CLEMENTE EGOAVIL JEAN PIER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</si>
</sst>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S/.]#,##0.00"/>
    <numFmt numFmtId="165" formatCode="00.0%"/>
    <numFmt numFmtId="166" formatCode="d/MM/yyyy"/>
    <numFmt numFmtId="167" formatCode="dd/mm/yyyy"/>
    <numFmt numFmtId="168" formatCode="dd-mm-yyyy"/>
    <numFmt numFmtId="169" formatCode="dd-mm"/>
  </numFmts>
  <fonts count="43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002D74"/>
      <name val="Arial"/>
      <scheme val="minor"/>
    </font>
    <font>
      <b/>
      <sz val="11.0"/>
      <color rgb="FFFFFFFF"/>
      <name val="Calibri"/>
    </font>
    <font>
      <b/>
      <sz val="18.0"/>
      <color rgb="FFFFFFFF"/>
      <name val="Arial"/>
      <scheme val="minor"/>
    </font>
    <font>
      <b/>
      <sz val="11.0"/>
      <color rgb="FFFFFFFF"/>
      <name val="Arial"/>
      <scheme val="minor"/>
    </font>
    <font>
      <b/>
      <sz val="11.0"/>
      <color rgb="FF000000"/>
      <name val="Calibri"/>
    </font>
    <font>
      <b/>
      <sz val="11.0"/>
      <color theme="1"/>
      <name val="Arial"/>
      <scheme val="minor"/>
    </font>
    <font>
      <sz val="11.0"/>
      <color rgb="FF000000"/>
      <name val="Calibri"/>
    </font>
    <font>
      <sz val="11.0"/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rgb="FF000000"/>
      <name val="Calibri"/>
    </font>
    <font>
      <color rgb="FF000000"/>
      <name val="Arial"/>
      <scheme val="minor"/>
    </font>
    <font>
      <sz val="9.0"/>
      <color rgb="FF000000"/>
      <name val="Arial"/>
      <scheme val="minor"/>
    </font>
    <font>
      <sz val="9.0"/>
      <color rgb="FF000000"/>
      <name val="-apple-system"/>
    </font>
    <font>
      <color rgb="FF000000"/>
      <name val="-apple-system"/>
    </font>
    <font>
      <color rgb="FF000000"/>
      <name val="Roboto"/>
    </font>
    <font>
      <sz val="10.0"/>
      <color rgb="FF000000"/>
      <name val="Roboto"/>
    </font>
    <font>
      <sz val="9.0"/>
      <color rgb="FF1F1F1F"/>
      <name val="&quot;Google Sans&quot;"/>
    </font>
    <font>
      <sz val="10.0"/>
      <color rgb="FF000000"/>
      <name val="Calibri"/>
    </font>
    <font>
      <sz val="9.0"/>
      <color rgb="FF000000"/>
      <name val="Roboto"/>
    </font>
    <font>
      <sz val="9.0"/>
      <color rgb="FF1F1F1F"/>
      <name val="&quot;Calibri Light&quot;"/>
    </font>
    <font>
      <sz val="10.0"/>
      <color rgb="FF1F1F1F"/>
      <name val="&quot;Google Sans&quot;"/>
    </font>
    <font>
      <sz val="9.0"/>
      <color rgb="FF1F1F1F"/>
      <name val="Arial"/>
    </font>
    <font>
      <b/>
      <sz val="11.0"/>
      <color rgb="FFFF4F00"/>
      <name val="Calibri"/>
    </font>
    <font>
      <b/>
      <sz val="11.0"/>
      <color rgb="FF002D74"/>
      <name val="Calibri"/>
    </font>
    <font/>
    <font>
      <sz val="9.0"/>
      <color rgb="FF000000"/>
      <name val="&quot;Calibri Light&quot;"/>
    </font>
    <font>
      <color rgb="FF000000"/>
      <name val="Arial"/>
    </font>
    <font>
      <sz val="9.0"/>
      <color rgb="FF000000"/>
      <name val="&quot;Google Sans&quot;"/>
    </font>
    <font>
      <sz val="9.0"/>
      <color rgb="FF000000"/>
      <name val="Arial"/>
    </font>
    <font>
      <color rgb="FF11734B"/>
      <name val="Roboto"/>
    </font>
    <font>
      <color rgb="FF753800"/>
      <name val="Roboto"/>
    </font>
    <font>
      <color rgb="FF215A6C"/>
      <name val="Roboto"/>
    </font>
    <font>
      <color rgb="FF434343"/>
      <name val="Roboto"/>
    </font>
    <font>
      <color rgb="FF473821"/>
      <name val="Roboto"/>
    </font>
    <font>
      <b/>
      <color rgb="FF434343"/>
      <name val="Roboto"/>
    </font>
    <font>
      <color rgb="FF0A53A8"/>
      <name val="Roboto"/>
    </font>
    <font>
      <sz val="12.0"/>
      <color rgb="FF000000"/>
      <name val="Arial"/>
    </font>
    <font>
      <sz val="12.0"/>
      <color rgb="FF000000"/>
      <name val="-apple-system"/>
    </font>
    <font>
      <sz val="17.0"/>
      <color rgb="FF1F1F1F"/>
      <name val="&quot;Google Sans&quot;"/>
    </font>
    <font>
      <sz val="8.0"/>
      <color theme="1"/>
      <name val="Arial"/>
      <scheme val="minor"/>
    </font>
  </fonts>
  <fills count="27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002D74"/>
        <bgColor rgb="FF002D74"/>
      </patternFill>
    </fill>
    <fill>
      <patternFill patternType="solid">
        <fgColor rgb="FFC4090F"/>
        <bgColor rgb="FFC4090F"/>
      </patternFill>
    </fill>
    <fill>
      <patternFill patternType="solid">
        <fgColor rgb="FFFF4F00"/>
        <bgColor rgb="FFFF4F00"/>
      </patternFill>
    </fill>
    <fill>
      <patternFill patternType="solid">
        <fgColor rgb="FFEFEFEF"/>
        <bgColor rgb="FFEFEFEF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4EDBC"/>
        <bgColor rgb="FFD4EDBC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C6DBE1"/>
        <bgColor rgb="FFC6DBE1"/>
      </patternFill>
    </fill>
    <fill>
      <patternFill patternType="solid">
        <fgColor rgb="FFFFE5A0"/>
        <bgColor rgb="FFFFE5A0"/>
      </patternFill>
    </fill>
    <fill>
      <patternFill patternType="solid">
        <fgColor rgb="FFBFE1F6"/>
        <bgColor rgb="FFBFE1F6"/>
      </patternFill>
    </fill>
    <fill>
      <patternFill patternType="solid">
        <fgColor theme="5"/>
        <bgColor theme="5"/>
      </patternFill>
    </fill>
    <fill>
      <patternFill patternType="solid">
        <fgColor rgb="FFCCCCCC"/>
        <bgColor rgb="FFCCCCCC"/>
      </patternFill>
    </fill>
    <fill>
      <patternFill patternType="solid">
        <fgColor rgb="FFF6F8F9"/>
        <bgColor rgb="FFF6F8F9"/>
      </patternFill>
    </fill>
  </fills>
  <borders count="19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000000"/>
      </bottom>
    </border>
    <border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right style="thin">
        <color rgb="FFB7B7B7"/>
      </right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readingOrder="0" shrinkToFit="0" vertical="center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2" fontId="3" numFmtId="0" xfId="0" applyAlignment="1" applyBorder="1" applyFill="1" applyFont="1">
      <alignment horizontal="center" readingOrder="0" shrinkToFit="0" vertical="center" wrapText="0"/>
    </xf>
    <xf borderId="2" fillId="5" fontId="5" numFmtId="0" xfId="0" applyAlignment="1" applyBorder="1" applyFill="1" applyFont="1">
      <alignment horizontal="center" readingOrder="0" vertical="center"/>
    </xf>
    <xf borderId="2" fillId="3" fontId="5" numFmtId="0" xfId="0" applyAlignment="1" applyBorder="1" applyFill="1" applyFont="1">
      <alignment horizontal="center" readingOrder="0" vertical="center"/>
    </xf>
    <xf borderId="1" fillId="6" fontId="6" numFmtId="0" xfId="0" applyAlignment="1" applyBorder="1" applyFill="1" applyFont="1">
      <alignment readingOrder="0" shrinkToFit="0" vertical="center" wrapText="0"/>
    </xf>
    <xf borderId="2" fillId="7" fontId="5" numFmtId="0" xfId="0" applyAlignment="1" applyBorder="1" applyFill="1" applyFont="1">
      <alignment horizontal="center" readingOrder="0" vertical="center"/>
    </xf>
    <xf borderId="2" fillId="8" fontId="7" numFmtId="164" xfId="0" applyAlignment="1" applyBorder="1" applyFill="1" applyFont="1" applyNumberFormat="1">
      <alignment horizontal="center" readingOrder="0" vertical="center"/>
    </xf>
    <xf borderId="1" fillId="6" fontId="8" numFmtId="164" xfId="0" applyAlignment="1" applyBorder="1" applyFill="1" applyFont="1" applyNumberFormat="1">
      <alignment horizontal="center" readingOrder="0" shrinkToFit="0" vertical="center" wrapText="0"/>
    </xf>
    <xf borderId="2" fillId="8" fontId="7" numFmtId="164" xfId="0" applyAlignment="1" applyBorder="1" applyFill="1" applyFont="1" applyNumberFormat="1">
      <alignment horizontal="center" vertical="center"/>
    </xf>
    <xf borderId="1" fillId="6" fontId="8" numFmtId="0" xfId="0" applyAlignment="1" applyBorder="1" applyFill="1" applyFont="1">
      <alignment horizontal="center" readingOrder="0" shrinkToFit="0" vertical="center" wrapText="0"/>
    </xf>
    <xf borderId="2" fillId="8" fontId="9" numFmtId="164" xfId="0" applyAlignment="1" applyBorder="1" applyFill="1" applyFont="1" applyNumberFormat="1">
      <alignment horizontal="center" vertical="center"/>
    </xf>
    <xf borderId="1" fillId="6" fontId="8" numFmtId="165" xfId="0" applyAlignment="1" applyBorder="1" applyFill="1" applyFont="1" applyNumberFormat="1">
      <alignment horizontal="center" readingOrder="0" shrinkToFit="0" vertical="center" wrapText="0"/>
    </xf>
    <xf borderId="2" fillId="9" fontId="5" numFmtId="0" xfId="0" applyAlignment="1" applyBorder="1" applyFill="1" applyFont="1">
      <alignment horizontal="center" readingOrder="0" vertical="center"/>
    </xf>
    <xf borderId="2" fillId="8" fontId="7" numFmtId="0" xfId="0" applyAlignment="1" applyBorder="1" applyFill="1" applyFont="1">
      <alignment horizontal="center" readingOrder="0" vertical="center"/>
    </xf>
    <xf borderId="2" fillId="8" fontId="7" numFmtId="0" xfId="0" applyAlignment="1" applyBorder="1" applyFill="1" applyFont="1">
      <alignment horizontal="center" vertical="center"/>
    </xf>
    <xf borderId="2" fillId="8" fontId="7" numFmtId="10" xfId="0" applyAlignment="1" applyBorder="1" applyFill="1" applyFont="1" applyNumberFormat="1">
      <alignment horizontal="center" vertical="center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readingOrder="0" shrinkToFit="0" vertical="center" wrapText="0"/>
    </xf>
    <xf borderId="0" fillId="5" fontId="11" numFmtId="0" xfId="0" applyAlignment="1" applyFill="1" applyFont="1">
      <alignment horizontal="center" readingOrder="0" shrinkToFit="0" vertical="center" wrapText="0"/>
    </xf>
    <xf borderId="3" fillId="6" fontId="1" numFmtId="0" xfId="0" applyAlignment="1" applyBorder="1" applyFill="1" applyFont="1">
      <alignment horizontal="center" readingOrder="0" shrinkToFit="0" vertical="center" wrapText="0"/>
    </xf>
    <xf borderId="3" fillId="6" fontId="1" numFmtId="166" xfId="0" applyAlignment="1" applyBorder="1" applyFill="1" applyFont="1" applyNumberFormat="1">
      <alignment horizontal="center" readingOrder="0" shrinkToFit="0" vertical="center" wrapText="0"/>
    </xf>
    <xf borderId="3" fillId="6" fontId="1" numFmtId="0" xfId="0" applyAlignment="1" applyBorder="1" applyFill="1" applyFont="1">
      <alignment horizontal="center" readingOrder="0" shrinkToFit="0" vertical="center" wrapText="0"/>
    </xf>
    <xf borderId="3" fillId="6" fontId="1" numFmtId="49" xfId="0" applyAlignment="1" applyBorder="1" applyFill="1" applyFont="1" applyNumberFormat="1">
      <alignment horizontal="center" readingOrder="0" shrinkToFit="0" vertical="center" wrapText="0"/>
    </xf>
    <xf borderId="3" fillId="6" fontId="11" numFmtId="164" xfId="0" applyAlignment="1" applyBorder="1" applyFill="1" applyFont="1" applyNumberFormat="1">
      <alignment horizontal="center" readingOrder="0" shrinkToFit="0" vertical="center" wrapText="0"/>
    </xf>
    <xf borderId="4" fillId="10" fontId="12" numFmtId="49" xfId="0" applyAlignment="1" applyBorder="1" applyFill="1" applyFont="1" applyNumberFormat="1">
      <alignment horizontal="center" readingOrder="0" shrinkToFit="0" vertical="bottom" wrapText="0"/>
    </xf>
    <xf borderId="2" fillId="6" fontId="13" numFmtId="0" xfId="0" applyAlignment="1" applyBorder="1" applyFill="1" applyFont="1">
      <alignment horizontal="center" readingOrder="0" shrinkToFit="0" vertical="center" wrapText="0"/>
    </xf>
    <xf borderId="2" fillId="6" fontId="13" numFmtId="166" xfId="0" applyAlignment="1" applyBorder="1" applyFill="1" applyFont="1" applyNumberFormat="1">
      <alignment horizontal="center" readingOrder="0" shrinkToFit="0" vertical="center" wrapText="0"/>
    </xf>
    <xf borderId="3" fillId="6" fontId="1" numFmtId="0" xfId="0" applyAlignment="1" applyBorder="1" applyFill="1" applyFont="1">
      <alignment horizontal="center" shrinkToFit="0" vertical="center" wrapText="0"/>
    </xf>
    <xf borderId="2" fillId="6" fontId="13" numFmtId="0" xfId="0" applyAlignment="1" applyBorder="1" applyFill="1" applyFont="1">
      <alignment horizontal="center" readingOrder="0" shrinkToFit="0" vertical="center" wrapText="0"/>
    </xf>
    <xf borderId="3" fillId="6" fontId="1" numFmtId="0" xfId="0" applyAlignment="1" applyBorder="1" applyFill="1" applyFont="1">
      <alignment shrinkToFit="0" vertical="center" wrapText="0"/>
    </xf>
    <xf borderId="2" fillId="6" fontId="14" numFmtId="166" xfId="0" applyAlignment="1" applyBorder="1" applyFill="1" applyFont="1" applyNumberFormat="1">
      <alignment horizontal="center" shrinkToFit="0" vertical="center" wrapText="0"/>
    </xf>
    <xf borderId="5" fillId="6" fontId="14" numFmtId="0" xfId="0" applyAlignment="1" applyBorder="1" applyFill="1" applyFont="1">
      <alignment horizontal="center" readingOrder="0" shrinkToFit="0" vertical="center" wrapText="0"/>
    </xf>
    <xf borderId="3" fillId="6" fontId="1" numFmtId="167" xfId="0" applyAlignment="1" applyBorder="1" applyFill="1" applyFont="1" applyNumberFormat="1">
      <alignment horizontal="center" readingOrder="0" shrinkToFit="0" vertical="center" wrapText="0"/>
    </xf>
    <xf borderId="4" fillId="6" fontId="15" numFmtId="49" xfId="0" applyAlignment="1" applyBorder="1" applyFill="1" applyFont="1" applyNumberFormat="1">
      <alignment horizontal="center" readingOrder="0" shrinkToFit="0" vertical="center" wrapText="0"/>
    </xf>
    <xf borderId="4" fillId="6" fontId="15" numFmtId="49" xfId="0" applyAlignment="1" applyBorder="1" applyFill="1" applyFont="1" applyNumberFormat="1">
      <alignment readingOrder="0" shrinkToFit="0" vertical="center" wrapText="0"/>
    </xf>
    <xf borderId="6" fillId="6" fontId="13" numFmtId="0" xfId="0" applyAlignment="1" applyBorder="1" applyFill="1" applyFont="1">
      <alignment horizontal="center" readingOrder="0" shrinkToFit="0" vertical="center" wrapText="0"/>
    </xf>
    <xf borderId="5" fillId="6" fontId="13" numFmtId="0" xfId="0" applyAlignment="1" applyBorder="1" applyFill="1" applyFont="1">
      <alignment horizontal="center" readingOrder="0" shrinkToFit="0" vertical="center" wrapText="0"/>
    </xf>
    <xf borderId="4" fillId="6" fontId="16" numFmtId="164" xfId="0" applyAlignment="1" applyBorder="1" applyFill="1" applyFont="1" applyNumberFormat="1">
      <alignment horizontal="center" readingOrder="0" shrinkToFit="0" vertical="center" wrapText="0"/>
    </xf>
    <xf borderId="2" fillId="6" fontId="13" numFmtId="0" xfId="0" applyAlignment="1" applyBorder="1" applyFill="1" applyFont="1">
      <alignment horizontal="center" shrinkToFit="0" vertical="center" wrapText="0"/>
    </xf>
    <xf borderId="2" fillId="6" fontId="13" numFmtId="0" xfId="0" applyAlignment="1" applyBorder="1" applyFill="1" applyFont="1">
      <alignment horizontal="center" shrinkToFit="0" vertical="center" wrapText="0"/>
    </xf>
    <xf borderId="3" fillId="11" fontId="1" numFmtId="0" xfId="0" applyAlignment="1" applyBorder="1" applyFill="1" applyFont="1">
      <alignment horizontal="center" readingOrder="0" shrinkToFit="0" vertical="center" wrapText="0"/>
    </xf>
    <xf borderId="3" fillId="6" fontId="1" numFmtId="0" xfId="0" applyAlignment="1" applyBorder="1" applyFill="1" applyFont="1">
      <alignment readingOrder="0" shrinkToFit="0" vertical="center" wrapText="0"/>
    </xf>
    <xf borderId="2" fillId="6" fontId="17" numFmtId="0" xfId="0" applyAlignment="1" applyBorder="1" applyFill="1" applyFont="1">
      <alignment horizontal="center" readingOrder="0" shrinkToFit="0" vertical="center" wrapText="0"/>
    </xf>
    <xf borderId="2" fillId="6" fontId="17" numFmtId="166" xfId="0" applyAlignment="1" applyBorder="1" applyFill="1" applyFont="1" applyNumberFormat="1">
      <alignment horizontal="center" readingOrder="0" shrinkToFit="0" vertical="center" wrapText="0"/>
    </xf>
    <xf borderId="3" fillId="6" fontId="1" numFmtId="0" xfId="0" applyAlignment="1" applyBorder="1" applyFill="1" applyFont="1">
      <alignment horizontal="center" shrinkToFit="0" vertical="center" wrapText="0"/>
    </xf>
    <xf borderId="2" fillId="6" fontId="17" numFmtId="0" xfId="0" applyAlignment="1" applyBorder="1" applyFill="1" applyFont="1">
      <alignment horizontal="center" readingOrder="0" shrinkToFit="0" vertical="center" wrapText="0"/>
    </xf>
    <xf borderId="2" fillId="6" fontId="18" numFmtId="166" xfId="0" applyAlignment="1" applyBorder="1" applyFill="1" applyFont="1" applyNumberFormat="1">
      <alignment horizontal="center" readingOrder="0" shrinkToFit="0" vertical="center" wrapText="0"/>
    </xf>
    <xf borderId="5" fillId="6" fontId="18" numFmtId="166" xfId="0" applyAlignment="1" applyBorder="1" applyFill="1" applyFont="1" applyNumberFormat="1">
      <alignment horizontal="center" readingOrder="0" shrinkToFit="0" vertical="center" wrapText="0"/>
    </xf>
    <xf borderId="4" fillId="6" fontId="19" numFmtId="49" xfId="0" applyAlignment="1" applyBorder="1" applyFill="1" applyFont="1" applyNumberFormat="1">
      <alignment horizontal="center" readingOrder="0" shrinkToFit="0" vertical="center" wrapText="0"/>
    </xf>
    <xf borderId="4" fillId="6" fontId="19" numFmtId="49" xfId="0" applyAlignment="1" applyBorder="1" applyFill="1" applyFont="1" applyNumberFormat="1">
      <alignment readingOrder="0" shrinkToFit="0" vertical="center" wrapText="0"/>
    </xf>
    <xf borderId="6" fillId="6" fontId="18" numFmtId="0" xfId="0" applyAlignment="1" applyBorder="1" applyFill="1" applyFont="1">
      <alignment horizontal="center" readingOrder="0" shrinkToFit="0" vertical="center" wrapText="0"/>
    </xf>
    <xf borderId="5" fillId="6" fontId="18" numFmtId="0" xfId="0" applyAlignment="1" applyBorder="1" applyFill="1" applyFont="1">
      <alignment horizontal="center" readingOrder="0" shrinkToFit="0" vertical="center" wrapText="0"/>
    </xf>
    <xf borderId="4" fillId="6" fontId="20" numFmtId="164" xfId="0" applyAlignment="1" applyBorder="1" applyFill="1" applyFont="1" applyNumberFormat="1">
      <alignment horizontal="center" readingOrder="0" shrinkToFit="0" vertical="center" wrapText="0"/>
    </xf>
    <xf borderId="6" fillId="6" fontId="21" numFmtId="0" xfId="0" applyAlignment="1" applyBorder="1" applyFill="1" applyFont="1">
      <alignment horizontal="center" readingOrder="0" shrinkToFit="0" vertical="center" wrapText="0"/>
    </xf>
    <xf borderId="2" fillId="6" fontId="17" numFmtId="0" xfId="0" applyAlignment="1" applyBorder="1" applyFill="1" applyFont="1">
      <alignment horizontal="center" shrinkToFit="0" vertical="center" wrapText="0"/>
    </xf>
    <xf borderId="3" fillId="6" fontId="22" numFmtId="49" xfId="0" applyAlignment="1" applyBorder="1" applyFill="1" applyFont="1" applyNumberFormat="1">
      <alignment horizontal="center" readingOrder="0" shrinkToFit="0" vertical="center" wrapText="0"/>
    </xf>
    <xf borderId="7" fillId="6" fontId="18" numFmtId="0" xfId="0" applyAlignment="1" applyBorder="1" applyFill="1" applyFont="1">
      <alignment horizontal="center" readingOrder="0" shrinkToFit="0" vertical="center" wrapText="0"/>
    </xf>
    <xf borderId="8" fillId="6" fontId="18" numFmtId="0" xfId="0" applyAlignment="1" applyBorder="1" applyFill="1" applyFont="1">
      <alignment horizontal="center" readingOrder="0" shrinkToFit="0" vertical="center" wrapText="0"/>
    </xf>
    <xf borderId="4" fillId="6" fontId="23" numFmtId="49" xfId="0" applyAlignment="1" applyBorder="1" applyFill="1" applyFont="1" applyNumberFormat="1">
      <alignment horizontal="center" readingOrder="0" shrinkToFit="0" vertical="center" wrapText="0"/>
    </xf>
    <xf borderId="4" fillId="6" fontId="23" numFmtId="49" xfId="0" applyAlignment="1" applyBorder="1" applyFill="1" applyFont="1" applyNumberFormat="1">
      <alignment readingOrder="0" shrinkToFit="0" vertical="center" wrapText="0"/>
    </xf>
    <xf borderId="3" fillId="12" fontId="1" numFmtId="0" xfId="0" applyAlignment="1" applyBorder="1" applyFill="1" applyFont="1">
      <alignment horizontal="center" readingOrder="0" shrinkToFit="0" vertical="center" wrapText="0"/>
    </xf>
    <xf borderId="9" fillId="6" fontId="18" numFmtId="0" xfId="0" applyAlignment="1" applyBorder="1" applyFill="1" applyFont="1">
      <alignment horizontal="center" readingOrder="0" shrinkToFit="0" vertical="center" wrapText="0"/>
    </xf>
    <xf borderId="10" fillId="6" fontId="18" numFmtId="0" xfId="0" applyAlignment="1" applyBorder="1" applyFill="1" applyFont="1">
      <alignment horizontal="center" readingOrder="0" shrinkToFit="0" vertical="center" wrapText="0"/>
    </xf>
    <xf borderId="4" fillId="6" fontId="21" numFmtId="164" xfId="0" applyAlignment="1" applyBorder="1" applyFill="1" applyFont="1" applyNumberFormat="1">
      <alignment horizontal="center" readingOrder="0" shrinkToFit="0" vertical="center" wrapText="0"/>
    </xf>
    <xf borderId="3" fillId="6" fontId="1" numFmtId="168" xfId="0" applyAlignment="1" applyBorder="1" applyFill="1" applyFont="1" applyNumberFormat="1">
      <alignment horizontal="center" readingOrder="0" shrinkToFit="0" vertical="center" wrapText="0"/>
    </xf>
    <xf borderId="3" fillId="13" fontId="1" numFmtId="0" xfId="0" applyAlignment="1" applyBorder="1" applyFill="1" applyFont="1">
      <alignment horizontal="center" readingOrder="0" shrinkToFit="0" vertical="center" wrapText="0"/>
    </xf>
    <xf borderId="5" fillId="6" fontId="17" numFmtId="0" xfId="0" applyAlignment="1" applyBorder="1" applyFill="1" applyFont="1">
      <alignment horizontal="center" readingOrder="0" shrinkToFit="0" vertical="center" wrapText="0"/>
    </xf>
    <xf borderId="4" fillId="6" fontId="17" numFmtId="166" xfId="0" applyAlignment="1" applyBorder="1" applyFill="1" applyFont="1" applyNumberFormat="1">
      <alignment horizontal="center" readingOrder="0" shrinkToFit="0" vertical="center" wrapText="0"/>
    </xf>
    <xf borderId="4" fillId="6" fontId="17" numFmtId="0" xfId="0" applyAlignment="1" applyBorder="1" applyFill="1" applyFont="1">
      <alignment horizontal="center" readingOrder="0" shrinkToFit="0" vertical="center" wrapText="0"/>
    </xf>
    <xf borderId="4" fillId="6" fontId="17" numFmtId="0" xfId="0" applyAlignment="1" applyBorder="1" applyFill="1" applyFont="1">
      <alignment horizontal="center" readingOrder="0" shrinkToFit="0" vertical="center" wrapText="0"/>
    </xf>
    <xf borderId="3" fillId="6" fontId="1" numFmtId="166" xfId="0" applyAlignment="1" applyBorder="1" applyFill="1" applyFont="1" applyNumberFormat="1">
      <alignment horizontal="center" shrinkToFit="0" vertical="center" wrapText="0"/>
    </xf>
    <xf borderId="3" fillId="6" fontId="24" numFmtId="49" xfId="0" applyAlignment="1" applyBorder="1" applyFill="1" applyFont="1" applyNumberFormat="1">
      <alignment horizontal="center" readingOrder="0" shrinkToFit="0" vertical="center" wrapText="0"/>
    </xf>
    <xf borderId="2" fillId="6" fontId="1" numFmtId="166" xfId="0" applyAlignment="1" applyBorder="1" applyFill="1" applyFont="1" applyNumberFormat="1">
      <alignment horizontal="center" readingOrder="0" shrinkToFit="0" vertical="center" wrapText="0"/>
    </xf>
    <xf borderId="4" fillId="6" fontId="13" numFmtId="166" xfId="0" applyAlignment="1" applyBorder="1" applyFill="1" applyFont="1" applyNumberFormat="1">
      <alignment horizontal="center" readingOrder="0" shrinkToFit="0" vertical="center" wrapText="0"/>
    </xf>
    <xf borderId="4" fillId="6" fontId="14" numFmtId="166" xfId="0" applyAlignment="1" applyBorder="1" applyFill="1" applyFont="1" applyNumberFormat="1">
      <alignment horizontal="center" readingOrder="0" shrinkToFit="0" vertical="center" wrapText="0"/>
    </xf>
    <xf borderId="4" fillId="6" fontId="13" numFmtId="0" xfId="0" applyAlignment="1" applyBorder="1" applyFill="1" applyFont="1">
      <alignment horizontal="center" readingOrder="0" shrinkToFit="0" vertical="center" wrapText="0"/>
    </xf>
    <xf borderId="4" fillId="6" fontId="13" numFmtId="0" xfId="0" applyAlignment="1" applyBorder="1" applyFill="1" applyFont="1">
      <alignment horizontal="center" readingOrder="0" shrinkToFit="0" vertical="center" wrapText="0"/>
    </xf>
    <xf borderId="4" fillId="0" fontId="12" numFmtId="49" xfId="0" applyAlignment="1" applyBorder="1" applyFont="1" applyNumberFormat="1">
      <alignment horizontal="center" readingOrder="0" shrinkToFit="0" vertical="bottom" wrapText="0"/>
    </xf>
    <xf borderId="6" fillId="6" fontId="14" numFmtId="0" xfId="0" applyAlignment="1" applyBorder="1" applyFill="1" applyFont="1">
      <alignment horizontal="center" readingOrder="0" shrinkToFit="0" vertical="center" wrapText="0"/>
    </xf>
    <xf borderId="1" fillId="14" fontId="25" numFmtId="0" xfId="0" applyAlignment="1" applyBorder="1" applyFill="1" applyFont="1">
      <alignment readingOrder="0" shrinkToFit="0" vertical="center" wrapText="0"/>
    </xf>
    <xf borderId="1" fillId="14" fontId="25" numFmtId="0" xfId="0" applyAlignment="1" applyBorder="1" applyFill="1" applyFont="1">
      <alignment vertical="center"/>
    </xf>
    <xf borderId="1" fillId="15" fontId="26" numFmtId="164" xfId="0" applyAlignment="1" applyBorder="1" applyFill="1" applyFont="1" applyNumberFormat="1">
      <alignment horizontal="center" readingOrder="0" shrinkToFit="0" vertical="center" wrapText="0"/>
    </xf>
    <xf borderId="1" fillId="15" fontId="26" numFmtId="0" xfId="0" applyAlignment="1" applyBorder="1" applyFill="1" applyFont="1">
      <alignment horizontal="center" readingOrder="0" shrinkToFit="0" vertical="center" wrapText="0"/>
    </xf>
    <xf borderId="1" fillId="14" fontId="25" numFmtId="164" xfId="0" applyAlignment="1" applyBorder="1" applyFill="1" applyFont="1" applyNumberFormat="1">
      <alignment horizontal="center" readingOrder="0" shrinkToFit="0" vertical="center" wrapText="0"/>
    </xf>
    <xf borderId="1" fillId="14" fontId="25" numFmtId="165" xfId="0" applyAlignment="1" applyBorder="1" applyFill="1" applyFont="1" applyNumberFormat="1">
      <alignment horizontal="center" readingOrder="0" shrinkToFit="0" vertical="center" wrapText="0"/>
    </xf>
    <xf borderId="1" fillId="14" fontId="25" numFmtId="0" xfId="0" applyAlignment="1" applyBorder="1" applyFill="1" applyFont="1">
      <alignment horizontal="center" readingOrder="0" shrinkToFit="0" vertical="center" wrapText="0"/>
    </xf>
    <xf borderId="4" fillId="6" fontId="19" numFmtId="49" xfId="0" applyAlignment="1" applyBorder="1" applyFill="1" applyFont="1" applyNumberFormat="1">
      <alignment horizontal="left" readingOrder="0" shrinkToFit="0" vertical="center" wrapText="0"/>
    </xf>
    <xf borderId="4" fillId="16" fontId="12" numFmtId="49" xfId="0" applyAlignment="1" applyBorder="1" applyFill="1" applyFont="1" applyNumberFormat="1">
      <alignment horizontal="center" readingOrder="0" shrinkToFit="0" vertical="bottom" wrapText="0"/>
    </xf>
    <xf borderId="11" fillId="2" fontId="3" numFmtId="0" xfId="0" applyAlignment="1" applyBorder="1" applyFill="1" applyFont="1">
      <alignment readingOrder="0" shrinkToFit="0" vertical="center" wrapText="0"/>
    </xf>
    <xf borderId="12" fillId="0" fontId="27" numFmtId="0" xfId="0" applyBorder="1" applyFont="1"/>
    <xf borderId="11" fillId="6" fontId="6" numFmtId="0" xfId="0" applyAlignment="1" applyBorder="1" applyFill="1" applyFont="1">
      <alignment readingOrder="0" shrinkToFit="0" vertical="center" wrapText="0"/>
    </xf>
    <xf borderId="3" fillId="6" fontId="28" numFmtId="49" xfId="0" applyAlignment="1" applyBorder="1" applyFill="1" applyFont="1" applyNumberFormat="1">
      <alignment horizontal="center" readingOrder="0" shrinkToFit="0" vertical="center" wrapText="0"/>
    </xf>
    <xf borderId="4" fillId="17" fontId="29" numFmtId="164" xfId="0" applyAlignment="1" applyBorder="1" applyFill="1" applyFont="1" applyNumberFormat="1">
      <alignment horizontal="center" readingOrder="0" shrinkToFit="0" vertical="center" wrapText="0"/>
    </xf>
    <xf borderId="4" fillId="17" fontId="16" numFmtId="164" xfId="0" applyAlignment="1" applyBorder="1" applyFill="1" applyFont="1" applyNumberFormat="1">
      <alignment horizontal="center" readingOrder="0" shrinkToFit="0" vertical="center" wrapText="0"/>
    </xf>
    <xf borderId="3" fillId="6" fontId="8" numFmtId="49" xfId="0" applyAlignment="1" applyBorder="1" applyFill="1" applyFont="1" applyNumberFormat="1">
      <alignment horizontal="center" readingOrder="0" shrinkToFit="0" vertical="center" wrapText="0"/>
    </xf>
    <xf borderId="3" fillId="6" fontId="8" numFmtId="49" xfId="0" applyAlignment="1" applyBorder="1" applyFill="1" applyFont="1" applyNumberFormat="1">
      <alignment horizontal="center" readingOrder="0" shrinkToFit="0" vertical="bottom" wrapText="0"/>
    </xf>
    <xf borderId="11" fillId="14" fontId="25" numFmtId="0" xfId="0" applyAlignment="1" applyBorder="1" applyFill="1" applyFont="1">
      <alignment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4" fillId="6" fontId="13" numFmtId="166" xfId="0" applyAlignment="1" applyBorder="1" applyFill="1" applyFont="1" applyNumberFormat="1">
      <alignment horizontal="center" shrinkToFit="0" vertical="center" wrapText="0"/>
    </xf>
    <xf borderId="13" fillId="6" fontId="13" numFmtId="0" xfId="0" applyAlignment="1" applyBorder="1" applyFill="1" applyFont="1">
      <alignment horizontal="center" readingOrder="0" shrinkToFit="0" vertical="center" wrapText="0"/>
    </xf>
    <xf borderId="4" fillId="6" fontId="13" numFmtId="164" xfId="0" applyAlignment="1" applyBorder="1" applyFill="1" applyFont="1" applyNumberFormat="1">
      <alignment horizontal="center" readingOrder="0" shrinkToFit="0" vertical="center" wrapText="0"/>
    </xf>
    <xf borderId="4" fillId="6" fontId="16" numFmtId="49" xfId="0" applyAlignment="1" applyBorder="1" applyFill="1" applyFont="1" applyNumberFormat="1">
      <alignment readingOrder="0" shrinkToFit="0" vertical="bottom" wrapText="0"/>
    </xf>
    <xf borderId="14" fillId="6" fontId="13" numFmtId="0" xfId="0" applyAlignment="1" applyBorder="1" applyFill="1" applyFont="1">
      <alignment horizontal="center" readingOrder="0" shrinkToFit="0" vertical="center" wrapText="0"/>
    </xf>
    <xf borderId="4" fillId="6" fontId="29" numFmtId="164" xfId="0" applyAlignment="1" applyBorder="1" applyFill="1" applyFont="1" applyNumberFormat="1">
      <alignment horizontal="center"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4" fillId="6" fontId="14" numFmtId="166" xfId="0" applyAlignment="1" applyBorder="1" applyFill="1" applyFont="1" applyNumberFormat="1">
      <alignment horizontal="center" shrinkToFit="0" vertical="center" wrapText="0"/>
    </xf>
    <xf borderId="4" fillId="6" fontId="30" numFmtId="49" xfId="0" applyAlignment="1" applyBorder="1" applyFill="1" applyFont="1" applyNumberFormat="1">
      <alignment horizontal="center" readingOrder="0" shrinkToFit="0" vertical="center" wrapText="0"/>
    </xf>
    <xf borderId="0" fillId="16" fontId="29" numFmtId="164" xfId="0" applyAlignment="1" applyFill="1" applyFont="1" applyNumberFormat="1">
      <alignment horizontal="center" readingOrder="0" shrinkToFit="0" vertical="center" wrapText="0"/>
    </xf>
    <xf borderId="3" fillId="6" fontId="1" numFmtId="0" xfId="0" applyAlignment="1" applyBorder="1" applyFill="1" applyFont="1">
      <alignment horizontal="center" readingOrder="0" shrinkToFit="0" vertical="center" wrapText="0"/>
    </xf>
    <xf borderId="3" fillId="6" fontId="1" numFmtId="49" xfId="0" applyAlignment="1" applyBorder="1" applyFill="1" applyFont="1" applyNumberFormat="1">
      <alignment horizontal="center" shrinkToFit="0" vertical="center" wrapText="0"/>
    </xf>
    <xf borderId="3" fillId="6" fontId="11" numFmtId="164" xfId="0" applyAlignment="1" applyBorder="1" applyFill="1" applyFont="1" applyNumberFormat="1">
      <alignment horizontal="center" shrinkToFit="0" vertical="center" wrapText="0"/>
    </xf>
    <xf borderId="4" fillId="6" fontId="31" numFmtId="49" xfId="0" applyAlignment="1" applyBorder="1" applyFill="1" applyFont="1" applyNumberFormat="1">
      <alignment horizontal="center" readingOrder="0" shrinkToFit="0" vertical="center" wrapText="0"/>
    </xf>
    <xf borderId="0" fillId="6" fontId="13" numFmtId="0" xfId="0" applyAlignment="1" applyFill="1" applyFont="1">
      <alignment horizontal="center" readingOrder="0" shrinkToFit="0" vertical="center" wrapText="0"/>
    </xf>
    <xf borderId="4" fillId="6" fontId="31" numFmtId="49" xfId="0" applyAlignment="1" applyBorder="1" applyFill="1" applyFont="1" applyNumberFormat="1">
      <alignment readingOrder="0" shrinkToFit="0" vertical="center" wrapText="0"/>
    </xf>
    <xf borderId="6" fillId="6" fontId="13" numFmtId="0" xfId="0" applyAlignment="1" applyBorder="1" applyFill="1" applyFont="1">
      <alignment horizontal="center" readingOrder="0" shrinkToFit="0" vertical="center" wrapText="0"/>
    </xf>
    <xf borderId="0" fillId="6" fontId="16" numFmtId="164" xfId="0" applyAlignment="1" applyFill="1" applyFont="1" applyNumberFormat="1">
      <alignment horizontal="center" readingOrder="0" shrinkToFit="0" vertical="center" wrapText="0"/>
    </xf>
    <xf borderId="2" fillId="6" fontId="16" numFmtId="164" xfId="0" applyAlignment="1" applyBorder="1" applyFill="1" applyFont="1" applyNumberFormat="1">
      <alignment horizontal="center" readingOrder="0" shrinkToFit="0" vertical="center" wrapText="0"/>
    </xf>
    <xf borderId="2" fillId="6" fontId="1" numFmtId="0" xfId="0" applyAlignment="1" applyBorder="1" applyFill="1" applyFont="1">
      <alignment readingOrder="0" shrinkToFit="0" vertical="center" wrapText="0"/>
    </xf>
    <xf borderId="0" fillId="6" fontId="13" numFmtId="164" xfId="0" applyAlignment="1" applyFill="1" applyFont="1" applyNumberFormat="1">
      <alignment horizontal="center" readingOrder="0" shrinkToFit="0" vertical="center" wrapText="0"/>
    </xf>
    <xf borderId="2" fillId="6" fontId="13" numFmtId="166" xfId="0" applyAlignment="1" applyBorder="1" applyFill="1" applyFont="1" applyNumberFormat="1">
      <alignment horizontal="center" shrinkToFit="0" vertical="center" wrapText="0"/>
    </xf>
    <xf borderId="15" fillId="6" fontId="13" numFmtId="166" xfId="0" applyAlignment="1" applyBorder="1" applyFill="1" applyFont="1" applyNumberFormat="1">
      <alignment horizontal="center" shrinkToFit="0" vertical="center" wrapText="0"/>
    </xf>
    <xf borderId="16" fillId="6" fontId="13" numFmtId="166" xfId="0" applyAlignment="1" applyBorder="1" applyFill="1" applyFont="1" applyNumberFormat="1">
      <alignment horizontal="center" shrinkToFit="0" vertical="center" wrapText="0"/>
    </xf>
    <xf borderId="5" fillId="6" fontId="13" numFmtId="166" xfId="0" applyAlignment="1" applyBorder="1" applyFill="1" applyFont="1" applyNumberFormat="1">
      <alignment horizontal="center" shrinkToFit="0" vertical="center" wrapText="0"/>
    </xf>
    <xf borderId="2" fillId="6" fontId="13" numFmtId="164" xfId="0" applyAlignment="1" applyBorder="1" applyFill="1" applyFont="1" applyNumberFormat="1">
      <alignment horizontal="center" readingOrder="0" shrinkToFit="0" vertical="center" wrapText="0"/>
    </xf>
    <xf borderId="5" fillId="6" fontId="17" numFmtId="166" xfId="0" applyAlignment="1" applyBorder="1" applyFill="1" applyFont="1" applyNumberFormat="1">
      <alignment horizontal="center" readingOrder="0" shrinkToFit="0" vertical="center" wrapText="0"/>
    </xf>
    <xf borderId="6" fillId="6" fontId="17" numFmtId="0" xfId="0" applyAlignment="1" applyBorder="1" applyFill="1" applyFont="1">
      <alignment horizontal="center" readingOrder="0" shrinkToFit="0" vertical="center" wrapText="0"/>
    </xf>
    <xf borderId="2" fillId="6" fontId="29" numFmtId="164" xfId="0" applyAlignment="1" applyBorder="1" applyFill="1" applyFont="1" applyNumberFormat="1">
      <alignment horizontal="center" readingOrder="0" shrinkToFit="0" vertical="center" wrapText="0"/>
    </xf>
    <xf borderId="2" fillId="6" fontId="21" numFmtId="0" xfId="0" applyAlignment="1" applyBorder="1" applyFill="1" applyFont="1">
      <alignment horizontal="center" readingOrder="0" shrinkToFit="0" vertical="center" wrapText="0"/>
    </xf>
    <xf borderId="2" fillId="6" fontId="17" numFmtId="166" xfId="0" applyAlignment="1" applyBorder="1" applyFill="1" applyFont="1" applyNumberFormat="1">
      <alignment horizontal="center" shrinkToFit="0" vertical="center" wrapText="0"/>
    </xf>
    <xf borderId="5" fillId="6" fontId="17" numFmtId="166" xfId="0" applyAlignment="1" applyBorder="1" applyFill="1" applyFont="1" applyNumberFormat="1">
      <alignment horizontal="center" shrinkToFit="0" vertical="center" wrapText="0"/>
    </xf>
    <xf borderId="0" fillId="6" fontId="21" numFmtId="164" xfId="0" applyAlignment="1" applyFill="1" applyFont="1" applyNumberFormat="1">
      <alignment horizontal="center" readingOrder="0" shrinkToFit="0" vertical="center" wrapText="0"/>
    </xf>
    <xf borderId="17" fillId="6" fontId="17" numFmtId="0" xfId="0" applyAlignment="1" applyBorder="1" applyFill="1" applyFont="1">
      <alignment horizontal="center" readingOrder="0" shrinkToFit="0" vertical="center" wrapText="0"/>
    </xf>
    <xf borderId="5" fillId="6" fontId="14" numFmtId="166" xfId="0" applyAlignment="1" applyBorder="1" applyFill="1" applyFont="1" applyNumberFormat="1">
      <alignment horizontal="center" shrinkToFit="0" vertical="center" wrapText="0"/>
    </xf>
    <xf borderId="3" fillId="18" fontId="32" numFmtId="0" xfId="0" applyAlignment="1" applyBorder="1" applyFill="1" applyFont="1">
      <alignment horizontal="center" shrinkToFit="0" vertical="center" wrapText="0"/>
    </xf>
    <xf borderId="3" fillId="19" fontId="1" numFmtId="49" xfId="0" applyAlignment="1" applyBorder="1" applyFill="1" applyFont="1" applyNumberFormat="1">
      <alignment horizontal="center" readingOrder="0" shrinkToFit="0" vertical="center" wrapText="0"/>
    </xf>
    <xf borderId="3" fillId="6" fontId="33" numFmtId="0" xfId="0" applyAlignment="1" applyBorder="1" applyFill="1" applyFont="1">
      <alignment horizontal="center" shrinkToFit="0" vertical="center" wrapText="0"/>
    </xf>
    <xf borderId="2" fillId="6" fontId="14" numFmtId="166" xfId="0" applyAlignment="1" applyBorder="1" applyFill="1" applyFont="1" applyNumberFormat="1">
      <alignment horizontal="center" readingOrder="0" shrinkToFit="0" vertical="center" wrapText="0"/>
    </xf>
    <xf borderId="3" fillId="18" fontId="32" numFmtId="0" xfId="0" applyAlignment="1" applyBorder="1" applyFill="1" applyFont="1">
      <alignment horizontal="center" readingOrder="0" shrinkToFit="0" vertical="center" wrapText="0"/>
    </xf>
    <xf borderId="3" fillId="20" fontId="1" numFmtId="49" xfId="0" applyAlignment="1" applyBorder="1" applyFill="1" applyFont="1" applyNumberFormat="1">
      <alignment horizontal="center" readingOrder="0" shrinkToFit="0" vertical="center" wrapText="0"/>
    </xf>
    <xf borderId="3" fillId="11" fontId="1" numFmtId="49" xfId="0" applyAlignment="1" applyBorder="1" applyFill="1" applyFont="1" applyNumberFormat="1">
      <alignment horizontal="center" readingOrder="0" shrinkToFit="0" vertical="center" wrapText="0"/>
    </xf>
    <xf borderId="3" fillId="21" fontId="34" numFmtId="0" xfId="0" applyAlignment="1" applyBorder="1" applyFill="1" applyFont="1">
      <alignment horizontal="center" readingOrder="0" shrinkToFit="0" vertical="center" wrapText="0"/>
    </xf>
    <xf borderId="3" fillId="6" fontId="35" numFmtId="0" xfId="0" applyAlignment="1" applyBorder="1" applyFill="1" applyFont="1">
      <alignment horizontal="center" shrinkToFit="0" vertical="center" wrapText="0"/>
    </xf>
    <xf borderId="3" fillId="6" fontId="35" numFmtId="166" xfId="0" applyAlignment="1" applyBorder="1" applyFill="1" applyFont="1" applyNumberFormat="1">
      <alignment horizontal="center" shrinkToFit="0" vertical="center" wrapText="0"/>
    </xf>
    <xf borderId="3" fillId="6" fontId="35" numFmtId="49" xfId="0" applyAlignment="1" applyBorder="1" applyFill="1" applyFont="1" applyNumberFormat="1">
      <alignment horizontal="center" shrinkToFit="0" vertical="center" wrapText="0"/>
    </xf>
    <xf borderId="3" fillId="11" fontId="35" numFmtId="49" xfId="0" applyAlignment="1" applyBorder="1" applyFill="1" applyFont="1" applyNumberFormat="1">
      <alignment horizontal="center" shrinkToFit="0" vertical="center" wrapText="0"/>
    </xf>
    <xf borderId="3" fillId="22" fontId="36" numFmtId="0" xfId="0" applyAlignment="1" applyBorder="1" applyFill="1" applyFont="1">
      <alignment horizontal="center" readingOrder="0" shrinkToFit="0" vertical="center" wrapText="0"/>
    </xf>
    <xf borderId="3" fillId="6" fontId="37" numFmtId="164" xfId="0" applyAlignment="1" applyBorder="1" applyFill="1" applyFont="1" applyNumberFormat="1">
      <alignment horizontal="center" shrinkToFit="0" vertical="center" wrapText="0"/>
    </xf>
    <xf borderId="3" fillId="6" fontId="35" numFmtId="0" xfId="0" applyAlignment="1" applyBorder="1" applyFill="1" applyFont="1">
      <alignment horizontal="center" readingOrder="0" shrinkToFit="0" vertical="center" wrapText="0"/>
    </xf>
    <xf borderId="3" fillId="6" fontId="11" numFmtId="166" xfId="0" applyAlignment="1" applyBorder="1" applyFill="1" applyFont="1" applyNumberFormat="1">
      <alignment horizontal="center" readingOrder="0" shrinkToFit="0" vertical="center" wrapText="0"/>
    </xf>
    <xf borderId="3" fillId="23" fontId="38" numFmtId="0" xfId="0" applyAlignment="1" applyBorder="1" applyFill="1" applyFont="1">
      <alignment horizontal="center" readingOrder="0" shrinkToFit="0" vertical="center" wrapText="0"/>
    </xf>
    <xf borderId="2" fillId="6" fontId="18" numFmtId="0" xfId="0" applyAlignment="1" applyBorder="1" applyFill="1" applyFont="1">
      <alignment horizontal="center" readingOrder="0" shrinkToFit="0" vertical="center" wrapText="0"/>
    </xf>
    <xf borderId="5" fillId="6" fontId="13" numFmtId="166" xfId="0" applyAlignment="1" applyBorder="1" applyFill="1" applyFont="1" applyNumberFormat="1">
      <alignment horizontal="center" readingOrder="0" shrinkToFit="0" vertical="center" wrapText="0"/>
    </xf>
    <xf borderId="0" fillId="17" fontId="31" numFmtId="164" xfId="0" applyAlignment="1" applyFill="1" applyFont="1" applyNumberFormat="1">
      <alignment horizontal="center" readingOrder="0" shrinkToFit="0" vertical="center" wrapText="0"/>
    </xf>
    <xf borderId="2" fillId="6" fontId="14" numFmtId="0" xfId="0" applyAlignment="1" applyBorder="1" applyFill="1" applyFont="1">
      <alignment horizontal="center" readingOrder="0" shrinkToFit="0" vertical="center" wrapText="0"/>
    </xf>
    <xf borderId="10" fillId="6" fontId="13" numFmtId="166" xfId="0" applyAlignment="1" applyBorder="1" applyFill="1" applyFont="1" applyNumberFormat="1">
      <alignment horizontal="center" shrinkToFit="0" vertical="center" wrapText="0"/>
    </xf>
    <xf borderId="18" fillId="6" fontId="13" numFmtId="0" xfId="0" applyAlignment="1" applyBorder="1" applyFill="1" applyFont="1">
      <alignment horizontal="center" readingOrder="0" shrinkToFit="0" vertical="center" wrapText="0"/>
    </xf>
    <xf borderId="7" fillId="6" fontId="13" numFmtId="0" xfId="0" applyAlignment="1" applyBorder="1" applyFill="1" applyFont="1">
      <alignment horizontal="center" readingOrder="0" shrinkToFit="0" vertical="center" wrapText="0"/>
    </xf>
    <xf borderId="7" fillId="6" fontId="13" numFmtId="164" xfId="0" applyAlignment="1" applyBorder="1" applyFill="1" applyFont="1" applyNumberFormat="1">
      <alignment horizontal="center" readingOrder="0" shrinkToFit="0" vertical="center" wrapText="0"/>
    </xf>
    <xf borderId="2" fillId="6" fontId="13" numFmtId="0" xfId="0" applyAlignment="1" applyBorder="1" applyFill="1" applyFont="1">
      <alignment horizontal="center" readingOrder="0" shrinkToFit="0" vertical="center" wrapText="0"/>
    </xf>
    <xf borderId="4" fillId="6" fontId="39" numFmtId="49" xfId="0" applyAlignment="1" applyBorder="1" applyFill="1" applyFont="1" applyNumberFormat="1">
      <alignment readingOrder="0" shrinkToFit="0" vertical="center" wrapText="0"/>
    </xf>
    <xf borderId="4" fillId="6" fontId="29" numFmtId="49" xfId="0" applyAlignment="1" applyBorder="1" applyFill="1" applyFont="1" applyNumberFormat="1">
      <alignment readingOrder="0" shrinkToFit="0" vertical="center" wrapText="0"/>
    </xf>
    <xf borderId="6" fillId="6" fontId="13" numFmtId="0" xfId="0" applyAlignment="1" applyBorder="1" applyFill="1" applyFont="1">
      <alignment horizontal="center" shrinkToFit="0" vertical="center" wrapText="0"/>
    </xf>
    <xf borderId="4" fillId="6" fontId="40" numFmtId="49" xfId="0" applyAlignment="1" applyBorder="1" applyFill="1" applyFont="1" applyNumberFormat="1">
      <alignment readingOrder="0" shrinkToFit="0" vertical="center" wrapText="0"/>
    </xf>
    <xf borderId="4" fillId="6" fontId="29" numFmtId="49" xfId="0" applyAlignment="1" applyBorder="1" applyFill="1" applyFont="1" applyNumberFormat="1">
      <alignment readingOrder="0" shrinkToFit="0" vertical="bottom" wrapText="0"/>
    </xf>
    <xf borderId="4" fillId="6" fontId="41" numFmtId="49" xfId="0" applyAlignment="1" applyBorder="1" applyFill="1" applyFont="1" applyNumberFormat="1">
      <alignment readingOrder="0" shrinkToFit="0" vertical="center" wrapText="0"/>
    </xf>
    <xf borderId="3" fillId="24" fontId="1" numFmtId="49" xfId="0" applyAlignment="1" applyBorder="1" applyFill="1" applyFont="1" applyNumberFormat="1">
      <alignment horizontal="center" readingOrder="0" shrinkToFit="0" vertical="center" wrapText="0"/>
    </xf>
    <xf borderId="3" fillId="11" fontId="1" numFmtId="49" xfId="0" applyAlignment="1" applyBorder="1" applyFill="1" applyFont="1" applyNumberFormat="1">
      <alignment horizontal="center" shrinkToFit="0" vertical="center" wrapText="0"/>
    </xf>
    <xf borderId="3" fillId="6" fontId="1" numFmtId="49" xfId="0" applyAlignment="1" applyBorder="1" applyFill="1" applyFont="1" applyNumberFormat="1">
      <alignment horizontal="center" readingOrder="0" shrinkToFit="0" vertical="center" wrapText="1"/>
    </xf>
    <xf borderId="3" fillId="6" fontId="1" numFmtId="169" xfId="0" applyAlignment="1" applyBorder="1" applyFill="1" applyFont="1" applyNumberFormat="1">
      <alignment horizontal="center" readingOrder="0" shrinkToFit="0" vertical="center" wrapText="0"/>
    </xf>
    <xf borderId="3" fillId="6" fontId="42" numFmtId="0" xfId="0" applyAlignment="1" applyBorder="1" applyFill="1" applyFont="1">
      <alignment horizontal="center" readingOrder="0" shrinkToFit="0" textRotation="0" vertical="top" wrapText="0"/>
    </xf>
    <xf borderId="3" fillId="25" fontId="1" numFmtId="49" xfId="0" applyAlignment="1" applyBorder="1" applyFill="1" applyFont="1" applyNumberFormat="1">
      <alignment horizontal="center" readingOrder="0" shrinkToFit="0" vertical="center" wrapText="0"/>
    </xf>
    <xf borderId="3" fillId="10" fontId="1" numFmtId="49" xfId="0" applyAlignment="1" applyBorder="1" applyFill="1" applyFont="1" applyNumberFormat="1">
      <alignment horizontal="center" readingOrder="0" shrinkToFit="0" vertical="center" wrapText="0"/>
    </xf>
    <xf borderId="3" fillId="10" fontId="11" numFmtId="49" xfId="0" applyAlignment="1" applyBorder="1" applyFill="1" applyFont="1" applyNumberFormat="1">
      <alignment horizontal="center" readingOrder="0" shrinkToFit="0" vertical="center" wrapText="0"/>
    </xf>
    <xf borderId="3" fillId="6" fontId="1" numFmtId="11" xfId="0" applyAlignment="1" applyBorder="1" applyFill="1" applyFont="1" applyNumberFormat="1">
      <alignment horizontal="center" readingOrder="0" shrinkToFit="0" vertical="center" wrapText="0"/>
    </xf>
    <xf borderId="3" fillId="26" fontId="1" numFmtId="49" xfId="0" applyAlignment="1" applyBorder="1" applyFill="1" applyFont="1" applyNumberFormat="1">
      <alignment horizontal="center" readingOrder="0" shrinkToFit="0" vertical="center" wrapText="0"/>
    </xf>
    <xf borderId="3" fillId="8" fontId="1" numFmtId="49" xfId="0" applyAlignment="1" applyBorder="1" applyFill="1" applyFont="1" applyNumberFormat="1">
      <alignment horizontal="center" readingOrder="0" shrinkToFit="0" vertical="center" wrapText="0"/>
    </xf>
    <xf borderId="0" fillId="0" fontId="1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3" fillId="6" fontId="11" numFmtId="49" xfId="0" applyAlignment="1" applyBorder="1" applyFill="1" applyFont="1" applyNumberFormat="1">
      <alignment horizontal="center" readingOrder="0" shrinkToFit="0" vertical="center" wrapText="0"/>
    </xf>
    <xf borderId="3" fillId="6" fontId="11" numFmtId="166" xfId="0" applyAlignment="1" applyBorder="1" applyFill="1" applyFont="1" applyNumberFormat="1">
      <alignment horizontal="center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002D74"/>
          <bgColor rgb="FF002D74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02D74"/>
        </left>
        <right style="thin">
          <color rgb="FF002D74"/>
        </right>
        <top style="thin">
          <color rgb="FF002D74"/>
        </top>
        <bottom style="thin">
          <color rgb="FF002D74"/>
        </bottom>
      </border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9">
    <tableStyle count="4" pivot="0" name="OMAR MINAY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HON ZAMO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AHOMI DIAZ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GIE SILVE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UIS CHU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ATHALIE ARAND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IMMY COLLAZ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ENNY MORA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INNIE ESCALAN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OSE LUIS QUINTER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IELLA PAÑAHU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EXANDRA GUZM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ENDY IPANEQU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MALIA QUIN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ALIA SALO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IOLETA LLERE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ACELY VENTU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LUSKA LINA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OSUE CENTEN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9:Q52" displayName="OPI_11" name="OPI_11" id="3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NAHOMI DIAZ-style" showColumnStripes="0" showFirstColumn="1" showLastColumn="1" showRowStripes="1"/>
</table>
</file>

<file path=xl/tables/table2.xml><?xml version="1.0" encoding="utf-8"?>
<table xmlns="http://schemas.openxmlformats.org/spreadsheetml/2006/main" ref="B9:Q52" displayName="OPI_5" name="OPI_5" id="1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OMAR MINAYA-style" showColumnStripes="0" showFirstColumn="1" showLastColumn="1" showRowStripes="1"/>
</table>
</file>

<file path=xl/tables/table3.xml><?xml version="1.0" encoding="utf-8"?>
<table xmlns="http://schemas.openxmlformats.org/spreadsheetml/2006/main" ref="B9:Q52" displayName="OPI_3" name="OPI_3" id="2">
  <autoFilter ref="$B$9:$Q$52">
    <filterColumn colId="8">
      <filters>
        <filter val="Desembolsado"/>
      </filters>
    </filterColumn>
  </autoFilter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JHON ZAMORA-style" showColumnStripes="0" showFirstColumn="1" showLastColumn="1" showRowStripes="1"/>
</table>
</file>

<file path=xl/tables/table4.xml><?xml version="1.0" encoding="utf-8"?>
<table xmlns="http://schemas.openxmlformats.org/spreadsheetml/2006/main" ref="B9:Q52" displayName="OPI" name="OPI" id="4">
  <autoFilter ref="$B$9:$Q$52"/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ANGIE SILVERA-style" showColumnStripes="0" showFirstColumn="1" showLastColumn="1" showRowStripes="1"/>
</table>
</file>

<file path=xl/tables/table5.xml><?xml version="1.0" encoding="utf-8"?>
<table xmlns="http://schemas.openxmlformats.org/spreadsheetml/2006/main" ref="B9:Q52" displayName="OPI_7" name="OPI_7" id="5">
  <autoFilter ref="$B$9:$Q$52">
    <filterColumn colId="8">
      <filters>
        <filter val="Desembolsado"/>
      </filters>
    </filterColumn>
  </autoFilter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LUIS CHUSE-style" showColumnStripes="0" showFirstColumn="1" showLastColumn="1" showRowStripes="1"/>
</table>
</file>

<file path=xl/tables/table6.xml><?xml version="1.0" encoding="utf-8"?>
<table xmlns="http://schemas.openxmlformats.org/spreadsheetml/2006/main" ref="B9:Q52" displayName="OPI_12" name="OPI_12" id="6">
  <autoFilter ref="$B$9:$Q$52"/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NATHALIE ARANDA-style" showColumnStripes="0" showFirstColumn="1" showLastColumn="1" showRowStripes="1"/>
</table>
</file>

<file path=xl/tables/table7.xml><?xml version="1.0" encoding="utf-8"?>
<table xmlns="http://schemas.openxmlformats.org/spreadsheetml/2006/main" ref="B9:Q52" displayName="OPI_4" name="OPI_4" id="7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JIMMY COLLAZOS-style" showColumnStripes="0" showFirstColumn="1" showLastColumn="1" showRowStripes="1"/>
</table>
</file>

<file path=xl/tables/table8.xml><?xml version="1.0" encoding="utf-8"?>
<table xmlns="http://schemas.openxmlformats.org/spreadsheetml/2006/main" ref="B9:Q52" displayName="OPI_6" name="OPI_6" id="8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KENNY MORALES-style" showColumnStripes="0" showFirstColumn="1" showLastColumn="1" showRowStripes="1"/>
</table>
</file>

<file path=xl/tables/table9.xml><?xml version="1.0" encoding="utf-8"?>
<table xmlns="http://schemas.openxmlformats.org/spreadsheetml/2006/main" ref="B9:Q52" displayName="OPI_10" name="OPI_10" id="9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WINNIE ESCALANTE-style" showColumnStripes="0" showFirstColumn="1" showLastColumn="1" showRowStripes="1"/>
</table>
</file>

<file path=xl/tables/table10.xml><?xml version="1.0" encoding="utf-8"?>
<table xmlns="http://schemas.openxmlformats.org/spreadsheetml/2006/main" ref="B9:Q52" displayName="OPI_8" name="OPI_8" id="10">
  <autoFilter ref="$B$9:$Q$52">
    <filterColumn colId="8">
      <filters blank="1">
        <filter val="Desembolsado"/>
        <filter val="Obs BCP"/>
        <filter val="Rechazado"/>
        <filter val="Evaluación BCP"/>
      </filters>
    </filterColumn>
  </autoFilter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LUIS ALBETO SAAVEDRA MORALE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JOSE LUIS QUINTEROS-style" showColumnStripes="0" showFirstColumn="1" showLastColumn="1" showRowStripes="1"/>
</table>
</file>

<file path=xl/tables/table11.xml><?xml version="1.0" encoding="utf-8"?>
<table xmlns="http://schemas.openxmlformats.org/spreadsheetml/2006/main" ref="B9:Q52" displayName="OPI_9" name="OPI_9" id="11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Columna 10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MARIELLA PAÑAHUA-style" showColumnStripes="0" showFirstColumn="1" showLastColumn="1" showRowStripes="1"/>
</table>
</file>

<file path=xl/tables/table12.xml><?xml version="1.0" encoding="utf-8"?>
<table xmlns="http://schemas.openxmlformats.org/spreadsheetml/2006/main" ref="B9:Q52" displayName="OPI_15" name="OPI_15" id="12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ALEXANDRA GUZMAN-style" showColumnStripes="0" showFirstColumn="1" showLastColumn="1" showRowStripes="1"/>
</table>
</file>

<file path=xl/tables/table13.xml><?xml version="1.0" encoding="utf-8"?>
<table xmlns="http://schemas.openxmlformats.org/spreadsheetml/2006/main" ref="B9:Q52" displayName="OPI_14" name="OPI_14" id="13">
  <autoFilter ref="$B$9:$Q$52"/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WENDY IPANEQUE-style" showColumnStripes="0" showFirstColumn="1" showLastColumn="1" showRowStripes="1"/>
</table>
</file>

<file path=xl/tables/table14.xml><?xml version="1.0" encoding="utf-8"?>
<table xmlns="http://schemas.openxmlformats.org/spreadsheetml/2006/main" ref="B9:Q52" displayName="OPI_16" name="OPI_16" id="14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AMALIA QUINDE-style" showColumnStripes="0" showFirstColumn="1" showLastColumn="1" showRowStripes="1"/>
</table>
</file>

<file path=xl/tables/table15.xml><?xml version="1.0" encoding="utf-8"?>
<table xmlns="http://schemas.openxmlformats.org/spreadsheetml/2006/main" ref="B9:Q52" displayName="OPI_18" name="OPI_18" id="15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THALIA SALOME-style" showColumnStripes="0" showFirstColumn="1" showLastColumn="1" showRowStripes="1"/>
</table>
</file>

<file path=xl/tables/table16.xml><?xml version="1.0" encoding="utf-8"?>
<table xmlns="http://schemas.openxmlformats.org/spreadsheetml/2006/main" ref="B9:Q52" displayName="OPI_13" name="OPI_13" id="16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VIOLETA LLERENA-style" showColumnStripes="0" showFirstColumn="1" showLastColumn="1" showRowStripes="1"/>
</table>
</file>

<file path=xl/tables/table17.xml><?xml version="1.0" encoding="utf-8"?>
<table xmlns="http://schemas.openxmlformats.org/spreadsheetml/2006/main" ref="B9:Q52" displayName="OPI_2" name="OPI_2" id="17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ARACELY VENTURA-style" showColumnStripes="0" showFirstColumn="1" showLastColumn="1" showRowStripes="1"/>
</table>
</file>

<file path=xl/tables/table18.xml><?xml version="1.0" encoding="utf-8"?>
<table xmlns="http://schemas.openxmlformats.org/spreadsheetml/2006/main" ref="B9:Q52" displayName="OPI_19" name="OPI_19" id="18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MILUSKA LINARES-style" showColumnStripes="0" showFirstColumn="1" showLastColumn="1" showRowStripes="1"/>
</table>
</file>

<file path=xl/tables/table19.xml><?xml version="1.0" encoding="utf-8"?>
<table xmlns="http://schemas.openxmlformats.org/spreadsheetml/2006/main" ref="B9:Q52" displayName="OPI_17" name="OPI_17" id="19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JOSUE CENTEN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7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8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5"/>
    <col customWidth="1" min="2" max="2" width="21.63"/>
    <col customWidth="1" min="3" max="3" width="9.38"/>
    <col customWidth="1" min="4" max="4" width="19.25"/>
    <col customWidth="1" min="5" max="5" width="15.75"/>
    <col customWidth="1" min="6" max="6" width="16.88"/>
    <col customWidth="1" min="7" max="7" width="19.25"/>
    <col customWidth="1" min="8" max="8" width="21.5"/>
    <col customWidth="1" min="9" max="9" width="26.38"/>
    <col customWidth="1" min="10" max="10" width="15.88"/>
    <col customWidth="1" min="11" max="11" width="9.75"/>
    <col customWidth="1" min="12" max="12" width="18.5"/>
    <col customWidth="1" min="13" max="13" width="20.88"/>
    <col hidden="1" min="15" max="23" width="12.63"/>
  </cols>
  <sheetData>
    <row r="1">
      <c r="A1" s="1" t="s">
        <v>0</v>
      </c>
    </row>
    <row r="2">
      <c r="B2" s="2" t="s">
        <v>1</v>
      </c>
    </row>
    <row r="4" ht="22.5" customHeight="1">
      <c r="B4" s="3" t="s">
        <v>2</v>
      </c>
      <c r="C4" s="3" t="s">
        <v>3</v>
      </c>
      <c r="D4" s="4" t="s">
        <v>4</v>
      </c>
      <c r="E4" s="4" t="s">
        <v>5</v>
      </c>
      <c r="F4" s="6" t="s">
        <v>7</v>
      </c>
      <c r="G4" s="6" t="s">
        <v>9</v>
      </c>
      <c r="H4" s="6" t="s">
        <v>10</v>
      </c>
      <c r="I4" s="6" t="s">
        <v>12</v>
      </c>
      <c r="J4" s="6" t="s">
        <v>14</v>
      </c>
      <c r="K4" s="6" t="s">
        <v>15</v>
      </c>
      <c r="L4" s="6" t="s">
        <v>19</v>
      </c>
      <c r="M4" s="6" t="s">
        <v>22</v>
      </c>
    </row>
    <row r="5">
      <c r="B5" s="9" t="s">
        <v>25</v>
      </c>
      <c r="C5" s="9" t="str">
        <f>'JIMMY COLLAZOS'!D3</f>
        <v>TARAPOTO</v>
      </c>
      <c r="D5" s="12">
        <f>'JIMMY COLLAZOS'!$F$4</f>
        <v>331600</v>
      </c>
      <c r="E5" s="14">
        <f>'JIMMY COLLAZOS'!$F$5</f>
        <v>6</v>
      </c>
      <c r="F5" s="12">
        <f>'JIMMY COLLAZOS'!$K$4</f>
        <v>73000</v>
      </c>
      <c r="G5" s="12">
        <f>'JIMMY COLLAZOS'!$J$4</f>
        <v>0</v>
      </c>
      <c r="H5" s="12">
        <f>'JIMMY COLLAZOS'!$I$4</f>
        <v>0</v>
      </c>
      <c r="I5" s="12">
        <f>'JIMMY COLLAZOS'!$H$4</f>
        <v>0</v>
      </c>
      <c r="J5" s="12">
        <f>'JIMMY COLLAZOS'!E4</f>
        <v>800000</v>
      </c>
      <c r="K5" s="16">
        <f t="shared" ref="K5:K22" si="1">D5/J5</f>
        <v>0.4145</v>
      </c>
      <c r="L5" s="14">
        <f>'JIMMY COLLAZOS'!$K$5</f>
        <v>1</v>
      </c>
      <c r="M5" s="14">
        <f>'JIMMY COLLAZOS'!$J$5</f>
        <v>0</v>
      </c>
    </row>
    <row r="6">
      <c r="B6" s="9" t="s">
        <v>27</v>
      </c>
      <c r="C6" s="9" t="str">
        <f>'ALEXANDRA GUZMAN'!D3</f>
        <v>PIURA</v>
      </c>
      <c r="D6" s="12">
        <f>'ALEXANDRA GUZMAN'!$F$4</f>
        <v>0</v>
      </c>
      <c r="E6" s="14">
        <f>'ALEXANDRA GUZMAN'!$F$5</f>
        <v>0</v>
      </c>
      <c r="F6" s="12">
        <f>'ALEXANDRA GUZMAN'!$K$4</f>
        <v>0</v>
      </c>
      <c r="G6" s="12">
        <f>'ALEXANDRA GUZMAN'!$J$4</f>
        <v>0</v>
      </c>
      <c r="H6" s="12">
        <f>'ALEXANDRA GUZMAN'!$I$4</f>
        <v>0</v>
      </c>
      <c r="I6" s="12">
        <f>'ALEXANDRA GUZMAN'!$H$4</f>
        <v>0</v>
      </c>
      <c r="J6" s="12">
        <v>1000000.0</v>
      </c>
      <c r="K6" s="16">
        <f t="shared" si="1"/>
        <v>0</v>
      </c>
      <c r="L6" s="14">
        <f>'ALEXANDRA GUZMAN'!$K$5</f>
        <v>0</v>
      </c>
      <c r="M6" s="14">
        <f>'ALEXANDRA GUZMAN'!$J$5</f>
        <v>0</v>
      </c>
    </row>
    <row r="7">
      <c r="B7" s="9" t="s">
        <v>30</v>
      </c>
      <c r="C7" s="9" t="str">
        <f>'AMALIA QUINDE'!D3</f>
        <v>PIURA</v>
      </c>
      <c r="D7" s="12">
        <f>'AMALIA QUINDE'!$F$4</f>
        <v>162000</v>
      </c>
      <c r="E7" s="14">
        <f>'AMALIA QUINDE'!$F$5</f>
        <v>2</v>
      </c>
      <c r="F7" s="12">
        <f>'AMALIA QUINDE'!$K$4</f>
        <v>81500</v>
      </c>
      <c r="G7" s="12">
        <f>'AMALIA QUINDE'!$J$4</f>
        <v>0</v>
      </c>
      <c r="H7" s="12">
        <f>'AMALIA QUINDE'!$I$4</f>
        <v>0</v>
      </c>
      <c r="I7" s="12">
        <f>'AMALIA QUINDE'!$H$4</f>
        <v>0</v>
      </c>
      <c r="J7" s="12">
        <v>1000000.0</v>
      </c>
      <c r="K7" s="16">
        <f t="shared" si="1"/>
        <v>0.162</v>
      </c>
      <c r="L7" s="14">
        <f>'AMALIA QUINDE'!$K$5</f>
        <v>1</v>
      </c>
      <c r="M7" s="14">
        <f>'AMALIA QUINDE'!$J$5</f>
        <v>0</v>
      </c>
    </row>
    <row r="8">
      <c r="B8" s="9" t="s">
        <v>32</v>
      </c>
      <c r="C8" s="9" t="str">
        <f>'WENDY IPANEQUE'!D3</f>
        <v>PIURA</v>
      </c>
      <c r="D8" s="12">
        <f>'WENDY IPANEQUE'!$F$4</f>
        <v>526400</v>
      </c>
      <c r="E8" s="14">
        <f>'WENDY IPANEQUE'!$F$5</f>
        <v>8</v>
      </c>
      <c r="F8" s="12">
        <f>'WENDY IPANEQUE'!$K$4</f>
        <v>40000</v>
      </c>
      <c r="G8" s="12">
        <f>'WENDY IPANEQUE'!$J$4</f>
        <v>0</v>
      </c>
      <c r="H8" s="12">
        <f>'WENDY IPANEQUE'!$I$4</f>
        <v>0</v>
      </c>
      <c r="I8" s="12">
        <f>'WENDY IPANEQUE'!$H$4</f>
        <v>58000</v>
      </c>
      <c r="J8" s="12">
        <v>1000000.0</v>
      </c>
      <c r="K8" s="16">
        <f t="shared" si="1"/>
        <v>0.5264</v>
      </c>
      <c r="L8" s="14">
        <f>'WENDY IPANEQUE'!$K$5</f>
        <v>1</v>
      </c>
      <c r="M8" s="14">
        <f>'WENDY IPANEQUE'!$J$5</f>
        <v>0</v>
      </c>
    </row>
    <row r="9">
      <c r="B9" s="9" t="s">
        <v>43</v>
      </c>
      <c r="C9" s="9" t="str">
        <f>'ANGIE SILVERA'!D3</f>
        <v>LIMA</v>
      </c>
      <c r="D9" s="12">
        <f>'ANGIE SILVERA'!$F$4</f>
        <v>2726520</v>
      </c>
      <c r="E9" s="14">
        <f>'ANGIE SILVERA'!$F$5</f>
        <v>36</v>
      </c>
      <c r="F9" s="12">
        <f>'ANGIE SILVERA'!$K$4</f>
        <v>0</v>
      </c>
      <c r="G9" s="12">
        <f>'ANGIE SILVERA'!$J$4</f>
        <v>0</v>
      </c>
      <c r="H9" s="12">
        <f>'ANGIE SILVERA'!$I$4</f>
        <v>0</v>
      </c>
      <c r="I9" s="12">
        <f>'ANGIE SILVERA'!$H$4</f>
        <v>0</v>
      </c>
      <c r="J9" s="12">
        <f>'ANGIE SILVERA'!E4</f>
        <v>2000000</v>
      </c>
      <c r="K9" s="16">
        <f t="shared" si="1"/>
        <v>1.36326</v>
      </c>
      <c r="L9" s="14">
        <f>'ANGIE SILVERA'!$K$5</f>
        <v>0</v>
      </c>
      <c r="M9" s="14">
        <f>'ANGIE SILVERA'!$J$5</f>
        <v>0</v>
      </c>
    </row>
    <row r="10">
      <c r="B10" s="9" t="s">
        <v>57</v>
      </c>
      <c r="C10" s="9" t="str">
        <f>'KENNY MORALES'!D3</f>
        <v>LIMA</v>
      </c>
      <c r="D10" s="12">
        <f>'KENNY MORALES'!$F$4</f>
        <v>532500</v>
      </c>
      <c r="E10" s="14">
        <f>'KENNY MORALES'!$F$5</f>
        <v>7</v>
      </c>
      <c r="F10" s="12">
        <f>'KENNY MORALES'!$K$4</f>
        <v>354000</v>
      </c>
      <c r="G10" s="12">
        <f>'KENNY MORALES'!$J$4</f>
        <v>0</v>
      </c>
      <c r="H10" s="12">
        <f>'KENNY MORALES'!$I$4</f>
        <v>0</v>
      </c>
      <c r="I10" s="12">
        <f>'KENNY MORALES'!$H$4</f>
        <v>0</v>
      </c>
      <c r="J10" s="12">
        <f>'KENNY MORALES'!E4</f>
        <v>1000000</v>
      </c>
      <c r="K10" s="16">
        <f t="shared" si="1"/>
        <v>0.5325</v>
      </c>
      <c r="L10" s="14">
        <f>'KENNY MORALES'!$K$5</f>
        <v>5</v>
      </c>
      <c r="M10" s="14">
        <f>'KENNY MORALES'!$J$5</f>
        <v>0</v>
      </c>
    </row>
    <row r="11">
      <c r="B11" s="9" t="s">
        <v>66</v>
      </c>
      <c r="C11" s="9" t="str">
        <f>'LUIS CHUSE'!D3</f>
        <v>LIMA</v>
      </c>
      <c r="D11" s="12">
        <f>'LUIS CHUSE'!$F$4</f>
        <v>2216250</v>
      </c>
      <c r="E11" s="14">
        <f>'LUIS CHUSE'!$F$5</f>
        <v>33</v>
      </c>
      <c r="F11" s="12">
        <f>'LUIS CHUSE'!$K$4</f>
        <v>105700</v>
      </c>
      <c r="G11" s="12">
        <f>'LUIS CHUSE'!$J$4</f>
        <v>0</v>
      </c>
      <c r="H11" s="12">
        <f>'LUIS CHUSE'!$I$4</f>
        <v>0</v>
      </c>
      <c r="I11" s="12">
        <f>'LUIS CHUSE'!$H$4</f>
        <v>46000</v>
      </c>
      <c r="J11" s="12">
        <f>'LUIS CHUSE'!E4</f>
        <v>2000000</v>
      </c>
      <c r="K11" s="16">
        <f t="shared" si="1"/>
        <v>1.108125</v>
      </c>
      <c r="L11" s="14">
        <f>'LUIS CHUSE'!$K$5</f>
        <v>2</v>
      </c>
      <c r="M11" s="14">
        <f>'LUIS CHUSE'!$J$5</f>
        <v>0</v>
      </c>
    </row>
    <row r="12">
      <c r="B12" s="9" t="s">
        <v>77</v>
      </c>
      <c r="C12" s="9" t="str">
        <f>'MARIELLA PAÑAHUA'!D3</f>
        <v>AYACUCHO</v>
      </c>
      <c r="D12" s="12">
        <f>'MARIELLA PAÑAHUA'!$F$4</f>
        <v>845150</v>
      </c>
      <c r="E12" s="14">
        <f>'MARIELLA PAÑAHUA'!$F$5</f>
        <v>13</v>
      </c>
      <c r="F12" s="12">
        <f>'MARIELLA PAÑAHUA'!$K$4</f>
        <v>225800</v>
      </c>
      <c r="G12" s="12">
        <f>'MARIELLA PAÑAHUA'!$J$4</f>
        <v>70000</v>
      </c>
      <c r="H12" s="12">
        <f>'MARIELLA PAÑAHUA'!$I$4</f>
        <v>0</v>
      </c>
      <c r="I12" s="12">
        <f>'MARIELLA PAÑAHUA'!$H$4</f>
        <v>0</v>
      </c>
      <c r="J12" s="12">
        <f>'MARIELLA PAÑAHUA'!E4</f>
        <v>800000</v>
      </c>
      <c r="K12" s="16">
        <f t="shared" si="1"/>
        <v>1.0564375</v>
      </c>
      <c r="L12" s="14">
        <f>'MARIELLA PAÑAHUA'!$K$5</f>
        <v>3</v>
      </c>
      <c r="M12" s="14">
        <f>'MARIELLA PAÑAHUA'!$J$5</f>
        <v>1</v>
      </c>
    </row>
    <row r="13">
      <c r="B13" s="9" t="s">
        <v>85</v>
      </c>
      <c r="C13" s="9" t="str">
        <f>'WINNIE ESCALANTE'!D3</f>
        <v>LIMA</v>
      </c>
      <c r="D13" s="12">
        <f>'WINNIE ESCALANTE'!$F$4</f>
        <v>2030440</v>
      </c>
      <c r="E13" s="14">
        <f>'WINNIE ESCALANTE'!$F$5</f>
        <v>33</v>
      </c>
      <c r="F13" s="12">
        <f>'WINNIE ESCALANTE'!$K$4</f>
        <v>65000</v>
      </c>
      <c r="G13" s="12">
        <f>'WINNIE ESCALANTE'!$J$4</f>
        <v>0</v>
      </c>
      <c r="H13" s="12">
        <f>'WINNIE ESCALANTE'!$I$4</f>
        <v>0</v>
      </c>
      <c r="I13" s="12">
        <f>'WINNIE ESCALANTE'!$H$4</f>
        <v>0</v>
      </c>
      <c r="J13" s="12">
        <f>'WINNIE ESCALANTE'!E4</f>
        <v>2000000</v>
      </c>
      <c r="K13" s="16">
        <f t="shared" si="1"/>
        <v>1.01522</v>
      </c>
      <c r="L13" s="14">
        <f>'WINNIE ESCALANTE'!$K$5</f>
        <v>1</v>
      </c>
      <c r="M13" s="14">
        <f>'WINNIE ESCALANTE'!$J$5</f>
        <v>0</v>
      </c>
    </row>
    <row r="14">
      <c r="B14" s="9" t="s">
        <v>89</v>
      </c>
      <c r="C14" s="9" t="s">
        <v>90</v>
      </c>
      <c r="D14" s="12">
        <f>'JOSE LUIS QUINTEROS'!$F$4</f>
        <v>721466.1</v>
      </c>
      <c r="E14" s="14">
        <f>'JOSE LUIS QUINTEROS'!$F$5</f>
        <v>10</v>
      </c>
      <c r="F14" s="12">
        <f>'JOSE LUIS QUINTEROS'!$K$4</f>
        <v>93800</v>
      </c>
      <c r="G14" s="12">
        <f>'JOSE LUIS QUINTEROS'!$J$4</f>
        <v>72900</v>
      </c>
      <c r="H14" s="12">
        <f>'JOSE LUIS QUINTEROS'!$I$4</f>
        <v>162500</v>
      </c>
      <c r="I14" s="12">
        <f>'JOSE LUIS QUINTEROS'!$H$4</f>
        <v>0</v>
      </c>
      <c r="J14" s="12">
        <f>'JOSE LUIS QUINTEROS'!E4</f>
        <v>1000000</v>
      </c>
      <c r="K14" s="16">
        <f t="shared" si="1"/>
        <v>0.7214661</v>
      </c>
      <c r="L14" s="14">
        <f>'JOSE LUIS QUINTEROS'!$K$5</f>
        <v>1</v>
      </c>
      <c r="M14" s="14">
        <f>'JOSE LUIS QUINTEROS'!$J$5</f>
        <v>1</v>
      </c>
    </row>
    <row r="15">
      <c r="B15" s="9" t="s">
        <v>93</v>
      </c>
      <c r="C15" s="9" t="s">
        <v>90</v>
      </c>
      <c r="D15" s="12">
        <f>'NATHALIE ARANDA'!$F$4</f>
        <v>181100</v>
      </c>
      <c r="E15" s="14">
        <f>'NATHALIE ARANDA'!$F$5</f>
        <v>2</v>
      </c>
      <c r="F15" s="12">
        <f>'NATHALIE ARANDA'!$K$4</f>
        <v>233200</v>
      </c>
      <c r="G15" s="12">
        <f>'NATHALIE ARANDA'!$J$4</f>
        <v>0</v>
      </c>
      <c r="H15" s="12">
        <f>'NATHALIE ARANDA'!$I$4</f>
        <v>105900</v>
      </c>
      <c r="I15" s="12">
        <f>'NATHALIE ARANDA'!$H$4</f>
        <v>45100</v>
      </c>
      <c r="J15" s="12">
        <f>'NATHALIE ARANDA'!E4</f>
        <v>500000</v>
      </c>
      <c r="K15" s="16">
        <f t="shared" si="1"/>
        <v>0.3622</v>
      </c>
      <c r="L15" s="14">
        <f>'NATHALIE ARANDA'!$K$5</f>
        <v>3</v>
      </c>
      <c r="M15" s="14">
        <f>'NATHALIE ARANDA'!$J$5</f>
        <v>0</v>
      </c>
    </row>
    <row r="16">
      <c r="B16" s="9" t="s">
        <v>102</v>
      </c>
      <c r="C16" s="9" t="str">
        <f>'JHON ZAMORA'!D3</f>
        <v>CHICLAYO</v>
      </c>
      <c r="D16" s="12">
        <f>'JHON ZAMORA'!$F$4</f>
        <v>864480</v>
      </c>
      <c r="E16" s="14">
        <f>'JHON ZAMORA'!$F$5</f>
        <v>12</v>
      </c>
      <c r="F16" s="12">
        <f>'JHON ZAMORA'!$K$4</f>
        <v>198100</v>
      </c>
      <c r="G16" s="12">
        <f>'JHON ZAMORA'!$J$4</f>
        <v>0</v>
      </c>
      <c r="H16" s="12">
        <f>'JHON ZAMORA'!$I$4</f>
        <v>0</v>
      </c>
      <c r="I16" s="12">
        <f>'JHON ZAMORA'!$H$4</f>
        <v>0</v>
      </c>
      <c r="J16" s="12">
        <v>1000000.0</v>
      </c>
      <c r="K16" s="16">
        <f t="shared" si="1"/>
        <v>0.86448</v>
      </c>
      <c r="L16" s="14">
        <f>'JHON ZAMORA'!$K$5</f>
        <v>3</v>
      </c>
      <c r="M16" s="14">
        <f>'JHON ZAMORA'!$J$5</f>
        <v>0</v>
      </c>
    </row>
    <row r="17">
      <c r="B17" s="9" t="s">
        <v>110</v>
      </c>
      <c r="C17" s="9" t="str">
        <f>'OMAR MINAYA'!D3</f>
        <v>CHICLAYO</v>
      </c>
      <c r="D17" s="12">
        <f>'OMAR MINAYA'!$F$4</f>
        <v>875160</v>
      </c>
      <c r="E17" s="14">
        <f>'OMAR MINAYA'!$F$5</f>
        <v>13</v>
      </c>
      <c r="F17" s="12">
        <f>'OMAR MINAYA'!$K$4</f>
        <v>175250</v>
      </c>
      <c r="G17" s="12">
        <f>'OMAR MINAYA'!$J$4</f>
        <v>0</v>
      </c>
      <c r="H17" s="12">
        <f>'OMAR MINAYA'!$I$4</f>
        <v>0</v>
      </c>
      <c r="I17" s="12">
        <f>'OMAR MINAYA'!$H$4</f>
        <v>0</v>
      </c>
      <c r="J17" s="12">
        <v>1000000.0</v>
      </c>
      <c r="K17" s="16">
        <f t="shared" si="1"/>
        <v>0.87516</v>
      </c>
      <c r="L17" s="14">
        <f>'OMAR MINAYA'!$K$5</f>
        <v>2</v>
      </c>
      <c r="M17" s="14">
        <f>'OMAR MINAYA'!$J$5</f>
        <v>0</v>
      </c>
    </row>
    <row r="18">
      <c r="B18" s="9" t="s">
        <v>115</v>
      </c>
      <c r="C18" s="9" t="str">
        <f>'NAHOMI DIAZ'!D3</f>
        <v>CHICLAYO</v>
      </c>
      <c r="D18" s="12">
        <f>'NAHOMI DIAZ'!$F$4</f>
        <v>1781650</v>
      </c>
      <c r="E18" s="14">
        <f>'NAHOMI DIAZ'!$F$5</f>
        <v>24</v>
      </c>
      <c r="F18" s="12">
        <f>'NAHOMI DIAZ'!$K$4</f>
        <v>244700</v>
      </c>
      <c r="G18" s="12">
        <f>'NAHOMI DIAZ'!$J$4</f>
        <v>0</v>
      </c>
      <c r="H18" s="12">
        <f>'NAHOMI DIAZ'!$I$4</f>
        <v>408750</v>
      </c>
      <c r="I18" s="12">
        <f>'NAHOMI DIAZ'!$H$4</f>
        <v>79200</v>
      </c>
      <c r="J18" s="12">
        <v>1000000.0</v>
      </c>
      <c r="K18" s="16">
        <f t="shared" si="1"/>
        <v>1.78165</v>
      </c>
      <c r="L18" s="14">
        <f>'NAHOMI DIAZ'!$K$5</f>
        <v>3</v>
      </c>
      <c r="M18" s="14">
        <f>'NAHOMI DIAZ'!$J$5</f>
        <v>0</v>
      </c>
    </row>
    <row r="19">
      <c r="B19" s="9" t="s">
        <v>118</v>
      </c>
      <c r="C19" s="9" t="str">
        <f>'VIOLETA LLERENA'!D3</f>
        <v>AREQUIPA</v>
      </c>
      <c r="D19" s="12">
        <f>'VIOLETA LLERENA'!$F$4</f>
        <v>650700</v>
      </c>
      <c r="E19" s="14">
        <f>'VIOLETA LLERENA'!$F$5</f>
        <v>9</v>
      </c>
      <c r="F19" s="12">
        <f>'VIOLETA LLERENA'!$K$4</f>
        <v>0</v>
      </c>
      <c r="G19" s="12">
        <f>'VIOLETA LLERENA'!$J$4</f>
        <v>0</v>
      </c>
      <c r="H19" s="12">
        <f>'VIOLETA LLERENA'!$I$4</f>
        <v>0</v>
      </c>
      <c r="I19" s="12">
        <f>'VIOLETA LLERENA'!$H$4</f>
        <v>0</v>
      </c>
      <c r="J19" s="12">
        <v>1000000.0</v>
      </c>
      <c r="K19" s="16">
        <f t="shared" si="1"/>
        <v>0.6507</v>
      </c>
      <c r="L19" s="14">
        <f>'VIOLETA LLERENA'!$K$5</f>
        <v>0</v>
      </c>
      <c r="M19" s="14">
        <f>'VIOLETA LLERENA'!$J$5</f>
        <v>0</v>
      </c>
    </row>
    <row r="20">
      <c r="B20" s="9" t="s">
        <v>125</v>
      </c>
      <c r="C20" s="9" t="s">
        <v>126</v>
      </c>
      <c r="D20" s="12">
        <f>'MILUSKA LINARES'!$F$4</f>
        <v>0</v>
      </c>
      <c r="E20" s="14">
        <f>'MILUSKA LINARES'!$F$5</f>
        <v>0</v>
      </c>
      <c r="F20" s="12">
        <f>'MILUSKA LINARES'!$K$4</f>
        <v>0</v>
      </c>
      <c r="G20" s="12">
        <f>'MILUSKA LINARES'!$J$4</f>
        <v>0</v>
      </c>
      <c r="H20" s="12">
        <f>'MILUSKA LINARES'!$I$4</f>
        <v>0</v>
      </c>
      <c r="I20" s="12">
        <f>'MILUSKA LINARES'!$H$4</f>
        <v>0</v>
      </c>
      <c r="J20" s="12">
        <v>1000000.0</v>
      </c>
      <c r="K20" s="16">
        <f t="shared" si="1"/>
        <v>0</v>
      </c>
      <c r="L20" s="14">
        <f>'MILUSKA LINARES'!$K$5</f>
        <v>0</v>
      </c>
      <c r="M20" s="14">
        <f>'MILUSKA LINARES'!$J$5</f>
        <v>0</v>
      </c>
    </row>
    <row r="21">
      <c r="B21" s="9" t="s">
        <v>128</v>
      </c>
      <c r="C21" s="9" t="s">
        <v>130</v>
      </c>
      <c r="D21" s="12">
        <f>'THALIA SALOME'!$F$4</f>
        <v>52000</v>
      </c>
      <c r="E21" s="14">
        <f>'THALIA SALOME'!$F$5</f>
        <v>1</v>
      </c>
      <c r="F21" s="12">
        <f>'THALIA SALOME'!$K$4</f>
        <v>0</v>
      </c>
      <c r="G21" s="12">
        <f>'THALIA SALOME'!$J$4</f>
        <v>0</v>
      </c>
      <c r="H21" s="12">
        <f>'THALIA SALOME'!$I$4</f>
        <v>0</v>
      </c>
      <c r="I21" s="12">
        <f>'THALIA SALOME'!$H$4</f>
        <v>0</v>
      </c>
      <c r="J21" s="12">
        <v>1000000.0</v>
      </c>
      <c r="K21" s="16">
        <f t="shared" si="1"/>
        <v>0.052</v>
      </c>
      <c r="L21" s="14">
        <f>'THALIA SALOME'!$K$5</f>
        <v>0</v>
      </c>
      <c r="M21" s="14">
        <f>'THALIA SALOME'!$J$5</f>
        <v>0</v>
      </c>
    </row>
    <row r="22">
      <c r="B22" s="84" t="s">
        <v>138</v>
      </c>
      <c r="C22" s="85"/>
      <c r="D22" s="86">
        <f t="shared" ref="D22:J22" si="2">SUM(D5:D21)</f>
        <v>14497416.1</v>
      </c>
      <c r="E22" s="87">
        <f t="shared" si="2"/>
        <v>209</v>
      </c>
      <c r="F22" s="88">
        <f t="shared" si="2"/>
        <v>1890050</v>
      </c>
      <c r="G22" s="88">
        <f t="shared" si="2"/>
        <v>142900</v>
      </c>
      <c r="H22" s="88">
        <f t="shared" si="2"/>
        <v>677150</v>
      </c>
      <c r="I22" s="88">
        <f t="shared" si="2"/>
        <v>228300</v>
      </c>
      <c r="J22" s="88">
        <f t="shared" si="2"/>
        <v>19100000</v>
      </c>
      <c r="K22" s="89">
        <f t="shared" si="1"/>
        <v>0.7590270209</v>
      </c>
      <c r="L22" s="90">
        <f t="shared" ref="L22:M22" si="3">SUM(L5:L21)</f>
        <v>26</v>
      </c>
      <c r="M22" s="90">
        <f t="shared" si="3"/>
        <v>2</v>
      </c>
    </row>
    <row r="25">
      <c r="B25" s="93" t="s">
        <v>144</v>
      </c>
      <c r="C25" s="94"/>
      <c r="D25" s="4" t="s">
        <v>4</v>
      </c>
      <c r="E25" s="4" t="s">
        <v>5</v>
      </c>
      <c r="F25" s="6" t="s">
        <v>7</v>
      </c>
      <c r="G25" s="6" t="s">
        <v>9</v>
      </c>
      <c r="H25" s="6" t="s">
        <v>10</v>
      </c>
      <c r="I25" s="6" t="s">
        <v>12</v>
      </c>
      <c r="J25" s="6" t="s">
        <v>14</v>
      </c>
      <c r="K25" s="6" t="s">
        <v>15</v>
      </c>
      <c r="L25" s="6" t="s">
        <v>19</v>
      </c>
      <c r="M25" s="6" t="s">
        <v>22</v>
      </c>
    </row>
    <row r="26">
      <c r="B26" s="95" t="s">
        <v>90</v>
      </c>
      <c r="C26" s="94"/>
      <c r="D26" s="12">
        <f t="shared" ref="D26:J26" si="4">SUMIFS(D$5:D$21,$C$5:$C$21,$B26)</f>
        <v>8408276.1</v>
      </c>
      <c r="E26" s="14">
        <f t="shared" si="4"/>
        <v>121</v>
      </c>
      <c r="F26" s="12">
        <f t="shared" si="4"/>
        <v>851700</v>
      </c>
      <c r="G26" s="12">
        <f t="shared" si="4"/>
        <v>72900</v>
      </c>
      <c r="H26" s="12">
        <f t="shared" si="4"/>
        <v>268400</v>
      </c>
      <c r="I26" s="12">
        <f t="shared" si="4"/>
        <v>91100</v>
      </c>
      <c r="J26" s="12">
        <f t="shared" si="4"/>
        <v>8500000</v>
      </c>
      <c r="K26" s="16">
        <f t="shared" ref="K26:K31" si="7">D26/J26</f>
        <v>0.9892089529</v>
      </c>
      <c r="L26" s="14">
        <f t="shared" ref="L26:M26" si="5">SUMIFS(L$5:L$21,$C$5:$C$21,$B26)</f>
        <v>12</v>
      </c>
      <c r="M26" s="14">
        <f t="shared" si="5"/>
        <v>1</v>
      </c>
    </row>
    <row r="27">
      <c r="B27" s="95" t="s">
        <v>154</v>
      </c>
      <c r="C27" s="94"/>
      <c r="D27" s="12">
        <f t="shared" ref="D27:J27" si="6">SUMIFS(D5:D21,$C$5:$C$21,"CHICLAYO")+SUMIFS(D5:D21,$C$5:$C$21,"TRUJILLO")+SUMIFS(D5:D21,$C$5:$C$21,"PIURA")</f>
        <v>4209690</v>
      </c>
      <c r="E27" s="14">
        <f t="shared" si="6"/>
        <v>59</v>
      </c>
      <c r="F27" s="12">
        <f t="shared" si="6"/>
        <v>739550</v>
      </c>
      <c r="G27" s="12">
        <f t="shared" si="6"/>
        <v>0</v>
      </c>
      <c r="H27" s="12">
        <f t="shared" si="6"/>
        <v>408750</v>
      </c>
      <c r="I27" s="12">
        <f t="shared" si="6"/>
        <v>137200</v>
      </c>
      <c r="J27" s="12">
        <f t="shared" si="6"/>
        <v>7000000</v>
      </c>
      <c r="K27" s="16">
        <f t="shared" si="7"/>
        <v>0.6013842857</v>
      </c>
      <c r="L27" s="14">
        <f t="shared" ref="L27:M27" si="8">SUMIFS(L5:L21,$C$5:$C$21,"CHICLAYO")+SUMIFS(L5:L21,$C$5:$C$21,"TRUJILLO")+SUMIFS(L5:L21,$C$5:$C$21,"PIURA")</f>
        <v>10</v>
      </c>
      <c r="M27" s="14">
        <f t="shared" si="8"/>
        <v>0</v>
      </c>
    </row>
    <row r="28">
      <c r="B28" s="95" t="s">
        <v>163</v>
      </c>
      <c r="C28" s="94"/>
      <c r="D28" s="12">
        <f t="shared" ref="D28:J28" si="9">SUMIFS(D5:D21,$C$5:$C$21,"TARAPOTO")</f>
        <v>331600</v>
      </c>
      <c r="E28" s="14">
        <f t="shared" si="9"/>
        <v>6</v>
      </c>
      <c r="F28" s="12">
        <f t="shared" si="9"/>
        <v>73000</v>
      </c>
      <c r="G28" s="12">
        <f t="shared" si="9"/>
        <v>0</v>
      </c>
      <c r="H28" s="12">
        <f t="shared" si="9"/>
        <v>0</v>
      </c>
      <c r="I28" s="12">
        <f t="shared" si="9"/>
        <v>0</v>
      </c>
      <c r="J28" s="12">
        <f t="shared" si="9"/>
        <v>800000</v>
      </c>
      <c r="K28" s="16">
        <f t="shared" si="7"/>
        <v>0.4145</v>
      </c>
      <c r="L28" s="14">
        <f t="shared" ref="L28:M28" si="10">SUMIFS(L5:L21,$C$5:$C$21,"TARAPOTO")</f>
        <v>1</v>
      </c>
      <c r="M28" s="14">
        <f t="shared" si="10"/>
        <v>0</v>
      </c>
    </row>
    <row r="29">
      <c r="B29" s="9" t="s">
        <v>168</v>
      </c>
      <c r="C29" s="9"/>
      <c r="D29" s="12">
        <f t="shared" ref="D29:J29" si="11">SUMIFS(D5:D21,$C$5:$C$21,"AYACUCHO")</f>
        <v>845150</v>
      </c>
      <c r="E29" s="14">
        <f t="shared" si="11"/>
        <v>13</v>
      </c>
      <c r="F29" s="12">
        <f t="shared" si="11"/>
        <v>225800</v>
      </c>
      <c r="G29" s="12">
        <f t="shared" si="11"/>
        <v>70000</v>
      </c>
      <c r="H29" s="12">
        <f t="shared" si="11"/>
        <v>0</v>
      </c>
      <c r="I29" s="12">
        <f t="shared" si="11"/>
        <v>0</v>
      </c>
      <c r="J29" s="12">
        <f t="shared" si="11"/>
        <v>800000</v>
      </c>
      <c r="K29" s="16">
        <f t="shared" si="7"/>
        <v>1.0564375</v>
      </c>
      <c r="L29" s="14">
        <f t="shared" ref="L29:M29" si="12">SUMIFS(L5:L21,$C$5:$C$21,"AYACUCHO")</f>
        <v>3</v>
      </c>
      <c r="M29" s="14">
        <f t="shared" si="12"/>
        <v>1</v>
      </c>
    </row>
    <row r="30">
      <c r="B30" s="95" t="s">
        <v>172</v>
      </c>
      <c r="C30" s="94"/>
      <c r="D30" s="12">
        <f t="shared" ref="D30:J30" si="13">SUMIFS(D5:D21,$C$5:$C$21,"AREQUIPA")</f>
        <v>650700</v>
      </c>
      <c r="E30" s="14">
        <f t="shared" si="13"/>
        <v>9</v>
      </c>
      <c r="F30" s="12">
        <f t="shared" si="13"/>
        <v>0</v>
      </c>
      <c r="G30" s="12">
        <f t="shared" si="13"/>
        <v>0</v>
      </c>
      <c r="H30" s="12">
        <f t="shared" si="13"/>
        <v>0</v>
      </c>
      <c r="I30" s="12">
        <f t="shared" si="13"/>
        <v>0</v>
      </c>
      <c r="J30" s="12">
        <f t="shared" si="13"/>
        <v>1000000</v>
      </c>
      <c r="K30" s="16">
        <f t="shared" si="7"/>
        <v>0.6507</v>
      </c>
      <c r="L30" s="14" t="s">
        <v>176</v>
      </c>
      <c r="M30" s="14">
        <f>SUMIFS(M6:M22,$C$5:$C$21,"TARAPOTO")</f>
        <v>0</v>
      </c>
    </row>
    <row r="31">
      <c r="B31" s="101" t="s">
        <v>138</v>
      </c>
      <c r="C31" s="94"/>
      <c r="D31" s="86">
        <f t="shared" ref="D31:J31" si="14">SUM(D26:D30)</f>
        <v>14445416.1</v>
      </c>
      <c r="E31" s="87">
        <f t="shared" si="14"/>
        <v>208</v>
      </c>
      <c r="F31" s="88">
        <f t="shared" si="14"/>
        <v>1890050</v>
      </c>
      <c r="G31" s="88">
        <f t="shared" si="14"/>
        <v>142900</v>
      </c>
      <c r="H31" s="88">
        <f t="shared" si="14"/>
        <v>677150</v>
      </c>
      <c r="I31" s="88">
        <f t="shared" si="14"/>
        <v>228300</v>
      </c>
      <c r="J31" s="88">
        <f t="shared" si="14"/>
        <v>18100000</v>
      </c>
      <c r="K31" s="89">
        <f t="shared" si="7"/>
        <v>0.7980892873</v>
      </c>
      <c r="L31" s="90">
        <f t="shared" ref="L31:M31" si="15">SUM(L26:L30)</f>
        <v>26</v>
      </c>
      <c r="M31" s="90">
        <f t="shared" si="15"/>
        <v>2</v>
      </c>
    </row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</sheetData>
  <autoFilter ref="$B$4:$M$22">
    <sortState ref="B4:M22">
      <sortCondition descending="1" ref="C4:C22"/>
    </sortState>
  </autoFilter>
  <mergeCells count="6">
    <mergeCell ref="B25:C25"/>
    <mergeCell ref="B26:C26"/>
    <mergeCell ref="B27:C27"/>
    <mergeCell ref="B28:C28"/>
    <mergeCell ref="B30:C30"/>
    <mergeCell ref="B31:C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27.0"/>
    <col customWidth="1" min="9" max="9" width="19.25"/>
    <col customWidth="1" min="10" max="10" width="22.88"/>
    <col customWidth="1" min="11" max="11" width="17.0"/>
    <col customWidth="1" min="12" max="12" width="15.0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5" t="s">
        <v>6</v>
      </c>
      <c r="E3" s="7" t="s">
        <v>8</v>
      </c>
      <c r="F3" s="7" t="s">
        <v>11</v>
      </c>
      <c r="G3" s="8" t="s">
        <v>13</v>
      </c>
      <c r="H3" s="7" t="s">
        <v>16</v>
      </c>
      <c r="I3" s="7" t="s">
        <v>17</v>
      </c>
      <c r="J3" s="7" t="s">
        <v>18</v>
      </c>
      <c r="K3" s="7" t="s">
        <v>20</v>
      </c>
      <c r="L3" s="7" t="s">
        <v>21</v>
      </c>
      <c r="M3" s="7" t="s">
        <v>23</v>
      </c>
      <c r="N3" s="7" t="s">
        <v>24</v>
      </c>
    </row>
    <row r="4" ht="26.25" customHeight="1">
      <c r="D4" s="10" t="s">
        <v>26</v>
      </c>
      <c r="E4" s="11">
        <v>1000000.0</v>
      </c>
      <c r="F4" s="13">
        <f>SUMIFS(OPI_11[MAF NETO],OPI_11[ESTADO],"Desembolsado")</f>
        <v>1781650</v>
      </c>
      <c r="G4" s="13">
        <f>F4-E4</f>
        <v>781650</v>
      </c>
      <c r="H4" s="15">
        <f>SUMIFS(OPI_11[MAF NETO],OPI_11[ESTADO],H$3)</f>
        <v>79200</v>
      </c>
      <c r="I4" s="15">
        <f>SUMIFS(OPI_11[MAF NETO],OPI_11[ESTADO],I$3)</f>
        <v>408750</v>
      </c>
      <c r="J4" s="15">
        <f>SUMIFS(OPI_11[MAF NETO],OPI_11[ESTADO],J$3)</f>
        <v>0</v>
      </c>
      <c r="K4" s="15">
        <f>SUMIFS(OPI_11[MAF NETO],OPI_11[ESTADO],K$3)</f>
        <v>244700</v>
      </c>
      <c r="L4" s="15">
        <f>SUMIFS(OPI_11[MAF NETO],OPI_11[ESTADO],L$3)</f>
        <v>0</v>
      </c>
      <c r="M4" s="15">
        <f>SUMIFS(OPI_11[MAF NETO],OPI_11[ESTADO],M$3)</f>
        <v>0</v>
      </c>
      <c r="N4" s="15">
        <f>SUMIFS(OPI_11[MAF NETO],OPI_11[ESTADO],N$3)</f>
        <v>699700</v>
      </c>
    </row>
    <row r="5" ht="26.25" customHeight="1">
      <c r="D5" s="17" t="s">
        <v>28</v>
      </c>
      <c r="E5" s="18" t="s">
        <v>29</v>
      </c>
      <c r="F5" s="19">
        <f>COUNTIFS(OPI_11[ESTADO],"Desembolsado")</f>
        <v>24</v>
      </c>
      <c r="G5" s="20">
        <f>IFERROR(F4/E4,"")</f>
        <v>1.78165</v>
      </c>
      <c r="H5" s="19">
        <f>COUNTIFS(OPI_11[ESTADO],H$3)</f>
        <v>1</v>
      </c>
      <c r="I5" s="19">
        <f>COUNTIFS(OPI_11[ESTADO],I$3)</f>
        <v>5</v>
      </c>
      <c r="J5" s="19">
        <f>COUNTIFS(OPI_11[ESTADO],J$3)</f>
        <v>0</v>
      </c>
      <c r="K5" s="19">
        <f>COUNTIFS(OPI_11[ESTADO],K$3)</f>
        <v>3</v>
      </c>
      <c r="L5" s="19">
        <f>COUNTIFS(OPI_11[ESTADO],L$3)</f>
        <v>0</v>
      </c>
      <c r="M5" s="19">
        <f>COUNTIFS(OPI_11[ESTADO],M$3)</f>
        <v>0</v>
      </c>
      <c r="N5" s="19">
        <f>COUNTIFS(OPI_11[ESTADO],N$3)</f>
        <v>10</v>
      </c>
    </row>
    <row r="9" ht="22.5" customHeight="1">
      <c r="A9" s="21"/>
      <c r="B9" s="22" t="s">
        <v>31</v>
      </c>
      <c r="C9" s="22" t="s">
        <v>33</v>
      </c>
      <c r="D9" s="23" t="s">
        <v>34</v>
      </c>
      <c r="E9" s="22" t="s">
        <v>35</v>
      </c>
      <c r="F9" s="22" t="s">
        <v>36</v>
      </c>
      <c r="G9" s="22" t="s">
        <v>37</v>
      </c>
      <c r="H9" s="22" t="s">
        <v>38</v>
      </c>
      <c r="I9" s="22" t="s">
        <v>39</v>
      </c>
      <c r="J9" s="23" t="s">
        <v>40</v>
      </c>
      <c r="K9" s="22" t="s">
        <v>41</v>
      </c>
      <c r="L9" s="22" t="s">
        <v>42</v>
      </c>
      <c r="M9" s="23" t="s">
        <v>44</v>
      </c>
      <c r="N9" s="22" t="s">
        <v>45</v>
      </c>
      <c r="O9" s="23" t="s">
        <v>46</v>
      </c>
      <c r="P9" s="23" t="s">
        <v>47</v>
      </c>
      <c r="Q9" s="22" t="s">
        <v>48</v>
      </c>
    </row>
    <row r="10" ht="22.5" customHeight="1">
      <c r="B10" s="30"/>
      <c r="C10" s="31">
        <v>46187.0</v>
      </c>
      <c r="D10" s="33" t="s">
        <v>49</v>
      </c>
      <c r="E10" s="35"/>
      <c r="F10" s="36"/>
      <c r="G10" s="38" t="s">
        <v>72</v>
      </c>
      <c r="H10" s="39" t="s">
        <v>74</v>
      </c>
      <c r="I10" s="40" t="s">
        <v>76</v>
      </c>
      <c r="J10" s="41" t="s">
        <v>24</v>
      </c>
      <c r="K10" s="42">
        <v>82250.0</v>
      </c>
      <c r="L10" s="40" t="s">
        <v>78</v>
      </c>
      <c r="M10" s="43"/>
      <c r="N10" s="44"/>
      <c r="O10" s="43"/>
      <c r="P10" s="43"/>
      <c r="Q10" s="30" t="s">
        <v>80</v>
      </c>
    </row>
    <row r="11" ht="22.5" customHeight="1">
      <c r="B11" s="47" t="s">
        <v>86</v>
      </c>
      <c r="C11" s="48">
        <v>46205.0</v>
      </c>
      <c r="D11" s="50" t="s">
        <v>58</v>
      </c>
      <c r="E11" s="51">
        <v>46214.0</v>
      </c>
      <c r="F11" s="52">
        <v>46218.0</v>
      </c>
      <c r="G11" s="53" t="s">
        <v>91</v>
      </c>
      <c r="H11" s="54" t="s">
        <v>92</v>
      </c>
      <c r="I11" s="55" t="s">
        <v>54</v>
      </c>
      <c r="J11" s="56" t="s">
        <v>11</v>
      </c>
      <c r="K11" s="57">
        <v>28600.0</v>
      </c>
      <c r="L11" s="58" t="s">
        <v>94</v>
      </c>
      <c r="M11" s="59"/>
      <c r="N11" s="44"/>
      <c r="O11" s="43"/>
      <c r="P11" s="43"/>
      <c r="Q11" s="44"/>
    </row>
    <row r="12" ht="22.5" customHeight="1">
      <c r="B12" s="47" t="s">
        <v>90</v>
      </c>
      <c r="C12" s="48">
        <v>46205.0</v>
      </c>
      <c r="D12" s="50" t="s">
        <v>49</v>
      </c>
      <c r="E12" s="61" t="s">
        <v>103</v>
      </c>
      <c r="F12" s="62" t="s">
        <v>103</v>
      </c>
      <c r="G12" s="63" t="s">
        <v>106</v>
      </c>
      <c r="H12" s="64" t="s">
        <v>107</v>
      </c>
      <c r="I12" s="66" t="s">
        <v>109</v>
      </c>
      <c r="J12" s="67" t="s">
        <v>24</v>
      </c>
      <c r="K12" s="68">
        <v>20000.0</v>
      </c>
      <c r="L12" s="58" t="s">
        <v>94</v>
      </c>
      <c r="M12" s="59"/>
      <c r="N12" s="44"/>
      <c r="O12" s="43"/>
      <c r="P12" s="43"/>
      <c r="Q12" s="30" t="s">
        <v>80</v>
      </c>
    </row>
    <row r="13" ht="22.5" customHeight="1">
      <c r="B13" s="47"/>
      <c r="C13" s="48">
        <v>46210.0</v>
      </c>
      <c r="D13" s="71" t="s">
        <v>58</v>
      </c>
      <c r="E13" s="72">
        <v>46212.0</v>
      </c>
      <c r="F13" s="72">
        <v>46213.0</v>
      </c>
      <c r="G13" s="38" t="s">
        <v>116</v>
      </c>
      <c r="H13" s="54" t="s">
        <v>117</v>
      </c>
      <c r="I13" s="73" t="s">
        <v>76</v>
      </c>
      <c r="J13" s="74" t="s">
        <v>11</v>
      </c>
      <c r="K13" s="42">
        <v>82200.0</v>
      </c>
      <c r="L13" s="58" t="s">
        <v>94</v>
      </c>
      <c r="M13" s="59"/>
      <c r="N13" s="44"/>
      <c r="O13" s="43"/>
      <c r="P13" s="43"/>
      <c r="Q13" s="44"/>
    </row>
    <row r="14" ht="22.5" customHeight="1">
      <c r="B14" s="47"/>
      <c r="C14" s="77">
        <v>46211.0</v>
      </c>
      <c r="D14" s="41" t="s">
        <v>58</v>
      </c>
      <c r="E14" s="78"/>
      <c r="F14" s="79"/>
      <c r="G14" s="53" t="s">
        <v>131</v>
      </c>
      <c r="H14" s="54" t="s">
        <v>133</v>
      </c>
      <c r="I14" s="80" t="s">
        <v>76</v>
      </c>
      <c r="J14" s="81" t="s">
        <v>11</v>
      </c>
      <c r="K14" s="42">
        <v>81700.0</v>
      </c>
      <c r="L14" s="83" t="s">
        <v>94</v>
      </c>
      <c r="M14" s="43"/>
      <c r="N14" s="44"/>
      <c r="O14" s="43"/>
      <c r="P14" s="43"/>
      <c r="Q14" s="30" t="s">
        <v>137</v>
      </c>
    </row>
    <row r="15" ht="22.5" customHeight="1">
      <c r="B15" s="47"/>
      <c r="C15" s="77">
        <v>46211.0</v>
      </c>
      <c r="D15" s="41" t="s">
        <v>58</v>
      </c>
      <c r="E15" s="78">
        <v>46216.0</v>
      </c>
      <c r="F15" s="78">
        <v>46218.0</v>
      </c>
      <c r="G15" s="38" t="s">
        <v>141</v>
      </c>
      <c r="H15" s="91" t="s">
        <v>142</v>
      </c>
      <c r="I15" s="80" t="s">
        <v>76</v>
      </c>
      <c r="J15" s="81" t="s">
        <v>11</v>
      </c>
      <c r="K15" s="42">
        <v>80200.0</v>
      </c>
      <c r="L15" s="40" t="s">
        <v>94</v>
      </c>
      <c r="M15" s="43"/>
      <c r="N15" s="44"/>
      <c r="O15" s="43"/>
      <c r="P15" s="43"/>
      <c r="Q15" s="44"/>
    </row>
    <row r="16" ht="22.5" customHeight="1">
      <c r="B16" s="47"/>
      <c r="C16" s="77">
        <v>46211.0</v>
      </c>
      <c r="D16" s="41" t="s">
        <v>58</v>
      </c>
      <c r="E16" s="78">
        <v>46216.0</v>
      </c>
      <c r="F16" s="78">
        <v>46217.0</v>
      </c>
      <c r="G16" s="38" t="s">
        <v>157</v>
      </c>
      <c r="H16" s="39" t="s">
        <v>159</v>
      </c>
      <c r="I16" s="80" t="s">
        <v>76</v>
      </c>
      <c r="J16" s="81" t="s">
        <v>11</v>
      </c>
      <c r="K16" s="97">
        <v>63000.0</v>
      </c>
      <c r="L16" s="40" t="s">
        <v>94</v>
      </c>
      <c r="M16" s="43"/>
      <c r="N16" s="44"/>
      <c r="O16" s="43"/>
      <c r="P16" s="43"/>
      <c r="Q16" s="30"/>
    </row>
    <row r="17" ht="22.5" customHeight="1">
      <c r="B17" s="47"/>
      <c r="C17" s="77">
        <v>46211.0</v>
      </c>
      <c r="D17" s="41" t="s">
        <v>58</v>
      </c>
      <c r="E17" s="78">
        <v>46217.0</v>
      </c>
      <c r="F17" s="78">
        <v>46218.0</v>
      </c>
      <c r="G17" s="38" t="s">
        <v>169</v>
      </c>
      <c r="H17" s="39" t="s">
        <v>170</v>
      </c>
      <c r="I17" s="80" t="s">
        <v>76</v>
      </c>
      <c r="J17" s="81" t="s">
        <v>11</v>
      </c>
      <c r="K17" s="98">
        <v>87300.0</v>
      </c>
      <c r="L17" s="40" t="s">
        <v>94</v>
      </c>
      <c r="M17" s="43"/>
      <c r="N17" s="44"/>
      <c r="O17" s="43"/>
      <c r="P17" s="43"/>
      <c r="Q17" s="30"/>
    </row>
    <row r="18" ht="22.5" customHeight="1">
      <c r="B18" s="47"/>
      <c r="C18" s="31">
        <v>46212.0</v>
      </c>
      <c r="D18" s="41" t="s">
        <v>58</v>
      </c>
      <c r="E18" s="78">
        <v>46214.0</v>
      </c>
      <c r="F18" s="78">
        <v>46217.0</v>
      </c>
      <c r="G18" s="38" t="s">
        <v>178</v>
      </c>
      <c r="H18" s="54" t="s">
        <v>179</v>
      </c>
      <c r="I18" s="80" t="s">
        <v>76</v>
      </c>
      <c r="J18" s="81" t="s">
        <v>11</v>
      </c>
      <c r="K18" s="42">
        <v>72400.0</v>
      </c>
      <c r="L18" s="40" t="s">
        <v>94</v>
      </c>
      <c r="M18" s="43"/>
      <c r="N18" s="44"/>
      <c r="O18" s="43"/>
      <c r="P18" s="43"/>
      <c r="Q18" s="30"/>
    </row>
    <row r="19" ht="22.5" customHeight="1">
      <c r="B19" s="30"/>
      <c r="C19" s="31">
        <v>46212.0</v>
      </c>
      <c r="D19" s="41" t="s">
        <v>58</v>
      </c>
      <c r="E19" s="78">
        <v>46217.0</v>
      </c>
      <c r="F19" s="78">
        <v>46218.0</v>
      </c>
      <c r="G19" s="38" t="s">
        <v>189</v>
      </c>
      <c r="H19" s="54" t="s">
        <v>190</v>
      </c>
      <c r="I19" s="80" t="s">
        <v>76</v>
      </c>
      <c r="J19" s="81" t="s">
        <v>11</v>
      </c>
      <c r="K19" s="42">
        <v>81700.0</v>
      </c>
      <c r="L19" s="40" t="s">
        <v>94</v>
      </c>
      <c r="M19" s="43"/>
      <c r="N19" s="44"/>
      <c r="O19" s="43"/>
      <c r="P19" s="43"/>
      <c r="Q19" s="30"/>
    </row>
    <row r="20" ht="22.5" customHeight="1">
      <c r="B20" s="30"/>
      <c r="C20" s="31">
        <v>46213.0</v>
      </c>
      <c r="D20" s="41" t="s">
        <v>58</v>
      </c>
      <c r="E20" s="78">
        <v>46217.0</v>
      </c>
      <c r="F20" s="103"/>
      <c r="G20" s="38" t="s">
        <v>199</v>
      </c>
      <c r="H20" s="39" t="s">
        <v>200</v>
      </c>
      <c r="I20" s="80" t="s">
        <v>76</v>
      </c>
      <c r="J20" s="104" t="s">
        <v>11</v>
      </c>
      <c r="K20" s="105">
        <v>84300.0</v>
      </c>
      <c r="L20" s="40" t="s">
        <v>94</v>
      </c>
      <c r="M20" s="33" t="s">
        <v>73</v>
      </c>
      <c r="N20" s="44"/>
      <c r="O20" s="43"/>
      <c r="P20" s="43"/>
      <c r="Q20" s="30"/>
    </row>
    <row r="21" ht="22.5" customHeight="1">
      <c r="B21" s="30"/>
      <c r="C21" s="31">
        <v>46214.0</v>
      </c>
      <c r="D21" s="41" t="s">
        <v>58</v>
      </c>
      <c r="E21" s="78"/>
      <c r="F21" s="78"/>
      <c r="G21" s="38" t="s">
        <v>206</v>
      </c>
      <c r="H21" s="106" t="s">
        <v>207</v>
      </c>
      <c r="I21" s="80" t="s">
        <v>109</v>
      </c>
      <c r="J21" s="107" t="s">
        <v>11</v>
      </c>
      <c r="K21" s="108">
        <v>62000.0</v>
      </c>
      <c r="L21" s="109" t="s">
        <v>94</v>
      </c>
      <c r="M21" s="43"/>
      <c r="N21" s="44"/>
      <c r="O21" s="43"/>
      <c r="P21" s="43"/>
      <c r="Q21" s="44"/>
    </row>
    <row r="22" ht="22.5" customHeight="1">
      <c r="B22" s="30"/>
      <c r="C22" s="31">
        <v>46214.0</v>
      </c>
      <c r="D22" s="41" t="s">
        <v>58</v>
      </c>
      <c r="E22" s="79">
        <v>46217.0</v>
      </c>
      <c r="F22" s="79">
        <v>46218.0</v>
      </c>
      <c r="G22" s="53" t="s">
        <v>214</v>
      </c>
      <c r="H22" s="54" t="s">
        <v>215</v>
      </c>
      <c r="I22" s="80" t="s">
        <v>76</v>
      </c>
      <c r="J22" s="107" t="s">
        <v>11</v>
      </c>
      <c r="K22" s="42">
        <v>64500.0</v>
      </c>
      <c r="L22" s="40" t="s">
        <v>94</v>
      </c>
      <c r="M22" s="33" t="s">
        <v>73</v>
      </c>
      <c r="N22" s="44"/>
      <c r="O22" s="43"/>
      <c r="P22" s="43"/>
      <c r="Q22" s="44"/>
    </row>
    <row r="23" ht="22.5" customHeight="1">
      <c r="B23" s="30"/>
      <c r="C23" s="31">
        <v>46187.0</v>
      </c>
      <c r="D23" s="41" t="s">
        <v>58</v>
      </c>
      <c r="E23" s="79"/>
      <c r="F23" s="110"/>
      <c r="G23" s="111" t="s">
        <v>227</v>
      </c>
      <c r="H23" s="54" t="s">
        <v>229</v>
      </c>
      <c r="I23" s="80" t="s">
        <v>76</v>
      </c>
      <c r="J23" s="107" t="s">
        <v>11</v>
      </c>
      <c r="K23" s="42">
        <v>62800.0</v>
      </c>
      <c r="L23" s="40" t="s">
        <v>94</v>
      </c>
      <c r="M23" s="43"/>
      <c r="N23" s="44"/>
      <c r="O23" s="43"/>
      <c r="P23" s="43"/>
      <c r="Q23" s="30" t="s">
        <v>232</v>
      </c>
    </row>
    <row r="24" ht="22.5" customHeight="1">
      <c r="B24" s="30"/>
      <c r="C24" s="31">
        <v>46187.0</v>
      </c>
      <c r="D24" s="41" t="s">
        <v>58</v>
      </c>
      <c r="E24" s="79"/>
      <c r="F24" s="110"/>
      <c r="G24" s="53" t="s">
        <v>237</v>
      </c>
      <c r="H24" s="54" t="s">
        <v>238</v>
      </c>
      <c r="I24" s="80" t="s">
        <v>76</v>
      </c>
      <c r="J24" s="107" t="s">
        <v>11</v>
      </c>
      <c r="K24" s="42">
        <v>71900.0</v>
      </c>
      <c r="L24" s="40" t="s">
        <v>94</v>
      </c>
      <c r="M24" s="43"/>
      <c r="N24" s="44"/>
      <c r="O24" s="43"/>
      <c r="P24" s="43"/>
      <c r="Q24" s="30" t="s">
        <v>239</v>
      </c>
    </row>
    <row r="25" ht="22.5" customHeight="1">
      <c r="B25" s="30"/>
      <c r="C25" s="31">
        <v>46218.0</v>
      </c>
      <c r="D25" s="41" t="s">
        <v>49</v>
      </c>
      <c r="E25" s="79"/>
      <c r="F25" s="110"/>
      <c r="G25" s="116" t="s">
        <v>240</v>
      </c>
      <c r="H25" s="54" t="s">
        <v>241</v>
      </c>
      <c r="I25" s="80" t="s">
        <v>76</v>
      </c>
      <c r="J25" s="107" t="s">
        <v>24</v>
      </c>
      <c r="K25" s="42">
        <v>77700.0</v>
      </c>
      <c r="L25" s="117" t="s">
        <v>94</v>
      </c>
      <c r="M25" s="43"/>
      <c r="N25" s="44"/>
      <c r="O25" s="43"/>
      <c r="P25" s="43"/>
      <c r="Q25" s="30" t="s">
        <v>242</v>
      </c>
    </row>
    <row r="26" ht="22.5" customHeight="1">
      <c r="B26" s="30"/>
      <c r="C26" s="31">
        <v>46219.0</v>
      </c>
      <c r="D26" s="41" t="s">
        <v>247</v>
      </c>
      <c r="E26" s="110"/>
      <c r="F26" s="110"/>
      <c r="G26" s="116" t="s">
        <v>248</v>
      </c>
      <c r="H26" s="118" t="s">
        <v>249</v>
      </c>
      <c r="I26" s="80" t="s">
        <v>76</v>
      </c>
      <c r="J26" s="107" t="s">
        <v>11</v>
      </c>
      <c r="K26" s="105">
        <v>82500.0</v>
      </c>
      <c r="L26" s="40" t="s">
        <v>94</v>
      </c>
      <c r="M26" s="43"/>
      <c r="N26" s="44"/>
      <c r="O26" s="43"/>
      <c r="P26" s="43"/>
      <c r="Q26" s="30"/>
    </row>
    <row r="27" ht="22.5" customHeight="1">
      <c r="B27" s="30"/>
      <c r="C27" s="31">
        <v>46586.0</v>
      </c>
      <c r="D27" s="41" t="s">
        <v>58</v>
      </c>
      <c r="E27" s="103"/>
      <c r="F27" s="110"/>
      <c r="G27" s="116" t="s">
        <v>253</v>
      </c>
      <c r="H27" s="39" t="s">
        <v>256</v>
      </c>
      <c r="I27" s="80" t="s">
        <v>76</v>
      </c>
      <c r="J27" s="107" t="s">
        <v>11</v>
      </c>
      <c r="K27" s="108">
        <v>0.0</v>
      </c>
      <c r="L27" s="40" t="s">
        <v>94</v>
      </c>
      <c r="M27" s="43"/>
      <c r="N27" s="44"/>
      <c r="O27" s="43"/>
      <c r="P27" s="43"/>
      <c r="Q27" s="44"/>
    </row>
    <row r="28" ht="22.5" customHeight="1">
      <c r="B28" s="30"/>
      <c r="C28" s="31">
        <v>46586.0</v>
      </c>
      <c r="D28" s="41" t="s">
        <v>58</v>
      </c>
      <c r="E28" s="103"/>
      <c r="F28" s="103"/>
      <c r="G28" s="53" t="s">
        <v>259</v>
      </c>
      <c r="H28" s="106" t="s">
        <v>260</v>
      </c>
      <c r="I28" s="80" t="s">
        <v>76</v>
      </c>
      <c r="J28" s="107" t="s">
        <v>11</v>
      </c>
      <c r="K28" s="105">
        <v>82500.0</v>
      </c>
      <c r="L28" s="40" t="s">
        <v>94</v>
      </c>
      <c r="M28" s="43"/>
      <c r="N28" s="44"/>
      <c r="O28" s="43"/>
      <c r="P28" s="43"/>
      <c r="Q28" s="44"/>
    </row>
    <row r="29" ht="22.5" customHeight="1">
      <c r="B29" s="44"/>
      <c r="C29" s="31">
        <v>46588.0</v>
      </c>
      <c r="D29" s="41" t="s">
        <v>58</v>
      </c>
      <c r="E29" s="78"/>
      <c r="F29" s="103"/>
      <c r="G29" s="53" t="s">
        <v>266</v>
      </c>
      <c r="H29" s="118" t="s">
        <v>267</v>
      </c>
      <c r="I29" s="80" t="s">
        <v>109</v>
      </c>
      <c r="J29" s="107" t="s">
        <v>24</v>
      </c>
      <c r="K29" s="105">
        <v>87500.0</v>
      </c>
      <c r="L29" s="40" t="s">
        <v>94</v>
      </c>
      <c r="M29" s="43"/>
      <c r="N29" s="44"/>
      <c r="O29" s="43"/>
      <c r="P29" s="43"/>
      <c r="Q29" s="44"/>
    </row>
    <row r="30" ht="22.5" customHeight="1">
      <c r="B30" s="44"/>
      <c r="C30" s="31">
        <v>46589.0</v>
      </c>
      <c r="D30" s="41" t="s">
        <v>49</v>
      </c>
      <c r="E30" s="103"/>
      <c r="F30" s="103"/>
      <c r="G30" s="53" t="s">
        <v>271</v>
      </c>
      <c r="H30" s="54" t="s">
        <v>272</v>
      </c>
      <c r="I30" s="80" t="s">
        <v>76</v>
      </c>
      <c r="J30" s="119" t="s">
        <v>16</v>
      </c>
      <c r="K30" s="120">
        <v>79200.0</v>
      </c>
      <c r="L30" s="30" t="s">
        <v>94</v>
      </c>
      <c r="M30" s="43"/>
      <c r="N30" s="44"/>
      <c r="O30" s="43"/>
      <c r="P30" s="43"/>
      <c r="Q30" s="44"/>
    </row>
    <row r="31" ht="22.5" customHeight="1">
      <c r="B31" s="44"/>
      <c r="C31" s="31">
        <v>46592.0</v>
      </c>
      <c r="D31" s="41" t="s">
        <v>58</v>
      </c>
      <c r="E31" s="103"/>
      <c r="F31" s="103"/>
      <c r="G31" s="116" t="s">
        <v>276</v>
      </c>
      <c r="H31" s="118" t="s">
        <v>277</v>
      </c>
      <c r="I31" s="80" t="s">
        <v>109</v>
      </c>
      <c r="J31" s="119" t="s">
        <v>11</v>
      </c>
      <c r="K31" s="121">
        <v>101700.0</v>
      </c>
      <c r="L31" s="122" t="s">
        <v>94</v>
      </c>
      <c r="M31" s="43"/>
      <c r="N31" s="44"/>
      <c r="O31" s="43"/>
      <c r="P31" s="43"/>
      <c r="Q31" s="44"/>
    </row>
    <row r="32" ht="22.5" customHeight="1">
      <c r="B32" s="44"/>
      <c r="C32" s="31">
        <v>46592.0</v>
      </c>
      <c r="D32" s="41" t="s">
        <v>58</v>
      </c>
      <c r="E32" s="103"/>
      <c r="F32" s="103"/>
      <c r="G32" s="116" t="s">
        <v>280</v>
      </c>
      <c r="H32" s="118" t="s">
        <v>281</v>
      </c>
      <c r="I32" s="80" t="s">
        <v>76</v>
      </c>
      <c r="J32" s="119" t="s">
        <v>11</v>
      </c>
      <c r="K32" s="121">
        <v>92300.0</v>
      </c>
      <c r="L32" s="30" t="s">
        <v>94</v>
      </c>
      <c r="M32" s="43"/>
      <c r="N32" s="44"/>
      <c r="O32" s="43"/>
      <c r="P32" s="43"/>
      <c r="Q32" s="44"/>
    </row>
    <row r="33" ht="22.5" customHeight="1">
      <c r="B33" s="44"/>
      <c r="C33" s="31">
        <v>46958.0</v>
      </c>
      <c r="D33" s="41" t="s">
        <v>58</v>
      </c>
      <c r="E33" s="103"/>
      <c r="F33" s="103"/>
      <c r="G33" s="116" t="s">
        <v>284</v>
      </c>
      <c r="H33" s="118" t="s">
        <v>285</v>
      </c>
      <c r="I33" s="80" t="s">
        <v>109</v>
      </c>
      <c r="J33" s="119" t="s">
        <v>24</v>
      </c>
      <c r="K33" s="123">
        <v>70000.0</v>
      </c>
      <c r="L33" s="30" t="s">
        <v>94</v>
      </c>
      <c r="M33" s="43"/>
      <c r="N33" s="44"/>
      <c r="O33" s="43"/>
      <c r="P33" s="43"/>
      <c r="Q33" s="30" t="s">
        <v>288</v>
      </c>
    </row>
    <row r="34" ht="22.5" customHeight="1">
      <c r="B34" s="44"/>
      <c r="C34" s="124"/>
      <c r="D34" s="33" t="s">
        <v>49</v>
      </c>
      <c r="E34" s="125"/>
      <c r="F34" s="126"/>
      <c r="G34" s="53" t="s">
        <v>291</v>
      </c>
      <c r="H34" s="54" t="s">
        <v>292</v>
      </c>
      <c r="I34" s="80" t="s">
        <v>76</v>
      </c>
      <c r="J34" s="119" t="s">
        <v>24</v>
      </c>
      <c r="K34" s="120">
        <v>82550.0</v>
      </c>
      <c r="L34" s="30" t="s">
        <v>94</v>
      </c>
      <c r="M34" s="43"/>
      <c r="N34" s="44"/>
      <c r="O34" s="43"/>
      <c r="P34" s="43"/>
      <c r="Q34" s="30" t="s">
        <v>295</v>
      </c>
    </row>
    <row r="35" ht="22.5" customHeight="1">
      <c r="B35" s="44"/>
      <c r="C35" s="124"/>
      <c r="D35" s="33" t="s">
        <v>58</v>
      </c>
      <c r="E35" s="124"/>
      <c r="F35" s="127"/>
      <c r="G35" s="38" t="s">
        <v>298</v>
      </c>
      <c r="H35" s="39" t="s">
        <v>299</v>
      </c>
      <c r="I35" s="80" t="s">
        <v>76</v>
      </c>
      <c r="J35" s="119" t="s">
        <v>24</v>
      </c>
      <c r="K35" s="128">
        <v>50000.0</v>
      </c>
      <c r="L35" s="30" t="s">
        <v>94</v>
      </c>
      <c r="M35" s="43"/>
      <c r="N35" s="44"/>
      <c r="O35" s="43"/>
      <c r="P35" s="43"/>
      <c r="Q35" s="44"/>
    </row>
    <row r="36" ht="22.5" customHeight="1">
      <c r="B36" s="47"/>
      <c r="C36" s="48">
        <v>46210.0</v>
      </c>
      <c r="D36" s="50" t="s">
        <v>58</v>
      </c>
      <c r="E36" s="48">
        <v>46211.0</v>
      </c>
      <c r="F36" s="129">
        <v>46211.0</v>
      </c>
      <c r="G36" s="53" t="s">
        <v>302</v>
      </c>
      <c r="H36" s="54" t="s">
        <v>303</v>
      </c>
      <c r="I36" s="73" t="s">
        <v>76</v>
      </c>
      <c r="J36" s="130" t="s">
        <v>11</v>
      </c>
      <c r="K36" s="131">
        <v>82200.0</v>
      </c>
      <c r="L36" s="132" t="s">
        <v>304</v>
      </c>
      <c r="M36" s="59"/>
      <c r="N36" s="44"/>
      <c r="O36" s="43"/>
      <c r="P36" s="43"/>
      <c r="Q36" s="44"/>
    </row>
    <row r="37" ht="22.5" customHeight="1">
      <c r="B37" s="47"/>
      <c r="C37" s="48">
        <v>46210.0</v>
      </c>
      <c r="D37" s="50" t="s">
        <v>49</v>
      </c>
      <c r="E37" s="133"/>
      <c r="F37" s="134"/>
      <c r="G37" s="53" t="s">
        <v>308</v>
      </c>
      <c r="H37" s="54" t="s">
        <v>309</v>
      </c>
      <c r="I37" s="73" t="s">
        <v>76</v>
      </c>
      <c r="J37" s="130" t="s">
        <v>17</v>
      </c>
      <c r="K37" s="135">
        <v>82700.0</v>
      </c>
      <c r="L37" s="132" t="s">
        <v>304</v>
      </c>
      <c r="M37" s="59"/>
      <c r="N37" s="44"/>
      <c r="O37" s="43"/>
      <c r="P37" s="43"/>
      <c r="Q37" s="30" t="s">
        <v>310</v>
      </c>
    </row>
    <row r="38" ht="22.5" customHeight="1">
      <c r="B38" s="47"/>
      <c r="C38" s="48">
        <v>46210.0</v>
      </c>
      <c r="D38" s="50" t="s">
        <v>58</v>
      </c>
      <c r="E38" s="48">
        <v>46214.0</v>
      </c>
      <c r="F38" s="129">
        <v>46219.0</v>
      </c>
      <c r="G38" s="53" t="s">
        <v>313</v>
      </c>
      <c r="H38" s="54" t="s">
        <v>315</v>
      </c>
      <c r="I38" s="136" t="s">
        <v>76</v>
      </c>
      <c r="J38" s="50" t="s">
        <v>11</v>
      </c>
      <c r="K38" s="131">
        <v>86400.0</v>
      </c>
      <c r="L38" s="132" t="s">
        <v>304</v>
      </c>
      <c r="M38" s="59"/>
      <c r="N38" s="44"/>
      <c r="O38" s="43"/>
      <c r="P38" s="43"/>
      <c r="Q38" s="44"/>
    </row>
    <row r="39" ht="22.5" customHeight="1">
      <c r="B39" s="30"/>
      <c r="C39" s="31">
        <v>46219.0</v>
      </c>
      <c r="D39" s="33" t="s">
        <v>58</v>
      </c>
      <c r="E39" s="35"/>
      <c r="F39" s="137"/>
      <c r="G39" s="116" t="s">
        <v>318</v>
      </c>
      <c r="H39" s="118" t="s">
        <v>319</v>
      </c>
      <c r="I39" s="40" t="s">
        <v>76</v>
      </c>
      <c r="J39" s="33" t="s">
        <v>24</v>
      </c>
      <c r="K39" s="123">
        <v>83500.0</v>
      </c>
      <c r="L39" s="30" t="s">
        <v>304</v>
      </c>
      <c r="M39" s="43"/>
      <c r="N39" s="44"/>
      <c r="O39" s="43"/>
      <c r="P39" s="43"/>
      <c r="Q39" s="30" t="s">
        <v>320</v>
      </c>
    </row>
    <row r="40" ht="22.5" customHeight="1">
      <c r="B40" s="30"/>
      <c r="C40" s="31">
        <v>46220.0</v>
      </c>
      <c r="D40" s="33" t="s">
        <v>49</v>
      </c>
      <c r="E40" s="141"/>
      <c r="F40" s="137"/>
      <c r="G40" s="38" t="s">
        <v>328</v>
      </c>
      <c r="H40" s="39" t="s">
        <v>329</v>
      </c>
      <c r="I40" s="40" t="s">
        <v>76</v>
      </c>
      <c r="J40" s="33" t="s">
        <v>24</v>
      </c>
      <c r="K40" s="121">
        <v>65650.0</v>
      </c>
      <c r="L40" s="30" t="s">
        <v>304</v>
      </c>
      <c r="M40" s="43"/>
      <c r="N40" s="44"/>
      <c r="O40" s="43"/>
      <c r="P40" s="43"/>
      <c r="Q40" s="30" t="s">
        <v>332</v>
      </c>
    </row>
    <row r="41" ht="22.5" customHeight="1">
      <c r="B41" s="30"/>
      <c r="C41" s="31">
        <v>46586.0</v>
      </c>
      <c r="D41" s="33" t="s">
        <v>58</v>
      </c>
      <c r="E41" s="124"/>
      <c r="F41" s="127"/>
      <c r="G41" s="38" t="s">
        <v>338</v>
      </c>
      <c r="H41" s="39" t="s">
        <v>339</v>
      </c>
      <c r="I41" s="40" t="s">
        <v>76</v>
      </c>
      <c r="J41" s="33" t="s">
        <v>11</v>
      </c>
      <c r="K41" s="123">
        <v>83000.0</v>
      </c>
      <c r="L41" s="117" t="s">
        <v>304</v>
      </c>
      <c r="M41" s="43"/>
      <c r="N41" s="44"/>
      <c r="O41" s="43"/>
      <c r="P41" s="43"/>
      <c r="Q41" s="30" t="s">
        <v>341</v>
      </c>
    </row>
    <row r="42" ht="22.5" customHeight="1">
      <c r="B42" s="44"/>
      <c r="C42" s="124"/>
      <c r="D42" s="33" t="s">
        <v>49</v>
      </c>
      <c r="E42" s="124"/>
      <c r="F42" s="127"/>
      <c r="G42" s="38" t="s">
        <v>346</v>
      </c>
      <c r="H42" s="54" t="s">
        <v>347</v>
      </c>
      <c r="I42" s="40" t="s">
        <v>76</v>
      </c>
      <c r="J42" s="33" t="s">
        <v>24</v>
      </c>
      <c r="K42" s="120">
        <v>80550.0</v>
      </c>
      <c r="L42" s="30" t="s">
        <v>304</v>
      </c>
      <c r="M42" s="43"/>
      <c r="N42" s="44"/>
      <c r="O42" s="43"/>
      <c r="P42" s="43"/>
      <c r="Q42" s="30" t="s">
        <v>350</v>
      </c>
    </row>
    <row r="43" ht="22.5" customHeight="1">
      <c r="B43" s="44"/>
      <c r="C43" s="124"/>
      <c r="D43" s="33" t="s">
        <v>247</v>
      </c>
      <c r="E43" s="124"/>
      <c r="F43" s="127"/>
      <c r="G43" s="116" t="s">
        <v>354</v>
      </c>
      <c r="H43" s="118" t="s">
        <v>355</v>
      </c>
      <c r="I43" s="40" t="s">
        <v>76</v>
      </c>
      <c r="J43" s="33" t="s">
        <v>20</v>
      </c>
      <c r="K43" s="128">
        <v>92300.0</v>
      </c>
      <c r="L43" s="30" t="s">
        <v>304</v>
      </c>
      <c r="M43" s="43"/>
      <c r="N43" s="44"/>
      <c r="O43" s="43"/>
      <c r="P43" s="43"/>
      <c r="Q43" s="44"/>
    </row>
    <row r="44" ht="22.5" customHeight="1">
      <c r="B44" s="44"/>
      <c r="C44" s="124"/>
      <c r="D44" s="33" t="s">
        <v>247</v>
      </c>
      <c r="E44" s="124"/>
      <c r="F44" s="127"/>
      <c r="G44" s="116" t="s">
        <v>360</v>
      </c>
      <c r="H44" s="118" t="s">
        <v>362</v>
      </c>
      <c r="I44" s="40" t="s">
        <v>76</v>
      </c>
      <c r="J44" s="33" t="s">
        <v>20</v>
      </c>
      <c r="K44" s="120">
        <v>81300.0</v>
      </c>
      <c r="L44" s="30" t="s">
        <v>304</v>
      </c>
      <c r="M44" s="43"/>
      <c r="N44" s="44"/>
      <c r="O44" s="43"/>
      <c r="P44" s="43"/>
      <c r="Q44" s="44"/>
    </row>
    <row r="45" ht="22.5" customHeight="1">
      <c r="B45" s="44"/>
      <c r="C45" s="124"/>
      <c r="D45" s="33" t="s">
        <v>247</v>
      </c>
      <c r="E45" s="124"/>
      <c r="F45" s="127"/>
      <c r="G45" s="116" t="s">
        <v>367</v>
      </c>
      <c r="H45" s="118" t="s">
        <v>368</v>
      </c>
      <c r="I45" s="40" t="s">
        <v>76</v>
      </c>
      <c r="J45" s="33" t="s">
        <v>20</v>
      </c>
      <c r="K45" s="123">
        <v>71100.0</v>
      </c>
      <c r="L45" s="30" t="s">
        <v>304</v>
      </c>
      <c r="M45" s="43"/>
      <c r="N45" s="44"/>
      <c r="O45" s="43"/>
      <c r="P45" s="43"/>
      <c r="Q45" s="44"/>
    </row>
    <row r="46" ht="22.5" customHeight="1">
      <c r="B46" s="30"/>
      <c r="C46" s="31">
        <v>46588.0</v>
      </c>
      <c r="D46" s="33" t="s">
        <v>58</v>
      </c>
      <c r="E46" s="124"/>
      <c r="F46" s="127"/>
      <c r="G46" s="53" t="s">
        <v>374</v>
      </c>
      <c r="H46" s="54" t="s">
        <v>375</v>
      </c>
      <c r="I46" s="40" t="s">
        <v>76</v>
      </c>
      <c r="J46" s="33" t="s">
        <v>11</v>
      </c>
      <c r="K46" s="121">
        <v>84000.0</v>
      </c>
      <c r="L46" s="30" t="s">
        <v>378</v>
      </c>
      <c r="M46" s="43"/>
      <c r="N46" s="44"/>
      <c r="O46" s="43"/>
      <c r="P46" s="43"/>
      <c r="Q46" s="30"/>
    </row>
    <row r="47" ht="22.5" customHeight="1">
      <c r="B47" s="47" t="s">
        <v>86</v>
      </c>
      <c r="C47" s="48">
        <v>46206.0</v>
      </c>
      <c r="D47" s="50" t="s">
        <v>58</v>
      </c>
      <c r="E47" s="51">
        <v>46206.0</v>
      </c>
      <c r="F47" s="52">
        <v>46209.0</v>
      </c>
      <c r="G47" s="53" t="s">
        <v>384</v>
      </c>
      <c r="H47" s="54" t="s">
        <v>386</v>
      </c>
      <c r="I47" s="66" t="s">
        <v>76</v>
      </c>
      <c r="J47" s="155" t="s">
        <v>11</v>
      </c>
      <c r="K47" s="121">
        <v>68800.0</v>
      </c>
      <c r="L47" s="132" t="s">
        <v>387</v>
      </c>
      <c r="M47" s="50"/>
      <c r="N47" s="44"/>
      <c r="O47" s="43"/>
      <c r="P47" s="43"/>
      <c r="Q47" s="30"/>
    </row>
    <row r="48" ht="22.5" customHeight="1">
      <c r="B48" s="47"/>
      <c r="C48" s="48">
        <v>46210.0</v>
      </c>
      <c r="D48" s="33" t="s">
        <v>58</v>
      </c>
      <c r="E48" s="31">
        <v>46211.0</v>
      </c>
      <c r="F48" s="156">
        <v>46219.0</v>
      </c>
      <c r="G48" s="53" t="s">
        <v>392</v>
      </c>
      <c r="H48" s="54" t="s">
        <v>393</v>
      </c>
      <c r="I48" s="80" t="s">
        <v>76</v>
      </c>
      <c r="J48" s="119" t="s">
        <v>11</v>
      </c>
      <c r="K48" s="157">
        <v>95650.0</v>
      </c>
      <c r="L48" s="158" t="s">
        <v>387</v>
      </c>
      <c r="M48" s="33" t="s">
        <v>73</v>
      </c>
      <c r="N48" s="44"/>
      <c r="O48" s="43"/>
      <c r="P48" s="43"/>
      <c r="Q48" s="44"/>
    </row>
    <row r="49" ht="22.5" customHeight="1">
      <c r="B49" s="44"/>
      <c r="C49" s="31">
        <v>46589.0</v>
      </c>
      <c r="D49" s="33" t="s">
        <v>247</v>
      </c>
      <c r="E49" s="124"/>
      <c r="F49" s="159"/>
      <c r="G49" s="53" t="s">
        <v>396</v>
      </c>
      <c r="H49" s="54" t="s">
        <v>397</v>
      </c>
      <c r="I49" s="160" t="s">
        <v>76</v>
      </c>
      <c r="J49" s="161" t="s">
        <v>17</v>
      </c>
      <c r="K49" s="162">
        <v>82200.0</v>
      </c>
      <c r="L49" s="30" t="s">
        <v>387</v>
      </c>
      <c r="M49" s="43"/>
      <c r="N49" s="44"/>
      <c r="O49" s="43"/>
      <c r="P49" s="43"/>
      <c r="Q49" s="44"/>
    </row>
    <row r="50" ht="22.5" customHeight="1">
      <c r="B50" s="44"/>
      <c r="C50" s="124"/>
      <c r="D50" s="163"/>
      <c r="E50" s="127"/>
      <c r="F50" s="103"/>
      <c r="G50" s="164" t="s">
        <v>404</v>
      </c>
      <c r="H50" s="165" t="s">
        <v>405</v>
      </c>
      <c r="I50" s="80" t="s">
        <v>76</v>
      </c>
      <c r="J50" s="81" t="s">
        <v>17</v>
      </c>
      <c r="K50" s="105">
        <v>71400.0</v>
      </c>
      <c r="L50" s="166"/>
      <c r="M50" s="43"/>
      <c r="N50" s="44"/>
      <c r="O50" s="43"/>
      <c r="P50" s="43"/>
      <c r="Q50" s="44"/>
    </row>
    <row r="51" ht="22.5" customHeight="1">
      <c r="B51" s="44"/>
      <c r="C51" s="124"/>
      <c r="D51" s="163"/>
      <c r="E51" s="127"/>
      <c r="F51" s="103"/>
      <c r="G51" s="167" t="s">
        <v>410</v>
      </c>
      <c r="H51" s="168" t="s">
        <v>411</v>
      </c>
      <c r="I51" s="80" t="s">
        <v>412</v>
      </c>
      <c r="J51" s="81" t="s">
        <v>17</v>
      </c>
      <c r="K51" s="105">
        <v>88300.0</v>
      </c>
      <c r="L51" s="166"/>
      <c r="M51" s="43"/>
      <c r="N51" s="44"/>
      <c r="O51" s="43"/>
      <c r="P51" s="43"/>
      <c r="Q51" s="44"/>
    </row>
    <row r="52" ht="22.5" customHeight="1">
      <c r="B52" s="44"/>
      <c r="C52" s="124"/>
      <c r="D52" s="163"/>
      <c r="E52" s="127"/>
      <c r="F52" s="103"/>
      <c r="G52" s="169" t="s">
        <v>416</v>
      </c>
      <c r="H52" s="169" t="s">
        <v>418</v>
      </c>
      <c r="I52" s="80" t="s">
        <v>109</v>
      </c>
      <c r="J52" s="81" t="s">
        <v>17</v>
      </c>
      <c r="K52" s="42">
        <v>84150.0</v>
      </c>
      <c r="L52" s="166"/>
      <c r="M52" s="43"/>
      <c r="N52" s="44"/>
      <c r="O52" s="43"/>
      <c r="P52" s="43"/>
      <c r="Q52" s="44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22.63"/>
    <col customWidth="1" min="9" max="9" width="19.25"/>
    <col customWidth="1" min="10" max="10" width="22.88"/>
    <col customWidth="1" min="11" max="11" width="17.0"/>
    <col customWidth="1" min="12" max="12" width="14.25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5" t="s">
        <v>6</v>
      </c>
      <c r="E3" s="7" t="s">
        <v>8</v>
      </c>
      <c r="F3" s="7" t="s">
        <v>11</v>
      </c>
      <c r="G3" s="8" t="s">
        <v>13</v>
      </c>
      <c r="H3" s="7" t="s">
        <v>16</v>
      </c>
      <c r="I3" s="7" t="s">
        <v>17</v>
      </c>
      <c r="J3" s="7" t="s">
        <v>18</v>
      </c>
      <c r="K3" s="7" t="s">
        <v>20</v>
      </c>
      <c r="L3" s="7" t="s">
        <v>21</v>
      </c>
      <c r="M3" s="7" t="s">
        <v>23</v>
      </c>
      <c r="N3" s="7" t="s">
        <v>24</v>
      </c>
    </row>
    <row r="4" ht="26.25" customHeight="1">
      <c r="D4" s="10" t="s">
        <v>26</v>
      </c>
      <c r="E4" s="11">
        <v>1000000.0</v>
      </c>
      <c r="F4" s="13">
        <f>SUMIFS(OPI_5[MAF NETO],OPI_5[ESTADO],"Desembolsado")</f>
        <v>875160</v>
      </c>
      <c r="G4" s="13">
        <f>F4-E4</f>
        <v>-124840</v>
      </c>
      <c r="H4" s="15">
        <f>SUMIFS(OPI_5[MAF NETO],OPI_5[ESTADO],H$3)</f>
        <v>0</v>
      </c>
      <c r="I4" s="15">
        <f>SUMIFS(OPI_5[MAF NETO],OPI_5[ESTADO],I$3)</f>
        <v>0</v>
      </c>
      <c r="J4" s="15">
        <f>SUMIFS(OPI_5[MAF NETO],OPI_5[ESTADO],J$3)</f>
        <v>0</v>
      </c>
      <c r="K4" s="15">
        <f>SUMIFS(OPI_5[MAF NETO],OPI_5[ESTADO],K$3)</f>
        <v>175250</v>
      </c>
      <c r="L4" s="15">
        <f>SUMIFS(OPI_5[MAF NETO],OPI_5[ESTADO],L$3)</f>
        <v>0</v>
      </c>
      <c r="M4" s="15">
        <f>SUMIFS(OPI_5[MAF NETO],OPI_5[ESTADO],M$3)</f>
        <v>0</v>
      </c>
      <c r="N4" s="15">
        <f>SUMIFS(OPI_5[MAF NETO],OPI_5[ESTADO],N$3)</f>
        <v>706440</v>
      </c>
    </row>
    <row r="5" ht="26.25" customHeight="1">
      <c r="D5" s="17" t="s">
        <v>28</v>
      </c>
      <c r="E5" s="18" t="s">
        <v>29</v>
      </c>
      <c r="F5" s="19">
        <f>COUNTIFS(OPI_5[ESTADO],"Desembolsado")</f>
        <v>13</v>
      </c>
      <c r="G5" s="20">
        <f>IFERROR(F4/E4,"")</f>
        <v>0.87516</v>
      </c>
      <c r="H5" s="19">
        <f>COUNTIFS(OPI_5[ESTADO],H$3)</f>
        <v>0</v>
      </c>
      <c r="I5" s="19">
        <f>COUNTIFS(OPI_5[ESTADO],I$3)</f>
        <v>0</v>
      </c>
      <c r="J5" s="19">
        <f>COUNTIFS(OPI_5[ESTADO],J$3)</f>
        <v>0</v>
      </c>
      <c r="K5" s="19">
        <f>COUNTIFS(OPI_5[ESTADO],K$3)</f>
        <v>2</v>
      </c>
      <c r="L5" s="19">
        <f>COUNTIFS(OPI_5[ESTADO],L$3)</f>
        <v>0</v>
      </c>
      <c r="M5" s="19">
        <f>COUNTIFS(OPI_5[ESTADO],M$3)</f>
        <v>0</v>
      </c>
      <c r="N5" s="19">
        <f>COUNTIFS(OPI_5[ESTADO],N$3)</f>
        <v>9</v>
      </c>
    </row>
    <row r="9" ht="22.5" customHeight="1">
      <c r="A9" s="21"/>
      <c r="B9" s="22" t="s">
        <v>31</v>
      </c>
      <c r="C9" s="22" t="s">
        <v>33</v>
      </c>
      <c r="D9" s="23" t="s">
        <v>34</v>
      </c>
      <c r="E9" s="22" t="s">
        <v>35</v>
      </c>
      <c r="F9" s="22" t="s">
        <v>36</v>
      </c>
      <c r="G9" s="22" t="s">
        <v>37</v>
      </c>
      <c r="H9" s="22" t="s">
        <v>38</v>
      </c>
      <c r="I9" s="22" t="s">
        <v>39</v>
      </c>
      <c r="J9" s="23" t="s">
        <v>40</v>
      </c>
      <c r="K9" s="22" t="s">
        <v>41</v>
      </c>
      <c r="L9" s="22" t="s">
        <v>42</v>
      </c>
      <c r="M9" s="23" t="s">
        <v>44</v>
      </c>
      <c r="N9" s="22" t="s">
        <v>45</v>
      </c>
      <c r="O9" s="23" t="s">
        <v>46</v>
      </c>
      <c r="P9" s="23" t="s">
        <v>47</v>
      </c>
      <c r="Q9" s="22" t="s">
        <v>48</v>
      </c>
    </row>
    <row r="10" ht="22.5" customHeight="1">
      <c r="B10" s="24" t="s">
        <v>6</v>
      </c>
      <c r="C10" s="25">
        <v>46208.0</v>
      </c>
      <c r="D10" s="26" t="s">
        <v>49</v>
      </c>
      <c r="E10" s="24" t="s">
        <v>50</v>
      </c>
      <c r="F10" s="24" t="s">
        <v>51</v>
      </c>
      <c r="G10" s="27" t="s">
        <v>52</v>
      </c>
      <c r="H10" s="27" t="s">
        <v>53</v>
      </c>
      <c r="I10" s="24" t="s">
        <v>54</v>
      </c>
      <c r="J10" s="26" t="s">
        <v>24</v>
      </c>
      <c r="K10" s="28">
        <v>99900.0</v>
      </c>
      <c r="L10" s="24" t="s">
        <v>55</v>
      </c>
      <c r="M10" s="26" t="s">
        <v>56</v>
      </c>
      <c r="N10" s="24" t="s">
        <v>59</v>
      </c>
      <c r="O10" s="26" t="s">
        <v>60</v>
      </c>
      <c r="P10" s="26" t="s">
        <v>50</v>
      </c>
      <c r="Q10" s="24" t="s">
        <v>61</v>
      </c>
    </row>
    <row r="11" ht="22.5" customHeight="1">
      <c r="B11" s="24" t="s">
        <v>6</v>
      </c>
      <c r="C11" s="25">
        <v>46207.0</v>
      </c>
      <c r="D11" s="26" t="s">
        <v>58</v>
      </c>
      <c r="E11" s="25">
        <v>46211.0</v>
      </c>
      <c r="F11" s="25">
        <v>46211.0</v>
      </c>
      <c r="G11" s="27" t="s">
        <v>67</v>
      </c>
      <c r="H11" s="27" t="s">
        <v>68</v>
      </c>
      <c r="I11" s="24" t="s">
        <v>69</v>
      </c>
      <c r="J11" s="26" t="s">
        <v>11</v>
      </c>
      <c r="K11" s="28">
        <v>43000.0</v>
      </c>
      <c r="L11" s="24" t="s">
        <v>70</v>
      </c>
      <c r="M11" s="26" t="s">
        <v>71</v>
      </c>
      <c r="N11" s="37">
        <v>46212.0</v>
      </c>
      <c r="O11" s="26" t="s">
        <v>73</v>
      </c>
      <c r="P11" s="26" t="s">
        <v>73</v>
      </c>
      <c r="Q11" s="24" t="s">
        <v>75</v>
      </c>
    </row>
    <row r="12" ht="22.5" customHeight="1">
      <c r="B12" s="24" t="s">
        <v>6</v>
      </c>
      <c r="C12" s="25">
        <v>46209.0</v>
      </c>
      <c r="D12" s="26" t="s">
        <v>58</v>
      </c>
      <c r="E12" s="25">
        <v>46210.0</v>
      </c>
      <c r="F12" s="25">
        <v>46211.0</v>
      </c>
      <c r="G12" s="27" t="s">
        <v>79</v>
      </c>
      <c r="H12" s="27" t="s">
        <v>81</v>
      </c>
      <c r="I12" s="24" t="s">
        <v>76</v>
      </c>
      <c r="J12" s="26" t="s">
        <v>11</v>
      </c>
      <c r="K12" s="28">
        <v>82100.0</v>
      </c>
      <c r="L12" s="45" t="s">
        <v>84</v>
      </c>
      <c r="M12" s="26" t="s">
        <v>73</v>
      </c>
      <c r="N12" s="37">
        <v>46217.0</v>
      </c>
      <c r="O12" s="26" t="s">
        <v>73</v>
      </c>
      <c r="P12" s="26" t="s">
        <v>73</v>
      </c>
      <c r="Q12" s="24" t="s">
        <v>75</v>
      </c>
    </row>
    <row r="13" ht="22.5" customHeight="1">
      <c r="B13" s="24" t="s">
        <v>6</v>
      </c>
      <c r="C13" s="25">
        <v>46210.0</v>
      </c>
      <c r="D13" s="26" t="s">
        <v>58</v>
      </c>
      <c r="E13" s="25">
        <v>46212.0</v>
      </c>
      <c r="F13" s="25">
        <v>46217.0</v>
      </c>
      <c r="G13" s="27" t="s">
        <v>87</v>
      </c>
      <c r="H13" s="27" t="s">
        <v>88</v>
      </c>
      <c r="I13" s="24" t="s">
        <v>69</v>
      </c>
      <c r="J13" s="26" t="s">
        <v>11</v>
      </c>
      <c r="K13" s="28">
        <v>67600.0</v>
      </c>
      <c r="L13" s="45" t="s">
        <v>84</v>
      </c>
      <c r="M13" s="26" t="s">
        <v>71</v>
      </c>
      <c r="N13" s="37">
        <v>46219.0</v>
      </c>
      <c r="O13" s="26" t="s">
        <v>73</v>
      </c>
      <c r="P13" s="26" t="s">
        <v>71</v>
      </c>
      <c r="Q13" s="24" t="s">
        <v>75</v>
      </c>
    </row>
    <row r="14" ht="22.5" customHeight="1">
      <c r="B14" s="24" t="s">
        <v>6</v>
      </c>
      <c r="C14" s="25">
        <v>46210.0</v>
      </c>
      <c r="D14" s="26" t="s">
        <v>49</v>
      </c>
      <c r="E14" s="24" t="s">
        <v>96</v>
      </c>
      <c r="F14" s="24" t="s">
        <v>51</v>
      </c>
      <c r="G14" s="27" t="s">
        <v>98</v>
      </c>
      <c r="H14" s="27" t="s">
        <v>99</v>
      </c>
      <c r="I14" s="24" t="s">
        <v>76</v>
      </c>
      <c r="J14" s="26" t="s">
        <v>24</v>
      </c>
      <c r="K14" s="28">
        <v>81700.0</v>
      </c>
      <c r="L14" s="24" t="s">
        <v>100</v>
      </c>
      <c r="M14" s="26" t="s">
        <v>50</v>
      </c>
      <c r="N14" s="24" t="s">
        <v>60</v>
      </c>
      <c r="O14" s="26" t="s">
        <v>50</v>
      </c>
      <c r="P14" s="26" t="s">
        <v>96</v>
      </c>
      <c r="Q14" s="24" t="s">
        <v>101</v>
      </c>
    </row>
    <row r="15" ht="22.5" customHeight="1">
      <c r="B15" s="24" t="s">
        <v>6</v>
      </c>
      <c r="C15" s="25">
        <v>46210.0</v>
      </c>
      <c r="D15" s="26" t="s">
        <v>58</v>
      </c>
      <c r="E15" s="25">
        <v>46211.0</v>
      </c>
      <c r="F15" s="25">
        <v>46212.0</v>
      </c>
      <c r="G15" s="27" t="s">
        <v>104</v>
      </c>
      <c r="H15" s="27" t="s">
        <v>105</v>
      </c>
      <c r="I15" s="24" t="s">
        <v>76</v>
      </c>
      <c r="J15" s="26" t="s">
        <v>11</v>
      </c>
      <c r="K15" s="28">
        <v>77700.0</v>
      </c>
      <c r="L15" s="65" t="s">
        <v>108</v>
      </c>
      <c r="M15" s="26" t="s">
        <v>73</v>
      </c>
      <c r="N15" s="37">
        <v>46216.0</v>
      </c>
      <c r="O15" s="26" t="s">
        <v>73</v>
      </c>
      <c r="P15" s="26" t="s">
        <v>73</v>
      </c>
      <c r="Q15" s="32"/>
    </row>
    <row r="16" ht="22.5" customHeight="1">
      <c r="B16" s="24" t="s">
        <v>6</v>
      </c>
      <c r="C16" s="25">
        <v>46211.0</v>
      </c>
      <c r="D16" s="26" t="s">
        <v>58</v>
      </c>
      <c r="E16" s="25">
        <v>46216.0</v>
      </c>
      <c r="F16" s="25">
        <v>46217.0</v>
      </c>
      <c r="G16" s="27" t="s">
        <v>113</v>
      </c>
      <c r="H16" s="27" t="s">
        <v>114</v>
      </c>
      <c r="I16" s="24" t="s">
        <v>76</v>
      </c>
      <c r="J16" s="26" t="s">
        <v>11</v>
      </c>
      <c r="K16" s="28">
        <v>23000.0</v>
      </c>
      <c r="L16" s="70" t="s">
        <v>84</v>
      </c>
      <c r="M16" s="49"/>
      <c r="N16" s="37">
        <v>46217.0</v>
      </c>
      <c r="O16" s="26" t="s">
        <v>73</v>
      </c>
      <c r="P16" s="26" t="s">
        <v>73</v>
      </c>
      <c r="Q16" s="32"/>
    </row>
    <row r="17" ht="22.5" customHeight="1">
      <c r="B17" s="24" t="s">
        <v>6</v>
      </c>
      <c r="C17" s="25">
        <v>46211.0</v>
      </c>
      <c r="D17" s="26" t="s">
        <v>58</v>
      </c>
      <c r="E17" s="75"/>
      <c r="F17" s="25" t="s">
        <v>121</v>
      </c>
      <c r="G17" s="27" t="s">
        <v>122</v>
      </c>
      <c r="H17" s="27" t="s">
        <v>123</v>
      </c>
      <c r="I17" s="24" t="s">
        <v>124</v>
      </c>
      <c r="J17" s="26" t="s">
        <v>11</v>
      </c>
      <c r="K17" s="28">
        <v>81800.0</v>
      </c>
      <c r="L17" s="45" t="s">
        <v>84</v>
      </c>
      <c r="M17" s="49"/>
      <c r="N17" s="32"/>
      <c r="O17" s="49"/>
      <c r="P17" s="49"/>
      <c r="Q17" s="24" t="s">
        <v>127</v>
      </c>
    </row>
    <row r="18" ht="22.5" customHeight="1">
      <c r="B18" s="24" t="s">
        <v>6</v>
      </c>
      <c r="C18" s="25">
        <v>46216.0</v>
      </c>
      <c r="D18" s="26" t="s">
        <v>58</v>
      </c>
      <c r="E18" s="25">
        <v>46224.0</v>
      </c>
      <c r="F18" s="75"/>
      <c r="G18" s="27" t="s">
        <v>129</v>
      </c>
      <c r="H18" s="27" t="s">
        <v>132</v>
      </c>
      <c r="I18" s="24" t="s">
        <v>76</v>
      </c>
      <c r="J18" s="26" t="s">
        <v>11</v>
      </c>
      <c r="K18" s="28">
        <v>72600.0</v>
      </c>
      <c r="L18" s="65" t="s">
        <v>84</v>
      </c>
      <c r="M18" s="49"/>
      <c r="N18" s="32"/>
      <c r="O18" s="49"/>
      <c r="P18" s="49"/>
      <c r="Q18" s="24" t="s">
        <v>136</v>
      </c>
    </row>
    <row r="19" ht="22.5" customHeight="1">
      <c r="B19" s="24" t="s">
        <v>6</v>
      </c>
      <c r="C19" s="25">
        <v>46218.0</v>
      </c>
      <c r="D19" s="26" t="s">
        <v>58</v>
      </c>
      <c r="E19" s="25">
        <v>46219.0</v>
      </c>
      <c r="F19" s="25">
        <v>46221.0</v>
      </c>
      <c r="G19" s="27" t="s">
        <v>139</v>
      </c>
      <c r="H19" s="27" t="s">
        <v>140</v>
      </c>
      <c r="I19" s="24" t="s">
        <v>76</v>
      </c>
      <c r="J19" s="26" t="s">
        <v>11</v>
      </c>
      <c r="K19" s="28">
        <v>83050.0</v>
      </c>
      <c r="L19" s="65" t="s">
        <v>84</v>
      </c>
      <c r="M19" s="49"/>
      <c r="N19" s="32"/>
      <c r="O19" s="49"/>
      <c r="P19" s="49"/>
      <c r="Q19" s="24" t="s">
        <v>0</v>
      </c>
    </row>
    <row r="20" ht="22.5" customHeight="1">
      <c r="B20" s="24" t="s">
        <v>6</v>
      </c>
      <c r="C20" s="25">
        <v>46218.0</v>
      </c>
      <c r="D20" s="26" t="s">
        <v>58</v>
      </c>
      <c r="E20" s="25">
        <v>46221.0</v>
      </c>
      <c r="F20" s="24" t="s">
        <v>146</v>
      </c>
      <c r="G20" s="27" t="s">
        <v>147</v>
      </c>
      <c r="H20" s="27" t="s">
        <v>148</v>
      </c>
      <c r="I20" s="24" t="s">
        <v>76</v>
      </c>
      <c r="J20" s="26" t="s">
        <v>24</v>
      </c>
      <c r="K20" s="28">
        <v>58000.0</v>
      </c>
      <c r="L20" s="24" t="s">
        <v>149</v>
      </c>
      <c r="M20" s="26" t="s">
        <v>150</v>
      </c>
      <c r="N20" s="24" t="s">
        <v>151</v>
      </c>
      <c r="O20" s="26" t="s">
        <v>152</v>
      </c>
      <c r="P20" s="26" t="s">
        <v>153</v>
      </c>
      <c r="Q20" s="24" t="s">
        <v>0</v>
      </c>
    </row>
    <row r="21" ht="22.5" customHeight="1">
      <c r="B21" s="24" t="s">
        <v>6</v>
      </c>
      <c r="C21" s="25">
        <v>46218.0</v>
      </c>
      <c r="D21" s="26" t="s">
        <v>58</v>
      </c>
      <c r="E21" s="25">
        <v>46219.0</v>
      </c>
      <c r="F21" s="25">
        <v>46132.0</v>
      </c>
      <c r="G21" s="27" t="s">
        <v>155</v>
      </c>
      <c r="H21" s="27" t="s">
        <v>156</v>
      </c>
      <c r="I21" s="24" t="s">
        <v>76</v>
      </c>
      <c r="J21" s="26" t="s">
        <v>11</v>
      </c>
      <c r="K21" s="28">
        <v>83000.0</v>
      </c>
      <c r="L21" s="24" t="s">
        <v>158</v>
      </c>
      <c r="M21" s="49"/>
      <c r="N21" s="32"/>
      <c r="O21" s="49"/>
      <c r="P21" s="49"/>
      <c r="Q21" s="24" t="s">
        <v>162</v>
      </c>
    </row>
    <row r="22" ht="22.5" customHeight="1">
      <c r="B22" s="24" t="s">
        <v>6</v>
      </c>
      <c r="C22" s="25">
        <v>46219.0</v>
      </c>
      <c r="D22" s="26" t="s">
        <v>49</v>
      </c>
      <c r="E22" s="24" t="s">
        <v>50</v>
      </c>
      <c r="F22" s="24" t="s">
        <v>50</v>
      </c>
      <c r="G22" s="27" t="s">
        <v>164</v>
      </c>
      <c r="H22" s="27" t="s">
        <v>165</v>
      </c>
      <c r="I22" s="24" t="s">
        <v>124</v>
      </c>
      <c r="J22" s="26" t="s">
        <v>24</v>
      </c>
      <c r="K22" s="28">
        <v>25500.0</v>
      </c>
      <c r="L22" s="24" t="s">
        <v>84</v>
      </c>
      <c r="M22" s="26" t="s">
        <v>56</v>
      </c>
      <c r="N22" s="24" t="s">
        <v>166</v>
      </c>
      <c r="O22" s="26" t="s">
        <v>96</v>
      </c>
      <c r="P22" s="26" t="s">
        <v>167</v>
      </c>
      <c r="Q22" s="24" t="s">
        <v>0</v>
      </c>
    </row>
    <row r="23" ht="22.5" customHeight="1">
      <c r="B23" s="24" t="s">
        <v>6</v>
      </c>
      <c r="C23" s="25">
        <v>46220.0</v>
      </c>
      <c r="D23" s="26" t="s">
        <v>58</v>
      </c>
      <c r="E23" s="25">
        <v>46223.0</v>
      </c>
      <c r="F23" s="25">
        <v>46223.0</v>
      </c>
      <c r="G23" s="27" t="s">
        <v>173</v>
      </c>
      <c r="H23" s="27" t="s">
        <v>175</v>
      </c>
      <c r="I23" s="24" t="s">
        <v>76</v>
      </c>
      <c r="J23" s="26" t="s">
        <v>11</v>
      </c>
      <c r="K23" s="28">
        <v>92300.0</v>
      </c>
      <c r="L23" s="65" t="s">
        <v>84</v>
      </c>
      <c r="M23" s="49"/>
      <c r="N23" s="32"/>
      <c r="O23" s="49"/>
      <c r="P23" s="49"/>
      <c r="Q23" s="24" t="s">
        <v>177</v>
      </c>
    </row>
    <row r="24" ht="22.5" customHeight="1">
      <c r="B24" s="24" t="s">
        <v>6</v>
      </c>
      <c r="C24" s="25">
        <v>46220.0</v>
      </c>
      <c r="D24" s="26" t="s">
        <v>49</v>
      </c>
      <c r="E24" s="24" t="s">
        <v>180</v>
      </c>
      <c r="F24" s="24" t="s">
        <v>51</v>
      </c>
      <c r="G24" s="27" t="s">
        <v>181</v>
      </c>
      <c r="H24" s="27" t="s">
        <v>182</v>
      </c>
      <c r="I24" s="24" t="s">
        <v>124</v>
      </c>
      <c r="J24" s="26" t="s">
        <v>24</v>
      </c>
      <c r="K24" s="28">
        <v>173000.0</v>
      </c>
      <c r="L24" s="24" t="s">
        <v>84</v>
      </c>
      <c r="M24" s="26" t="s">
        <v>183</v>
      </c>
      <c r="N24" s="24" t="s">
        <v>152</v>
      </c>
      <c r="O24" s="26" t="s">
        <v>183</v>
      </c>
      <c r="P24" s="26" t="s">
        <v>184</v>
      </c>
      <c r="Q24" s="24" t="s">
        <v>0</v>
      </c>
    </row>
    <row r="25" ht="22.5" customHeight="1">
      <c r="B25" s="24" t="s">
        <v>6</v>
      </c>
      <c r="C25" s="25">
        <v>46224.0</v>
      </c>
      <c r="D25" s="26" t="s">
        <v>49</v>
      </c>
      <c r="E25" s="24" t="s">
        <v>180</v>
      </c>
      <c r="F25" s="24" t="s">
        <v>51</v>
      </c>
      <c r="G25" s="27" t="s">
        <v>187</v>
      </c>
      <c r="H25" s="27" t="s">
        <v>188</v>
      </c>
      <c r="I25" s="24" t="s">
        <v>124</v>
      </c>
      <c r="J25" s="26" t="s">
        <v>24</v>
      </c>
      <c r="K25" s="28">
        <v>65350.0</v>
      </c>
      <c r="L25" s="24" t="s">
        <v>191</v>
      </c>
      <c r="M25" s="26" t="s">
        <v>166</v>
      </c>
      <c r="N25" s="24" t="s">
        <v>152</v>
      </c>
      <c r="O25" s="26" t="s">
        <v>192</v>
      </c>
      <c r="P25" s="26" t="s">
        <v>194</v>
      </c>
      <c r="Q25" s="32"/>
    </row>
    <row r="26" ht="22.5" customHeight="1">
      <c r="B26" s="24" t="s">
        <v>6</v>
      </c>
      <c r="C26" s="25">
        <v>46223.0</v>
      </c>
      <c r="D26" s="26" t="s">
        <v>58</v>
      </c>
      <c r="E26" s="25">
        <v>46223.0</v>
      </c>
      <c r="F26" s="75"/>
      <c r="G26" s="27" t="s">
        <v>195</v>
      </c>
      <c r="H26" s="27" t="s">
        <v>196</v>
      </c>
      <c r="I26" s="24" t="s">
        <v>76</v>
      </c>
      <c r="J26" s="26" t="s">
        <v>11</v>
      </c>
      <c r="K26" s="28">
        <v>63550.0</v>
      </c>
      <c r="L26" s="65" t="s">
        <v>84</v>
      </c>
      <c r="M26" s="49"/>
      <c r="N26" s="32"/>
      <c r="O26" s="49"/>
      <c r="P26" s="49"/>
      <c r="Q26" s="32"/>
    </row>
    <row r="27" ht="22.5" customHeight="1">
      <c r="B27" s="24" t="s">
        <v>6</v>
      </c>
      <c r="C27" s="25">
        <v>46224.0</v>
      </c>
      <c r="D27" s="26" t="s">
        <v>58</v>
      </c>
      <c r="E27" s="75"/>
      <c r="F27" s="75"/>
      <c r="G27" s="27" t="s">
        <v>201</v>
      </c>
      <c r="H27" s="27" t="s">
        <v>202</v>
      </c>
      <c r="I27" s="24" t="s">
        <v>76</v>
      </c>
      <c r="J27" s="26" t="s">
        <v>11</v>
      </c>
      <c r="K27" s="28">
        <v>66800.0</v>
      </c>
      <c r="L27" s="45" t="s">
        <v>84</v>
      </c>
      <c r="M27" s="49"/>
      <c r="N27" s="32"/>
      <c r="O27" s="49"/>
      <c r="P27" s="49"/>
      <c r="Q27" s="32"/>
    </row>
    <row r="28" ht="22.5" customHeight="1">
      <c r="B28" s="24" t="s">
        <v>6</v>
      </c>
      <c r="C28" s="25">
        <v>46225.0</v>
      </c>
      <c r="D28" s="26" t="s">
        <v>58</v>
      </c>
      <c r="E28" s="25">
        <v>46224.0</v>
      </c>
      <c r="F28" s="75"/>
      <c r="G28" s="27" t="s">
        <v>208</v>
      </c>
      <c r="H28" s="27" t="s">
        <v>209</v>
      </c>
      <c r="I28" s="24" t="s">
        <v>76</v>
      </c>
      <c r="J28" s="26" t="s">
        <v>11</v>
      </c>
      <c r="K28" s="28">
        <v>38660.0</v>
      </c>
      <c r="L28" s="65" t="s">
        <v>84</v>
      </c>
      <c r="M28" s="49"/>
      <c r="N28" s="32"/>
      <c r="O28" s="49"/>
      <c r="P28" s="49"/>
      <c r="Q28" s="32"/>
    </row>
    <row r="29" ht="22.5" customHeight="1">
      <c r="B29" s="24" t="s">
        <v>6</v>
      </c>
      <c r="C29" s="25">
        <v>46228.0</v>
      </c>
      <c r="D29" s="26" t="s">
        <v>49</v>
      </c>
      <c r="E29" s="24" t="s">
        <v>150</v>
      </c>
      <c r="F29" s="24" t="s">
        <v>150</v>
      </c>
      <c r="G29" s="27" t="s">
        <v>212</v>
      </c>
      <c r="H29" s="27" t="s">
        <v>213</v>
      </c>
      <c r="I29" s="24" t="s">
        <v>64</v>
      </c>
      <c r="J29" s="26" t="s">
        <v>24</v>
      </c>
      <c r="K29" s="28">
        <v>70000.0</v>
      </c>
      <c r="L29" s="24" t="s">
        <v>84</v>
      </c>
      <c r="M29" s="49"/>
      <c r="N29" s="32"/>
      <c r="O29" s="49"/>
      <c r="P29" s="49"/>
      <c r="Q29" s="32"/>
    </row>
    <row r="30" ht="22.5" customHeight="1">
      <c r="B30" s="24" t="s">
        <v>6</v>
      </c>
      <c r="C30" s="24" t="s">
        <v>216</v>
      </c>
      <c r="D30" s="26" t="s">
        <v>49</v>
      </c>
      <c r="E30" s="24" t="s">
        <v>166</v>
      </c>
      <c r="F30" s="24" t="s">
        <v>153</v>
      </c>
      <c r="G30" s="27" t="s">
        <v>217</v>
      </c>
      <c r="H30" s="27" t="s">
        <v>218</v>
      </c>
      <c r="I30" s="24" t="s">
        <v>64</v>
      </c>
      <c r="J30" s="26" t="s">
        <v>24</v>
      </c>
      <c r="K30" s="28">
        <v>84100.0</v>
      </c>
      <c r="L30" s="24" t="s">
        <v>100</v>
      </c>
      <c r="M30" s="26" t="s">
        <v>153</v>
      </c>
      <c r="N30" s="24" t="s">
        <v>167</v>
      </c>
      <c r="O30" s="26" t="s">
        <v>183</v>
      </c>
      <c r="P30" s="26" t="s">
        <v>221</v>
      </c>
      <c r="Q30" s="24" t="s">
        <v>75</v>
      </c>
    </row>
    <row r="31" ht="22.5" customHeight="1">
      <c r="B31" s="24" t="s">
        <v>6</v>
      </c>
      <c r="C31" s="24" t="s">
        <v>222</v>
      </c>
      <c r="D31" s="26" t="s">
        <v>49</v>
      </c>
      <c r="E31" s="24" t="s">
        <v>51</v>
      </c>
      <c r="F31" s="24" t="s">
        <v>153</v>
      </c>
      <c r="G31" s="27" t="s">
        <v>223</v>
      </c>
      <c r="H31" s="27" t="s">
        <v>224</v>
      </c>
      <c r="I31" s="24" t="s">
        <v>64</v>
      </c>
      <c r="J31" s="26" t="s">
        <v>24</v>
      </c>
      <c r="K31" s="28">
        <v>48890.0</v>
      </c>
      <c r="L31" s="24" t="s">
        <v>225</v>
      </c>
      <c r="M31" s="26" t="s">
        <v>166</v>
      </c>
      <c r="N31" s="24" t="s">
        <v>51</v>
      </c>
      <c r="O31" s="26" t="s">
        <v>51</v>
      </c>
      <c r="P31" s="26" t="s">
        <v>222</v>
      </c>
      <c r="Q31" s="32"/>
    </row>
    <row r="32" ht="22.5" customHeight="1">
      <c r="B32" s="24" t="s">
        <v>6</v>
      </c>
      <c r="C32" s="25">
        <v>46233.0</v>
      </c>
      <c r="D32" s="26" t="s">
        <v>58</v>
      </c>
      <c r="E32" s="25">
        <v>46234.0</v>
      </c>
      <c r="F32" s="75"/>
      <c r="G32" s="27" t="s">
        <v>230</v>
      </c>
      <c r="H32" s="27" t="s">
        <v>231</v>
      </c>
      <c r="I32" s="24" t="s">
        <v>76</v>
      </c>
      <c r="J32" s="26" t="s">
        <v>20</v>
      </c>
      <c r="K32" s="28">
        <v>81850.0</v>
      </c>
      <c r="L32" s="24" t="s">
        <v>225</v>
      </c>
      <c r="M32" s="49"/>
      <c r="N32" s="32"/>
      <c r="O32" s="49"/>
      <c r="P32" s="49"/>
      <c r="Q32" s="32"/>
    </row>
    <row r="33" ht="22.5" customHeight="1">
      <c r="B33" s="24" t="s">
        <v>6</v>
      </c>
      <c r="C33" s="25">
        <v>46234.0</v>
      </c>
      <c r="D33" s="26" t="s">
        <v>58</v>
      </c>
      <c r="E33" s="25">
        <v>46234.0</v>
      </c>
      <c r="F33" s="75"/>
      <c r="G33" s="27" t="s">
        <v>233</v>
      </c>
      <c r="H33" s="27" t="s">
        <v>235</v>
      </c>
      <c r="I33" s="24" t="s">
        <v>124</v>
      </c>
      <c r="J33" s="26" t="s">
        <v>20</v>
      </c>
      <c r="K33" s="28">
        <v>93400.0</v>
      </c>
      <c r="L33" s="24" t="s">
        <v>84</v>
      </c>
      <c r="M33" s="49"/>
      <c r="N33" s="32"/>
      <c r="O33" s="49"/>
      <c r="P33" s="49"/>
      <c r="Q33" s="32"/>
    </row>
    <row r="34" ht="22.5" customHeight="1">
      <c r="B34" s="32"/>
      <c r="C34" s="75"/>
      <c r="D34" s="113"/>
      <c r="E34" s="75"/>
      <c r="F34" s="75"/>
      <c r="G34" s="114"/>
      <c r="H34" s="114"/>
      <c r="I34" s="32"/>
      <c r="J34" s="49"/>
      <c r="K34" s="115"/>
      <c r="L34" s="32"/>
      <c r="M34" s="49"/>
      <c r="N34" s="32"/>
      <c r="O34" s="49"/>
      <c r="P34" s="49"/>
      <c r="Q34" s="32"/>
    </row>
    <row r="35" ht="22.5" customHeight="1">
      <c r="B35" s="32"/>
      <c r="C35" s="75"/>
      <c r="D35" s="113"/>
      <c r="E35" s="75"/>
      <c r="F35" s="75"/>
      <c r="G35" s="114"/>
      <c r="H35" s="114"/>
      <c r="I35" s="32"/>
      <c r="J35" s="49"/>
      <c r="K35" s="115"/>
      <c r="L35" s="32"/>
      <c r="M35" s="49"/>
      <c r="N35" s="32"/>
      <c r="O35" s="49"/>
      <c r="P35" s="49"/>
      <c r="Q35" s="32"/>
    </row>
    <row r="36" ht="22.5" customHeight="1">
      <c r="B36" s="32"/>
      <c r="C36" s="75"/>
      <c r="D36" s="113"/>
      <c r="E36" s="75"/>
      <c r="F36" s="75"/>
      <c r="G36" s="114"/>
      <c r="H36" s="114"/>
      <c r="I36" s="32"/>
      <c r="J36" s="49"/>
      <c r="K36" s="115"/>
      <c r="L36" s="32"/>
      <c r="M36" s="49"/>
      <c r="N36" s="32"/>
      <c r="O36" s="49"/>
      <c r="P36" s="49"/>
      <c r="Q36" s="32"/>
    </row>
    <row r="37" ht="22.5" customHeight="1">
      <c r="B37" s="32"/>
      <c r="C37" s="75"/>
      <c r="D37" s="113"/>
      <c r="E37" s="75"/>
      <c r="F37" s="75"/>
      <c r="G37" s="114"/>
      <c r="H37" s="114"/>
      <c r="I37" s="32"/>
      <c r="J37" s="49"/>
      <c r="K37" s="115"/>
      <c r="L37" s="32"/>
      <c r="M37" s="49"/>
      <c r="N37" s="32"/>
      <c r="O37" s="49"/>
      <c r="P37" s="49"/>
      <c r="Q37" s="32"/>
    </row>
    <row r="38" ht="22.5" customHeight="1">
      <c r="B38" s="32"/>
      <c r="C38" s="75"/>
      <c r="D38" s="113"/>
      <c r="E38" s="75"/>
      <c r="F38" s="75"/>
      <c r="G38" s="114"/>
      <c r="H38" s="114"/>
      <c r="I38" s="32"/>
      <c r="J38" s="49"/>
      <c r="K38" s="115"/>
      <c r="L38" s="32"/>
      <c r="M38" s="49"/>
      <c r="N38" s="32"/>
      <c r="O38" s="49"/>
      <c r="P38" s="49"/>
      <c r="Q38" s="32"/>
    </row>
    <row r="39" ht="22.5" customHeight="1">
      <c r="B39" s="32"/>
      <c r="C39" s="75"/>
      <c r="D39" s="113"/>
      <c r="E39" s="75"/>
      <c r="F39" s="75"/>
      <c r="G39" s="114"/>
      <c r="H39" s="114"/>
      <c r="I39" s="32"/>
      <c r="J39" s="49"/>
      <c r="K39" s="115"/>
      <c r="L39" s="32"/>
      <c r="M39" s="49"/>
      <c r="N39" s="32"/>
      <c r="O39" s="49"/>
      <c r="P39" s="49"/>
      <c r="Q39" s="32"/>
    </row>
    <row r="40" ht="22.5" customHeight="1">
      <c r="B40" s="32"/>
      <c r="C40" s="75"/>
      <c r="D40" s="113"/>
      <c r="E40" s="75"/>
      <c r="F40" s="75"/>
      <c r="G40" s="114"/>
      <c r="H40" s="114"/>
      <c r="I40" s="32"/>
      <c r="J40" s="49"/>
      <c r="K40" s="115"/>
      <c r="L40" s="32"/>
      <c r="M40" s="49"/>
      <c r="N40" s="32"/>
      <c r="O40" s="49"/>
      <c r="P40" s="49"/>
      <c r="Q40" s="32"/>
    </row>
    <row r="41" ht="22.5" customHeight="1">
      <c r="B41" s="32"/>
      <c r="C41" s="75"/>
      <c r="D41" s="113"/>
      <c r="E41" s="75"/>
      <c r="F41" s="75"/>
      <c r="G41" s="114"/>
      <c r="H41" s="114"/>
      <c r="I41" s="32"/>
      <c r="J41" s="49"/>
      <c r="K41" s="115"/>
      <c r="L41" s="32"/>
      <c r="M41" s="49"/>
      <c r="N41" s="32"/>
      <c r="O41" s="49"/>
      <c r="P41" s="49"/>
      <c r="Q41" s="32"/>
    </row>
    <row r="42" ht="22.5" customHeight="1">
      <c r="B42" s="32"/>
      <c r="C42" s="75"/>
      <c r="D42" s="113"/>
      <c r="E42" s="75"/>
      <c r="F42" s="75"/>
      <c r="G42" s="114"/>
      <c r="H42" s="114"/>
      <c r="I42" s="32"/>
      <c r="J42" s="49"/>
      <c r="K42" s="115"/>
      <c r="L42" s="32"/>
      <c r="M42" s="49"/>
      <c r="N42" s="32"/>
      <c r="O42" s="49"/>
      <c r="P42" s="49"/>
      <c r="Q42" s="32"/>
    </row>
    <row r="43" ht="22.5" customHeight="1">
      <c r="B43" s="32"/>
      <c r="C43" s="75"/>
      <c r="D43" s="113"/>
      <c r="E43" s="75"/>
      <c r="F43" s="75"/>
      <c r="G43" s="114"/>
      <c r="H43" s="114"/>
      <c r="I43" s="32"/>
      <c r="J43" s="49"/>
      <c r="K43" s="115"/>
      <c r="L43" s="32"/>
      <c r="M43" s="49"/>
      <c r="N43" s="32"/>
      <c r="O43" s="49"/>
      <c r="P43" s="49"/>
      <c r="Q43" s="32"/>
    </row>
    <row r="44" ht="22.5" customHeight="1">
      <c r="B44" s="32"/>
      <c r="C44" s="75"/>
      <c r="D44" s="113"/>
      <c r="E44" s="75"/>
      <c r="F44" s="75"/>
      <c r="G44" s="114"/>
      <c r="H44" s="114"/>
      <c r="I44" s="32"/>
      <c r="J44" s="49"/>
      <c r="K44" s="115"/>
      <c r="L44" s="32"/>
      <c r="M44" s="49"/>
      <c r="N44" s="32"/>
      <c r="O44" s="49"/>
      <c r="P44" s="49"/>
      <c r="Q44" s="32"/>
    </row>
    <row r="45" ht="22.5" customHeight="1">
      <c r="B45" s="32"/>
      <c r="C45" s="75"/>
      <c r="D45" s="113"/>
      <c r="E45" s="75"/>
      <c r="F45" s="75"/>
      <c r="G45" s="114"/>
      <c r="H45" s="114"/>
      <c r="I45" s="32"/>
      <c r="J45" s="49"/>
      <c r="K45" s="115"/>
      <c r="L45" s="32"/>
      <c r="M45" s="49"/>
      <c r="N45" s="32"/>
      <c r="O45" s="49"/>
      <c r="P45" s="49"/>
      <c r="Q45" s="32"/>
    </row>
    <row r="46" ht="22.5" customHeight="1">
      <c r="B46" s="32"/>
      <c r="C46" s="75"/>
      <c r="D46" s="113"/>
      <c r="E46" s="75"/>
      <c r="F46" s="75"/>
      <c r="G46" s="114"/>
      <c r="H46" s="114"/>
      <c r="I46" s="32"/>
      <c r="J46" s="49"/>
      <c r="K46" s="115"/>
      <c r="L46" s="32"/>
      <c r="M46" s="49"/>
      <c r="N46" s="32"/>
      <c r="O46" s="49"/>
      <c r="P46" s="49"/>
      <c r="Q46" s="32"/>
    </row>
    <row r="47" ht="22.5" customHeight="1">
      <c r="B47" s="32"/>
      <c r="C47" s="75"/>
      <c r="D47" s="113"/>
      <c r="E47" s="75"/>
      <c r="F47" s="75"/>
      <c r="G47" s="114"/>
      <c r="H47" s="114"/>
      <c r="I47" s="32"/>
      <c r="J47" s="49"/>
      <c r="K47" s="115"/>
      <c r="L47" s="32"/>
      <c r="M47" s="49"/>
      <c r="N47" s="32"/>
      <c r="O47" s="49"/>
      <c r="P47" s="49"/>
      <c r="Q47" s="32"/>
    </row>
    <row r="48" ht="22.5" customHeight="1">
      <c r="B48" s="32"/>
      <c r="C48" s="75"/>
      <c r="D48" s="113"/>
      <c r="E48" s="75"/>
      <c r="F48" s="75"/>
      <c r="G48" s="114"/>
      <c r="H48" s="114"/>
      <c r="I48" s="32"/>
      <c r="J48" s="49"/>
      <c r="K48" s="115"/>
      <c r="L48" s="32"/>
      <c r="M48" s="49"/>
      <c r="N48" s="32"/>
      <c r="O48" s="49"/>
      <c r="P48" s="49"/>
      <c r="Q48" s="32"/>
    </row>
    <row r="49" ht="22.5" customHeight="1">
      <c r="B49" s="32"/>
      <c r="C49" s="75"/>
      <c r="D49" s="113"/>
      <c r="E49" s="75"/>
      <c r="F49" s="75"/>
      <c r="G49" s="114"/>
      <c r="H49" s="114"/>
      <c r="I49" s="32"/>
      <c r="J49" s="49"/>
      <c r="K49" s="115"/>
      <c r="L49" s="32"/>
      <c r="M49" s="49"/>
      <c r="N49" s="32"/>
      <c r="O49" s="49"/>
      <c r="P49" s="49"/>
      <c r="Q49" s="32"/>
    </row>
    <row r="50" ht="22.5" customHeight="1">
      <c r="B50" s="32"/>
      <c r="C50" s="75"/>
      <c r="D50" s="113"/>
      <c r="E50" s="75"/>
      <c r="F50" s="75"/>
      <c r="G50" s="114"/>
      <c r="H50" s="114"/>
      <c r="I50" s="32"/>
      <c r="J50" s="49"/>
      <c r="K50" s="115"/>
      <c r="L50" s="32"/>
      <c r="M50" s="49"/>
      <c r="N50" s="32"/>
      <c r="O50" s="49"/>
      <c r="P50" s="49"/>
      <c r="Q50" s="32"/>
    </row>
    <row r="51" ht="22.5" customHeight="1">
      <c r="B51" s="32"/>
      <c r="C51" s="75"/>
      <c r="D51" s="113"/>
      <c r="E51" s="75"/>
      <c r="F51" s="75"/>
      <c r="G51" s="114"/>
      <c r="H51" s="114"/>
      <c r="I51" s="32"/>
      <c r="J51" s="49"/>
      <c r="K51" s="115"/>
      <c r="L51" s="32"/>
      <c r="M51" s="49"/>
      <c r="N51" s="32"/>
      <c r="O51" s="49"/>
      <c r="P51" s="49"/>
      <c r="Q51" s="32"/>
    </row>
    <row r="52" ht="22.5" customHeight="1">
      <c r="B52" s="32"/>
      <c r="C52" s="75"/>
      <c r="D52" s="113"/>
      <c r="E52" s="75"/>
      <c r="F52" s="75"/>
      <c r="G52" s="114"/>
      <c r="H52" s="114"/>
      <c r="I52" s="32"/>
      <c r="J52" s="49"/>
      <c r="K52" s="115"/>
      <c r="L52" s="32"/>
      <c r="M52" s="49"/>
      <c r="N52" s="32"/>
      <c r="O52" s="49"/>
      <c r="P52" s="49"/>
      <c r="Q52" s="3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34.25"/>
    <col customWidth="1" min="9" max="9" width="19.25"/>
    <col customWidth="1" min="10" max="10" width="22.88"/>
    <col customWidth="1" min="11" max="11" width="17.0"/>
    <col customWidth="1" min="12" max="12" width="14.3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5" t="s">
        <v>6</v>
      </c>
      <c r="E3" s="7" t="s">
        <v>8</v>
      </c>
      <c r="F3" s="7" t="s">
        <v>11</v>
      </c>
      <c r="G3" s="8" t="s">
        <v>13</v>
      </c>
      <c r="H3" s="7" t="s">
        <v>16</v>
      </c>
      <c r="I3" s="7" t="s">
        <v>17</v>
      </c>
      <c r="J3" s="7" t="s">
        <v>18</v>
      </c>
      <c r="K3" s="7" t="s">
        <v>20</v>
      </c>
      <c r="L3" s="7" t="s">
        <v>21</v>
      </c>
      <c r="M3" s="7" t="s">
        <v>23</v>
      </c>
      <c r="N3" s="7" t="s">
        <v>24</v>
      </c>
    </row>
    <row r="4" ht="26.25" customHeight="1">
      <c r="D4" s="10" t="s">
        <v>26</v>
      </c>
      <c r="E4" s="11">
        <v>1000000.0</v>
      </c>
      <c r="F4" s="13">
        <f>SUMIFS(OPI_3[MAF NETO],OPI_3[ESTADO],"Desembolsado")</f>
        <v>864480</v>
      </c>
      <c r="G4" s="13">
        <f>F4-E4</f>
        <v>-135520</v>
      </c>
      <c r="H4" s="15">
        <f>SUMIFS(OPI_3[MAF NETO],OPI_3[ESTADO],H$3)</f>
        <v>0</v>
      </c>
      <c r="I4" s="15">
        <f>SUMIFS(OPI_3[MAF NETO],OPI_3[ESTADO],I$3)</f>
        <v>0</v>
      </c>
      <c r="J4" s="15">
        <f>SUMIFS(OPI_3[MAF NETO],OPI_3[ESTADO],J$3)</f>
        <v>0</v>
      </c>
      <c r="K4" s="15">
        <f>SUMIFS(OPI_3[MAF NETO],OPI_3[ESTADO],K$3)</f>
        <v>198100</v>
      </c>
      <c r="L4" s="15">
        <f>SUMIFS(OPI_3[MAF NETO],OPI_3[ESTADO],L$3)</f>
        <v>0</v>
      </c>
      <c r="M4" s="15">
        <f>SUMIFS(OPI_3[MAF NETO],OPI_3[ESTADO],M$3)</f>
        <v>0</v>
      </c>
      <c r="N4" s="15">
        <f>SUMIFS(OPI_3[MAF NETO],OPI_3[ESTADO],N$3)</f>
        <v>36000</v>
      </c>
    </row>
    <row r="5" ht="26.25" customHeight="1">
      <c r="D5" s="17" t="s">
        <v>28</v>
      </c>
      <c r="E5" s="18" t="s">
        <v>29</v>
      </c>
      <c r="F5" s="19">
        <f>COUNTIFS(OPI_3[ESTADO],"Desembolsado")</f>
        <v>12</v>
      </c>
      <c r="G5" s="20">
        <f>IFERROR(F4/E4,"")</f>
        <v>0.86448</v>
      </c>
      <c r="H5" s="19">
        <f>COUNTIFS(OPI_3[ESTADO],H$3)</f>
        <v>0</v>
      </c>
      <c r="I5" s="19">
        <f>COUNTIFS(OPI_3[ESTADO],I$3)</f>
        <v>0</v>
      </c>
      <c r="J5" s="19">
        <f>COUNTIFS(OPI_3[ESTADO],J$3)</f>
        <v>0</v>
      </c>
      <c r="K5" s="19">
        <f>COUNTIFS(OPI_3[ESTADO],K$3)</f>
        <v>3</v>
      </c>
      <c r="L5" s="19">
        <f>COUNTIFS(OPI_3[ESTADO],L$3)</f>
        <v>0</v>
      </c>
      <c r="M5" s="19">
        <f>COUNTIFS(OPI_3[ESTADO],M$3)</f>
        <v>0</v>
      </c>
      <c r="N5" s="19">
        <f>COUNTIFS(OPI_3[ESTADO],N$3)</f>
        <v>1</v>
      </c>
    </row>
    <row r="9" ht="22.5" customHeight="1">
      <c r="A9" s="21"/>
      <c r="B9" s="22" t="s">
        <v>31</v>
      </c>
      <c r="C9" s="22" t="s">
        <v>33</v>
      </c>
      <c r="D9" s="23" t="s">
        <v>34</v>
      </c>
      <c r="E9" s="22" t="s">
        <v>35</v>
      </c>
      <c r="F9" s="22" t="s">
        <v>36</v>
      </c>
      <c r="G9" s="22" t="s">
        <v>37</v>
      </c>
      <c r="H9" s="22" t="s">
        <v>38</v>
      </c>
      <c r="I9" s="22" t="s">
        <v>39</v>
      </c>
      <c r="J9" s="23" t="s">
        <v>40</v>
      </c>
      <c r="K9" s="22" t="s">
        <v>41</v>
      </c>
      <c r="L9" s="22" t="s">
        <v>42</v>
      </c>
      <c r="M9" s="23" t="s">
        <v>44</v>
      </c>
      <c r="N9" s="22" t="s">
        <v>45</v>
      </c>
      <c r="O9" s="23" t="s">
        <v>46</v>
      </c>
      <c r="P9" s="23" t="s">
        <v>47</v>
      </c>
      <c r="Q9" s="22" t="s">
        <v>48</v>
      </c>
    </row>
    <row r="10" ht="22.5" customHeight="1">
      <c r="B10" s="24" t="s">
        <v>6</v>
      </c>
      <c r="C10" s="25">
        <v>46205.0</v>
      </c>
      <c r="D10" s="26" t="s">
        <v>58</v>
      </c>
      <c r="E10" s="25">
        <v>46206.0</v>
      </c>
      <c r="F10" s="25">
        <v>46206.0</v>
      </c>
      <c r="G10" s="29" t="s">
        <v>62</v>
      </c>
      <c r="H10" s="29" t="s">
        <v>63</v>
      </c>
      <c r="I10" s="24" t="s">
        <v>64</v>
      </c>
      <c r="J10" s="26" t="s">
        <v>11</v>
      </c>
      <c r="K10" s="28">
        <v>73700.0</v>
      </c>
      <c r="L10" s="24" t="s">
        <v>65</v>
      </c>
      <c r="M10" s="26"/>
      <c r="N10" s="32"/>
      <c r="O10" s="34"/>
      <c r="P10" s="26"/>
      <c r="Q10" s="24"/>
    </row>
    <row r="11" ht="22.5" customHeight="1">
      <c r="B11" s="24" t="s">
        <v>6</v>
      </c>
      <c r="C11" s="25">
        <v>46205.0</v>
      </c>
      <c r="D11" s="26" t="s">
        <v>58</v>
      </c>
      <c r="E11" s="25">
        <v>46205.0</v>
      </c>
      <c r="F11" s="25">
        <v>46206.0</v>
      </c>
      <c r="G11" s="29" t="s">
        <v>82</v>
      </c>
      <c r="H11" s="29" t="s">
        <v>83</v>
      </c>
      <c r="I11" s="24" t="s">
        <v>64</v>
      </c>
      <c r="J11" s="26" t="s">
        <v>11</v>
      </c>
      <c r="K11" s="28">
        <v>56100.0</v>
      </c>
      <c r="L11" s="24" t="s">
        <v>65</v>
      </c>
      <c r="M11" s="26"/>
      <c r="N11" s="32"/>
      <c r="O11" s="46"/>
      <c r="P11" s="49"/>
      <c r="Q11" s="24"/>
    </row>
    <row r="12" ht="22.5" customHeight="1">
      <c r="B12" s="24" t="s">
        <v>6</v>
      </c>
      <c r="C12" s="25">
        <v>46210.0</v>
      </c>
      <c r="D12" s="26" t="s">
        <v>58</v>
      </c>
      <c r="E12" s="25">
        <v>46211.0</v>
      </c>
      <c r="F12" s="25">
        <v>46211.0</v>
      </c>
      <c r="G12" s="60" t="s">
        <v>95</v>
      </c>
      <c r="H12" s="60" t="s">
        <v>97</v>
      </c>
      <c r="I12" s="24" t="s">
        <v>64</v>
      </c>
      <c r="J12" s="26" t="s">
        <v>11</v>
      </c>
      <c r="K12" s="28">
        <v>82200.0</v>
      </c>
      <c r="L12" s="24" t="s">
        <v>65</v>
      </c>
      <c r="M12" s="49"/>
      <c r="N12" s="32"/>
      <c r="O12" s="46"/>
      <c r="P12" s="49"/>
      <c r="Q12" s="24"/>
    </row>
    <row r="13" ht="22.5" customHeight="1">
      <c r="B13" s="24" t="s">
        <v>6</v>
      </c>
      <c r="C13" s="25">
        <v>46210.0</v>
      </c>
      <c r="D13" s="26" t="s">
        <v>58</v>
      </c>
      <c r="E13" s="25">
        <v>46211.0</v>
      </c>
      <c r="F13" s="25">
        <v>46211.0</v>
      </c>
      <c r="G13" s="60" t="s">
        <v>111</v>
      </c>
      <c r="H13" s="60" t="s">
        <v>112</v>
      </c>
      <c r="I13" s="24" t="s">
        <v>64</v>
      </c>
      <c r="J13" s="26" t="s">
        <v>11</v>
      </c>
      <c r="K13" s="28">
        <v>59600.0</v>
      </c>
      <c r="L13" s="24" t="s">
        <v>65</v>
      </c>
      <c r="M13" s="26"/>
      <c r="N13" s="69"/>
      <c r="O13" s="46"/>
      <c r="P13" s="26"/>
      <c r="Q13" s="32"/>
    </row>
    <row r="14" ht="22.5" customHeight="1">
      <c r="B14" s="24" t="s">
        <v>6</v>
      </c>
      <c r="C14" s="25">
        <v>46211.0</v>
      </c>
      <c r="D14" s="26" t="s">
        <v>58</v>
      </c>
      <c r="E14" s="25">
        <v>46211.0</v>
      </c>
      <c r="F14" s="25">
        <v>46213.0</v>
      </c>
      <c r="G14" s="60" t="s">
        <v>119</v>
      </c>
      <c r="H14" s="76" t="s">
        <v>120</v>
      </c>
      <c r="I14" s="24" t="s">
        <v>64</v>
      </c>
      <c r="J14" s="26" t="s">
        <v>11</v>
      </c>
      <c r="K14" s="28">
        <v>44000.0</v>
      </c>
      <c r="L14" s="24" t="s">
        <v>65</v>
      </c>
      <c r="M14" s="49"/>
      <c r="N14" s="32"/>
      <c r="O14" s="46"/>
      <c r="P14" s="49"/>
      <c r="Q14" s="24"/>
    </row>
    <row r="15" ht="22.5" customHeight="1">
      <c r="B15" s="24" t="s">
        <v>6</v>
      </c>
      <c r="C15" s="25">
        <v>46211.0</v>
      </c>
      <c r="D15" s="26" t="s">
        <v>58</v>
      </c>
      <c r="E15" s="25">
        <v>46216.0</v>
      </c>
      <c r="F15" s="25">
        <v>46217.0</v>
      </c>
      <c r="G15" s="82" t="s">
        <v>134</v>
      </c>
      <c r="H15" s="82" t="s">
        <v>135</v>
      </c>
      <c r="I15" s="24" t="s">
        <v>64</v>
      </c>
      <c r="J15" s="26" t="s">
        <v>11</v>
      </c>
      <c r="K15" s="28">
        <v>86400.0</v>
      </c>
      <c r="L15" s="24" t="s">
        <v>65</v>
      </c>
      <c r="M15" s="26"/>
      <c r="N15" s="32"/>
      <c r="O15" s="46"/>
      <c r="P15" s="49"/>
      <c r="Q15" s="32"/>
    </row>
    <row r="16" ht="22.5" customHeight="1">
      <c r="B16" s="24" t="s">
        <v>6</v>
      </c>
      <c r="C16" s="25">
        <v>46211.0</v>
      </c>
      <c r="D16" s="26" t="s">
        <v>58</v>
      </c>
      <c r="E16" s="25">
        <v>46213.0</v>
      </c>
      <c r="F16" s="25">
        <v>46216.0</v>
      </c>
      <c r="G16" s="92" t="s">
        <v>143</v>
      </c>
      <c r="H16" s="92" t="s">
        <v>145</v>
      </c>
      <c r="I16" s="24" t="s">
        <v>64</v>
      </c>
      <c r="J16" s="26" t="s">
        <v>11</v>
      </c>
      <c r="K16" s="28">
        <v>72000.0</v>
      </c>
      <c r="L16" s="24" t="s">
        <v>65</v>
      </c>
      <c r="M16" s="26"/>
      <c r="N16" s="32"/>
      <c r="O16" s="46"/>
      <c r="P16" s="49"/>
      <c r="Q16" s="32"/>
    </row>
    <row r="17" ht="22.5" customHeight="1">
      <c r="B17" s="24" t="s">
        <v>6</v>
      </c>
      <c r="C17" s="25">
        <v>46212.0</v>
      </c>
      <c r="D17" s="26" t="s">
        <v>58</v>
      </c>
      <c r="E17" s="25">
        <v>46213.0</v>
      </c>
      <c r="F17" s="25">
        <v>46216.0</v>
      </c>
      <c r="G17" s="82" t="s">
        <v>160</v>
      </c>
      <c r="H17" s="96" t="s">
        <v>161</v>
      </c>
      <c r="I17" s="24" t="s">
        <v>64</v>
      </c>
      <c r="J17" s="26" t="s">
        <v>11</v>
      </c>
      <c r="K17" s="28">
        <v>81700.0</v>
      </c>
      <c r="L17" s="24" t="s">
        <v>65</v>
      </c>
      <c r="M17" s="49"/>
      <c r="N17" s="32"/>
      <c r="O17" s="46"/>
      <c r="P17" s="49"/>
      <c r="Q17" s="24"/>
    </row>
    <row r="18" ht="22.5" customHeight="1">
      <c r="B18" s="24" t="s">
        <v>6</v>
      </c>
      <c r="C18" s="25">
        <v>46218.0</v>
      </c>
      <c r="D18" s="26" t="s">
        <v>58</v>
      </c>
      <c r="E18" s="25">
        <v>46218.0</v>
      </c>
      <c r="F18" s="25">
        <v>46223.0</v>
      </c>
      <c r="G18" s="99" t="s">
        <v>171</v>
      </c>
      <c r="H18" s="100" t="s">
        <v>174</v>
      </c>
      <c r="I18" s="24" t="s">
        <v>64</v>
      </c>
      <c r="J18" s="26" t="s">
        <v>11</v>
      </c>
      <c r="K18" s="28">
        <v>71100.0</v>
      </c>
      <c r="L18" s="24" t="s">
        <v>65</v>
      </c>
      <c r="M18" s="49"/>
      <c r="N18" s="32"/>
      <c r="O18" s="34"/>
      <c r="P18" s="49"/>
      <c r="Q18" s="24"/>
    </row>
    <row r="19" ht="22.5" hidden="1" customHeight="1">
      <c r="B19" s="24" t="s">
        <v>6</v>
      </c>
      <c r="C19" s="25">
        <v>46218.0</v>
      </c>
      <c r="D19" s="26" t="s">
        <v>49</v>
      </c>
      <c r="E19" s="25"/>
      <c r="F19" s="25"/>
      <c r="G19" s="102" t="s">
        <v>185</v>
      </c>
      <c r="H19" s="102" t="s">
        <v>186</v>
      </c>
      <c r="I19" s="24" t="s">
        <v>64</v>
      </c>
      <c r="J19" s="26" t="s">
        <v>24</v>
      </c>
      <c r="K19" s="28">
        <v>36000.0</v>
      </c>
      <c r="L19" s="24" t="s">
        <v>65</v>
      </c>
      <c r="M19" s="49"/>
      <c r="N19" s="32"/>
      <c r="O19" s="34"/>
      <c r="P19" s="49"/>
      <c r="Q19" s="24" t="s">
        <v>193</v>
      </c>
    </row>
    <row r="20" ht="22.5" customHeight="1">
      <c r="B20" s="24" t="s">
        <v>6</v>
      </c>
      <c r="C20" s="25">
        <v>46218.0</v>
      </c>
      <c r="D20" s="26" t="s">
        <v>58</v>
      </c>
      <c r="E20" s="25">
        <v>46218.0</v>
      </c>
      <c r="F20" s="25">
        <v>46225.0</v>
      </c>
      <c r="G20" s="27" t="s">
        <v>197</v>
      </c>
      <c r="H20" s="27" t="s">
        <v>198</v>
      </c>
      <c r="I20" s="24" t="s">
        <v>64</v>
      </c>
      <c r="J20" s="26" t="s">
        <v>11</v>
      </c>
      <c r="K20" s="28">
        <v>83080.0</v>
      </c>
      <c r="L20" s="24" t="s">
        <v>65</v>
      </c>
      <c r="M20" s="49"/>
      <c r="N20" s="32"/>
      <c r="O20" s="34"/>
      <c r="P20" s="49"/>
      <c r="Q20" s="32"/>
    </row>
    <row r="21" ht="22.5" customHeight="1">
      <c r="B21" s="24" t="s">
        <v>6</v>
      </c>
      <c r="C21" s="25">
        <v>46225.0</v>
      </c>
      <c r="D21" s="26" t="s">
        <v>58</v>
      </c>
      <c r="E21" s="25">
        <v>46225.0</v>
      </c>
      <c r="F21" s="25">
        <v>46233.0</v>
      </c>
      <c r="G21" s="27" t="s">
        <v>203</v>
      </c>
      <c r="H21" s="27" t="s">
        <v>204</v>
      </c>
      <c r="I21" s="24" t="s">
        <v>64</v>
      </c>
      <c r="J21" s="26" t="s">
        <v>11</v>
      </c>
      <c r="K21" s="28">
        <v>71000.0</v>
      </c>
      <c r="L21" s="24" t="s">
        <v>205</v>
      </c>
      <c r="M21" s="49"/>
      <c r="N21" s="32"/>
      <c r="O21" s="34"/>
      <c r="P21" s="49"/>
      <c r="Q21" s="32"/>
    </row>
    <row r="22" ht="22.5" customHeight="1">
      <c r="B22" s="24" t="s">
        <v>6</v>
      </c>
      <c r="C22" s="25">
        <v>46225.0</v>
      </c>
      <c r="D22" s="26" t="s">
        <v>58</v>
      </c>
      <c r="E22" s="25">
        <v>46225.0</v>
      </c>
      <c r="F22" s="25">
        <v>46234.0</v>
      </c>
      <c r="G22" s="27" t="s">
        <v>210</v>
      </c>
      <c r="H22" s="27" t="s">
        <v>211</v>
      </c>
      <c r="I22" s="24" t="s">
        <v>64</v>
      </c>
      <c r="J22" s="26" t="s">
        <v>11</v>
      </c>
      <c r="K22" s="28">
        <v>83600.0</v>
      </c>
      <c r="L22" s="24" t="s">
        <v>205</v>
      </c>
      <c r="M22" s="49"/>
      <c r="N22" s="32"/>
      <c r="O22" s="34"/>
      <c r="P22" s="49"/>
      <c r="Q22" s="32"/>
    </row>
    <row r="23" ht="22.5" hidden="1" customHeight="1">
      <c r="B23" s="24" t="s">
        <v>6</v>
      </c>
      <c r="C23" s="25">
        <v>46234.0</v>
      </c>
      <c r="D23" s="26" t="s">
        <v>58</v>
      </c>
      <c r="E23" s="25">
        <v>46234.0</v>
      </c>
      <c r="F23" s="75"/>
      <c r="G23" s="27" t="s">
        <v>219</v>
      </c>
      <c r="H23" s="27" t="s">
        <v>220</v>
      </c>
      <c r="I23" s="24" t="s">
        <v>64</v>
      </c>
      <c r="J23" s="26" t="s">
        <v>20</v>
      </c>
      <c r="K23" s="28">
        <v>83100.0</v>
      </c>
      <c r="L23" s="24" t="s">
        <v>65</v>
      </c>
      <c r="M23" s="49"/>
      <c r="N23" s="32"/>
      <c r="O23" s="34"/>
      <c r="P23" s="49"/>
      <c r="Q23" s="32"/>
    </row>
    <row r="24" ht="22.5" hidden="1" customHeight="1">
      <c r="B24" s="24" t="s">
        <v>6</v>
      </c>
      <c r="C24" s="25">
        <v>46234.0</v>
      </c>
      <c r="D24" s="26" t="s">
        <v>58</v>
      </c>
      <c r="E24" s="25">
        <v>46234.0</v>
      </c>
      <c r="F24" s="75"/>
      <c r="G24" s="27" t="s">
        <v>226</v>
      </c>
      <c r="H24" s="27" t="s">
        <v>228</v>
      </c>
      <c r="I24" s="24" t="s">
        <v>64</v>
      </c>
      <c r="J24" s="26" t="s">
        <v>20</v>
      </c>
      <c r="K24" s="28">
        <v>77700.0</v>
      </c>
      <c r="L24" s="24" t="s">
        <v>65</v>
      </c>
      <c r="M24" s="49"/>
      <c r="N24" s="32"/>
      <c r="O24" s="34"/>
      <c r="P24" s="49"/>
      <c r="Q24" s="32"/>
    </row>
    <row r="25" ht="22.5" hidden="1" customHeight="1">
      <c r="B25" s="24" t="s">
        <v>6</v>
      </c>
      <c r="C25" s="25">
        <v>46234.0</v>
      </c>
      <c r="D25" s="26" t="s">
        <v>58</v>
      </c>
      <c r="E25" s="25">
        <v>46234.0</v>
      </c>
      <c r="F25" s="75"/>
      <c r="G25" s="27" t="s">
        <v>234</v>
      </c>
      <c r="H25" s="27" t="s">
        <v>236</v>
      </c>
      <c r="I25" s="24" t="s">
        <v>64</v>
      </c>
      <c r="J25" s="26" t="s">
        <v>20</v>
      </c>
      <c r="K25" s="112">
        <v>37300.0</v>
      </c>
      <c r="L25" s="24" t="s">
        <v>65</v>
      </c>
      <c r="M25" s="49"/>
      <c r="N25" s="32"/>
      <c r="O25" s="34"/>
      <c r="P25" s="49"/>
      <c r="Q25" s="32"/>
    </row>
    <row r="26" ht="22.5" hidden="1" customHeight="1">
      <c r="B26" s="32"/>
      <c r="C26" s="75"/>
      <c r="D26" s="113"/>
      <c r="E26" s="75"/>
      <c r="F26" s="75"/>
      <c r="G26" s="114"/>
      <c r="H26" s="114"/>
      <c r="I26" s="32"/>
      <c r="J26" s="49"/>
      <c r="K26" s="115"/>
      <c r="L26" s="32"/>
      <c r="M26" s="49"/>
      <c r="N26" s="32"/>
      <c r="O26" s="34"/>
      <c r="P26" s="49"/>
      <c r="Q26" s="32"/>
    </row>
    <row r="27" ht="22.5" hidden="1" customHeight="1">
      <c r="B27" s="32"/>
      <c r="C27" s="75"/>
      <c r="D27" s="113"/>
      <c r="E27" s="75"/>
      <c r="F27" s="75"/>
      <c r="G27" s="114"/>
      <c r="H27" s="114"/>
      <c r="I27" s="32"/>
      <c r="J27" s="49"/>
      <c r="K27" s="115"/>
      <c r="L27" s="32"/>
      <c r="M27" s="49"/>
      <c r="N27" s="32"/>
      <c r="O27" s="34"/>
      <c r="P27" s="49"/>
      <c r="Q27" s="32"/>
    </row>
    <row r="28" ht="22.5" hidden="1" customHeight="1">
      <c r="B28" s="32"/>
      <c r="C28" s="75"/>
      <c r="D28" s="113"/>
      <c r="E28" s="75"/>
      <c r="F28" s="75"/>
      <c r="G28" s="114"/>
      <c r="H28" s="114"/>
      <c r="I28" s="32"/>
      <c r="J28" s="49"/>
      <c r="K28" s="115"/>
      <c r="L28" s="32"/>
      <c r="M28" s="49"/>
      <c r="N28" s="32"/>
      <c r="O28" s="34"/>
      <c r="P28" s="49"/>
      <c r="Q28" s="32"/>
    </row>
    <row r="29" ht="22.5" hidden="1" customHeight="1">
      <c r="B29" s="32"/>
      <c r="C29" s="75"/>
      <c r="D29" s="113"/>
      <c r="E29" s="75"/>
      <c r="F29" s="75"/>
      <c r="G29" s="114"/>
      <c r="H29" s="114"/>
      <c r="I29" s="32"/>
      <c r="J29" s="49"/>
      <c r="K29" s="115"/>
      <c r="L29" s="32"/>
      <c r="M29" s="49"/>
      <c r="N29" s="32"/>
      <c r="O29" s="34"/>
      <c r="P29" s="49"/>
      <c r="Q29" s="32"/>
    </row>
    <row r="30" ht="22.5" hidden="1" customHeight="1">
      <c r="B30" s="32"/>
      <c r="C30" s="75"/>
      <c r="D30" s="113"/>
      <c r="E30" s="75"/>
      <c r="F30" s="75"/>
      <c r="G30" s="114"/>
      <c r="H30" s="114"/>
      <c r="I30" s="32"/>
      <c r="J30" s="49"/>
      <c r="K30" s="115"/>
      <c r="L30" s="32"/>
      <c r="M30" s="49"/>
      <c r="N30" s="32"/>
      <c r="O30" s="34"/>
      <c r="P30" s="49"/>
      <c r="Q30" s="32"/>
    </row>
    <row r="31" ht="22.5" hidden="1" customHeight="1">
      <c r="B31" s="32"/>
      <c r="C31" s="75"/>
      <c r="D31" s="113"/>
      <c r="E31" s="75"/>
      <c r="F31" s="75"/>
      <c r="G31" s="114"/>
      <c r="H31" s="114"/>
      <c r="I31" s="32"/>
      <c r="J31" s="49"/>
      <c r="K31" s="115"/>
      <c r="L31" s="32"/>
      <c r="M31" s="49"/>
      <c r="N31" s="32"/>
      <c r="O31" s="34"/>
      <c r="P31" s="49"/>
      <c r="Q31" s="32"/>
    </row>
    <row r="32" ht="22.5" hidden="1" customHeight="1">
      <c r="B32" s="32"/>
      <c r="C32" s="75"/>
      <c r="D32" s="113"/>
      <c r="E32" s="75"/>
      <c r="F32" s="75"/>
      <c r="G32" s="114"/>
      <c r="H32" s="114"/>
      <c r="I32" s="32"/>
      <c r="J32" s="49"/>
      <c r="K32" s="115"/>
      <c r="L32" s="32"/>
      <c r="M32" s="49"/>
      <c r="N32" s="32"/>
      <c r="O32" s="34"/>
      <c r="P32" s="49"/>
      <c r="Q32" s="32"/>
    </row>
    <row r="33" ht="22.5" hidden="1" customHeight="1">
      <c r="B33" s="32"/>
      <c r="C33" s="75"/>
      <c r="D33" s="113"/>
      <c r="E33" s="75"/>
      <c r="F33" s="75"/>
      <c r="G33" s="114"/>
      <c r="H33" s="114"/>
      <c r="I33" s="32"/>
      <c r="J33" s="49"/>
      <c r="K33" s="115"/>
      <c r="L33" s="32"/>
      <c r="M33" s="49"/>
      <c r="N33" s="32"/>
      <c r="O33" s="34"/>
      <c r="P33" s="49"/>
      <c r="Q33" s="32"/>
    </row>
    <row r="34" ht="22.5" hidden="1" customHeight="1">
      <c r="B34" s="32"/>
      <c r="C34" s="75"/>
      <c r="D34" s="113"/>
      <c r="E34" s="75"/>
      <c r="F34" s="75"/>
      <c r="G34" s="114"/>
      <c r="H34" s="114"/>
      <c r="I34" s="32"/>
      <c r="J34" s="49"/>
      <c r="K34" s="115"/>
      <c r="L34" s="32"/>
      <c r="M34" s="49"/>
      <c r="N34" s="32"/>
      <c r="O34" s="34"/>
      <c r="P34" s="49"/>
      <c r="Q34" s="32"/>
    </row>
    <row r="35" ht="22.5" hidden="1" customHeight="1">
      <c r="B35" s="32"/>
      <c r="C35" s="75"/>
      <c r="D35" s="113"/>
      <c r="E35" s="75"/>
      <c r="F35" s="75"/>
      <c r="G35" s="114"/>
      <c r="H35" s="114"/>
      <c r="I35" s="32"/>
      <c r="J35" s="49"/>
      <c r="K35" s="115"/>
      <c r="L35" s="32"/>
      <c r="M35" s="49"/>
      <c r="N35" s="32"/>
      <c r="O35" s="34"/>
      <c r="P35" s="49"/>
      <c r="Q35" s="32"/>
    </row>
    <row r="36" ht="22.5" hidden="1" customHeight="1">
      <c r="B36" s="32"/>
      <c r="C36" s="75"/>
      <c r="D36" s="113"/>
      <c r="E36" s="75"/>
      <c r="F36" s="75"/>
      <c r="G36" s="114"/>
      <c r="H36" s="114"/>
      <c r="I36" s="32"/>
      <c r="J36" s="49"/>
      <c r="K36" s="115"/>
      <c r="L36" s="32"/>
      <c r="M36" s="49"/>
      <c r="N36" s="32"/>
      <c r="O36" s="34"/>
      <c r="P36" s="49"/>
      <c r="Q36" s="32"/>
    </row>
    <row r="37" ht="22.5" hidden="1" customHeight="1">
      <c r="B37" s="32"/>
      <c r="C37" s="75"/>
      <c r="D37" s="113"/>
      <c r="E37" s="75"/>
      <c r="F37" s="75"/>
      <c r="G37" s="114"/>
      <c r="H37" s="114"/>
      <c r="I37" s="32"/>
      <c r="J37" s="49"/>
      <c r="K37" s="115"/>
      <c r="L37" s="32"/>
      <c r="M37" s="49"/>
      <c r="N37" s="32"/>
      <c r="O37" s="34"/>
      <c r="P37" s="49"/>
      <c r="Q37" s="32"/>
    </row>
    <row r="38" ht="22.5" hidden="1" customHeight="1">
      <c r="B38" s="32"/>
      <c r="C38" s="75"/>
      <c r="D38" s="113"/>
      <c r="E38" s="75"/>
      <c r="F38" s="75"/>
      <c r="G38" s="114"/>
      <c r="H38" s="114"/>
      <c r="I38" s="32"/>
      <c r="J38" s="49"/>
      <c r="K38" s="115"/>
      <c r="L38" s="32"/>
      <c r="M38" s="49"/>
      <c r="N38" s="32"/>
      <c r="O38" s="34"/>
      <c r="P38" s="49"/>
      <c r="Q38" s="32"/>
    </row>
    <row r="39" ht="22.5" hidden="1" customHeight="1">
      <c r="B39" s="32"/>
      <c r="C39" s="75"/>
      <c r="D39" s="113"/>
      <c r="E39" s="75"/>
      <c r="F39" s="75"/>
      <c r="G39" s="114"/>
      <c r="H39" s="114"/>
      <c r="I39" s="32"/>
      <c r="J39" s="49"/>
      <c r="K39" s="115"/>
      <c r="L39" s="32"/>
      <c r="M39" s="49"/>
      <c r="N39" s="32"/>
      <c r="O39" s="34"/>
      <c r="P39" s="49"/>
      <c r="Q39" s="32"/>
    </row>
    <row r="40" ht="22.5" hidden="1" customHeight="1">
      <c r="B40" s="32"/>
      <c r="C40" s="75"/>
      <c r="D40" s="113"/>
      <c r="E40" s="75"/>
      <c r="F40" s="75"/>
      <c r="G40" s="114"/>
      <c r="H40" s="114"/>
      <c r="I40" s="32"/>
      <c r="J40" s="49"/>
      <c r="K40" s="115"/>
      <c r="L40" s="32"/>
      <c r="M40" s="49"/>
      <c r="N40" s="32"/>
      <c r="O40" s="34"/>
      <c r="P40" s="49"/>
      <c r="Q40" s="32"/>
    </row>
    <row r="41" ht="22.5" hidden="1" customHeight="1">
      <c r="B41" s="32"/>
      <c r="C41" s="75"/>
      <c r="D41" s="113"/>
      <c r="E41" s="75"/>
      <c r="F41" s="75"/>
      <c r="G41" s="114"/>
      <c r="H41" s="114"/>
      <c r="I41" s="32"/>
      <c r="J41" s="49"/>
      <c r="K41" s="115"/>
      <c r="L41" s="32"/>
      <c r="M41" s="49"/>
      <c r="N41" s="32"/>
      <c r="O41" s="34"/>
      <c r="P41" s="49"/>
      <c r="Q41" s="32"/>
    </row>
    <row r="42" ht="22.5" hidden="1" customHeight="1">
      <c r="B42" s="32"/>
      <c r="C42" s="75"/>
      <c r="D42" s="113"/>
      <c r="E42" s="75"/>
      <c r="F42" s="75"/>
      <c r="G42" s="114"/>
      <c r="H42" s="114"/>
      <c r="I42" s="32"/>
      <c r="J42" s="49"/>
      <c r="K42" s="115"/>
      <c r="L42" s="32"/>
      <c r="M42" s="49"/>
      <c r="N42" s="32"/>
      <c r="O42" s="34"/>
      <c r="P42" s="49"/>
      <c r="Q42" s="32"/>
    </row>
    <row r="43" ht="22.5" hidden="1" customHeight="1">
      <c r="B43" s="32"/>
      <c r="C43" s="75"/>
      <c r="D43" s="113"/>
      <c r="E43" s="75"/>
      <c r="F43" s="75"/>
      <c r="G43" s="114"/>
      <c r="H43" s="114"/>
      <c r="I43" s="32"/>
      <c r="J43" s="49"/>
      <c r="K43" s="115"/>
      <c r="L43" s="32"/>
      <c r="M43" s="49"/>
      <c r="N43" s="32"/>
      <c r="O43" s="34"/>
      <c r="P43" s="49"/>
      <c r="Q43" s="32"/>
    </row>
    <row r="44" ht="22.5" hidden="1" customHeight="1">
      <c r="B44" s="32"/>
      <c r="C44" s="75"/>
      <c r="D44" s="113"/>
      <c r="E44" s="75"/>
      <c r="F44" s="75"/>
      <c r="G44" s="114"/>
      <c r="H44" s="114"/>
      <c r="I44" s="32"/>
      <c r="J44" s="49"/>
      <c r="K44" s="115"/>
      <c r="L44" s="32"/>
      <c r="M44" s="49"/>
      <c r="N44" s="32"/>
      <c r="O44" s="34"/>
      <c r="P44" s="49"/>
      <c r="Q44" s="32"/>
    </row>
    <row r="45" ht="22.5" hidden="1" customHeight="1">
      <c r="B45" s="32"/>
      <c r="C45" s="75"/>
      <c r="D45" s="113"/>
      <c r="E45" s="75"/>
      <c r="F45" s="75"/>
      <c r="G45" s="114"/>
      <c r="H45" s="114"/>
      <c r="I45" s="32"/>
      <c r="J45" s="49"/>
      <c r="K45" s="115"/>
      <c r="L45" s="32"/>
      <c r="M45" s="49"/>
      <c r="N45" s="32"/>
      <c r="O45" s="34"/>
      <c r="P45" s="49"/>
      <c r="Q45" s="32"/>
    </row>
    <row r="46" ht="22.5" hidden="1" customHeight="1">
      <c r="B46" s="32"/>
      <c r="C46" s="75"/>
      <c r="D46" s="113"/>
      <c r="E46" s="75"/>
      <c r="F46" s="75"/>
      <c r="G46" s="114"/>
      <c r="H46" s="114"/>
      <c r="I46" s="32"/>
      <c r="J46" s="49"/>
      <c r="K46" s="115"/>
      <c r="L46" s="32"/>
      <c r="M46" s="49"/>
      <c r="N46" s="32"/>
      <c r="O46" s="34"/>
      <c r="P46" s="49"/>
      <c r="Q46" s="32"/>
    </row>
    <row r="47" ht="22.5" hidden="1" customHeight="1">
      <c r="B47" s="32"/>
      <c r="C47" s="75"/>
      <c r="D47" s="113"/>
      <c r="E47" s="75"/>
      <c r="F47" s="75"/>
      <c r="G47" s="114"/>
      <c r="H47" s="114"/>
      <c r="I47" s="32"/>
      <c r="J47" s="49"/>
      <c r="K47" s="115"/>
      <c r="L47" s="32"/>
      <c r="M47" s="49"/>
      <c r="N47" s="32"/>
      <c r="O47" s="34"/>
      <c r="P47" s="49"/>
      <c r="Q47" s="32"/>
    </row>
    <row r="48" ht="22.5" hidden="1" customHeight="1">
      <c r="B48" s="32"/>
      <c r="C48" s="75"/>
      <c r="D48" s="113"/>
      <c r="E48" s="75"/>
      <c r="F48" s="75"/>
      <c r="G48" s="114"/>
      <c r="H48" s="114"/>
      <c r="I48" s="32"/>
      <c r="J48" s="49"/>
      <c r="K48" s="115"/>
      <c r="L48" s="32"/>
      <c r="M48" s="49"/>
      <c r="N48" s="32"/>
      <c r="O48" s="34"/>
      <c r="P48" s="49"/>
      <c r="Q48" s="32"/>
    </row>
    <row r="49" ht="22.5" hidden="1" customHeight="1">
      <c r="B49" s="32"/>
      <c r="C49" s="75"/>
      <c r="D49" s="113"/>
      <c r="E49" s="75"/>
      <c r="F49" s="75"/>
      <c r="G49" s="114"/>
      <c r="H49" s="114"/>
      <c r="I49" s="32"/>
      <c r="J49" s="49"/>
      <c r="K49" s="115"/>
      <c r="L49" s="32"/>
      <c r="M49" s="49"/>
      <c r="N49" s="32"/>
      <c r="O49" s="34"/>
      <c r="P49" s="49"/>
      <c r="Q49" s="32"/>
    </row>
    <row r="50" ht="22.5" hidden="1" customHeight="1">
      <c r="B50" s="32"/>
      <c r="C50" s="75"/>
      <c r="D50" s="113"/>
      <c r="E50" s="75"/>
      <c r="F50" s="75"/>
      <c r="G50" s="114"/>
      <c r="H50" s="114"/>
      <c r="I50" s="32"/>
      <c r="J50" s="49"/>
      <c r="K50" s="115"/>
      <c r="L50" s="32"/>
      <c r="M50" s="49"/>
      <c r="N50" s="32"/>
      <c r="O50" s="34"/>
      <c r="P50" s="49"/>
      <c r="Q50" s="32"/>
    </row>
    <row r="51" ht="22.5" hidden="1" customHeight="1">
      <c r="B51" s="32"/>
      <c r="C51" s="75"/>
      <c r="D51" s="113"/>
      <c r="E51" s="75"/>
      <c r="F51" s="75"/>
      <c r="G51" s="114"/>
      <c r="H51" s="114"/>
      <c r="I51" s="32"/>
      <c r="J51" s="49"/>
      <c r="K51" s="115"/>
      <c r="L51" s="32"/>
      <c r="M51" s="49"/>
      <c r="N51" s="32"/>
      <c r="O51" s="34"/>
      <c r="P51" s="49"/>
      <c r="Q51" s="32"/>
    </row>
    <row r="52" ht="22.5" hidden="1" customHeight="1">
      <c r="B52" s="32"/>
      <c r="C52" s="75"/>
      <c r="D52" s="113"/>
      <c r="E52" s="75"/>
      <c r="F52" s="75"/>
      <c r="G52" s="114"/>
      <c r="H52" s="114"/>
      <c r="I52" s="32"/>
      <c r="J52" s="49"/>
      <c r="K52" s="115"/>
      <c r="L52" s="32"/>
      <c r="M52" s="49"/>
      <c r="N52" s="32"/>
      <c r="O52" s="34"/>
      <c r="P52" s="49"/>
      <c r="Q52" s="3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30.88"/>
    <col customWidth="1" min="9" max="9" width="20.13"/>
    <col customWidth="1" min="10" max="10" width="22.88"/>
    <col customWidth="1" min="11" max="11" width="17.0"/>
    <col customWidth="1" min="12" max="12" width="17.3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5" t="s">
        <v>90</v>
      </c>
      <c r="E3" s="7" t="s">
        <v>8</v>
      </c>
      <c r="F3" s="7" t="s">
        <v>11</v>
      </c>
      <c r="G3" s="8" t="s">
        <v>13</v>
      </c>
      <c r="H3" s="7" t="s">
        <v>16</v>
      </c>
      <c r="I3" s="7" t="s">
        <v>17</v>
      </c>
      <c r="J3" s="7" t="s">
        <v>18</v>
      </c>
      <c r="K3" s="7" t="s">
        <v>20</v>
      </c>
      <c r="L3" s="7" t="s">
        <v>21</v>
      </c>
      <c r="M3" s="7" t="s">
        <v>23</v>
      </c>
      <c r="N3" s="7" t="s">
        <v>24</v>
      </c>
    </row>
    <row r="4" ht="26.25" customHeight="1">
      <c r="D4" s="10" t="s">
        <v>26</v>
      </c>
      <c r="E4" s="11">
        <v>2000000.0</v>
      </c>
      <c r="F4" s="13">
        <f>SUMIFS(OPI[MAF NETO],OPI[ESTADO],"Desembolsado")</f>
        <v>2726520</v>
      </c>
      <c r="G4" s="13">
        <f>F4-E4</f>
        <v>726520</v>
      </c>
      <c r="H4" s="15">
        <f>SUMIFS(OPI[MAF NETO],OPI[ESTADO],H$3)</f>
        <v>0</v>
      </c>
      <c r="I4" s="15">
        <f>SUMIFS(OPI[MAF NETO],OPI[ESTADO],I$3)</f>
        <v>0</v>
      </c>
      <c r="J4" s="15">
        <f>SUMIFS(OPI[MAF NETO],OPI[ESTADO],J$3)</f>
        <v>0</v>
      </c>
      <c r="K4" s="15">
        <f>SUMIFS(OPI[MAF NETO],OPI[ESTADO],K$3)</f>
        <v>0</v>
      </c>
      <c r="L4" s="15">
        <f>SUMIFS(OPI[MAF NETO],OPI[ESTADO],L$3)</f>
        <v>0</v>
      </c>
      <c r="M4" s="15">
        <f>SUMIFS(OPI[MAF NETO],OPI[ESTADO],M$3)</f>
        <v>0</v>
      </c>
      <c r="N4" s="15">
        <f>SUMIFS(OPI[MAF NETO],OPI[ESTADO],N$3)</f>
        <v>0</v>
      </c>
    </row>
    <row r="5" ht="26.25" customHeight="1">
      <c r="D5" s="17" t="s">
        <v>28</v>
      </c>
      <c r="E5" s="18" t="s">
        <v>29</v>
      </c>
      <c r="F5" s="19">
        <f>COUNTIFS(OPI[ESTADO],"Desembolsado")</f>
        <v>36</v>
      </c>
      <c r="G5" s="20">
        <f>IFERROR(F4/E4,"")</f>
        <v>1.36326</v>
      </c>
      <c r="H5" s="19">
        <f>COUNTIFS(OPI[ESTADO],H$3)</f>
        <v>0</v>
      </c>
      <c r="I5" s="19">
        <f>COUNTIFS(OPI[ESTADO],I$3)</f>
        <v>0</v>
      </c>
      <c r="J5" s="19">
        <f>COUNTIFS(OPI[ESTADO],J$3)</f>
        <v>0</v>
      </c>
      <c r="K5" s="19">
        <f>COUNTIFS(OPI[ESTADO],K$3)</f>
        <v>0</v>
      </c>
      <c r="L5" s="19">
        <f>COUNTIFS(OPI[ESTADO],L$3)</f>
        <v>0</v>
      </c>
      <c r="M5" s="19">
        <f>COUNTIFS(OPI[ESTADO],M$3)</f>
        <v>0</v>
      </c>
      <c r="N5" s="19">
        <f>COUNTIFS(OPI[ESTADO],N$3)</f>
        <v>0</v>
      </c>
    </row>
    <row r="9" ht="22.5" customHeight="1">
      <c r="A9" s="21"/>
      <c r="B9" s="22" t="s">
        <v>31</v>
      </c>
      <c r="C9" s="22" t="s">
        <v>33</v>
      </c>
      <c r="D9" s="23" t="s">
        <v>34</v>
      </c>
      <c r="E9" s="22" t="s">
        <v>35</v>
      </c>
      <c r="F9" s="22" t="s">
        <v>36</v>
      </c>
      <c r="G9" s="22" t="s">
        <v>37</v>
      </c>
      <c r="H9" s="22" t="s">
        <v>38</v>
      </c>
      <c r="I9" s="22" t="s">
        <v>39</v>
      </c>
      <c r="J9" s="23" t="s">
        <v>40</v>
      </c>
      <c r="K9" s="22" t="s">
        <v>41</v>
      </c>
      <c r="L9" s="22" t="s">
        <v>42</v>
      </c>
      <c r="M9" s="23" t="s">
        <v>44</v>
      </c>
      <c r="N9" s="22" t="s">
        <v>45</v>
      </c>
      <c r="O9" s="23" t="s">
        <v>46</v>
      </c>
      <c r="P9" s="23" t="s">
        <v>47</v>
      </c>
      <c r="Q9" s="22" t="s">
        <v>48</v>
      </c>
    </row>
    <row r="10" ht="22.5" customHeight="1">
      <c r="B10" s="24" t="s">
        <v>90</v>
      </c>
      <c r="C10" s="25"/>
      <c r="D10" s="26" t="s">
        <v>58</v>
      </c>
      <c r="E10" s="25">
        <v>46206.0</v>
      </c>
      <c r="F10" s="25">
        <v>46206.0</v>
      </c>
      <c r="G10" s="27" t="s">
        <v>243</v>
      </c>
      <c r="H10" s="27" t="s">
        <v>244</v>
      </c>
      <c r="I10" s="24" t="s">
        <v>245</v>
      </c>
      <c r="J10" s="26" t="s">
        <v>11</v>
      </c>
      <c r="K10" s="28">
        <v>93800.0</v>
      </c>
      <c r="L10" s="24" t="s">
        <v>246</v>
      </c>
      <c r="M10" s="26"/>
      <c r="N10" s="37"/>
      <c r="O10" s="26"/>
      <c r="P10" s="49"/>
      <c r="Q10" s="32"/>
    </row>
    <row r="11" ht="22.5" customHeight="1">
      <c r="B11" s="24" t="s">
        <v>90</v>
      </c>
      <c r="C11" s="25">
        <v>46205.0</v>
      </c>
      <c r="D11" s="26" t="s">
        <v>58</v>
      </c>
      <c r="E11" s="25">
        <v>46206.0</v>
      </c>
      <c r="F11" s="25">
        <v>46206.0</v>
      </c>
      <c r="G11" s="27" t="s">
        <v>250</v>
      </c>
      <c r="H11" s="27" t="s">
        <v>251</v>
      </c>
      <c r="I11" s="24" t="s">
        <v>252</v>
      </c>
      <c r="J11" s="26" t="s">
        <v>11</v>
      </c>
      <c r="K11" s="28">
        <v>82000.0</v>
      </c>
      <c r="L11" s="24" t="s">
        <v>246</v>
      </c>
      <c r="M11" s="113"/>
      <c r="N11" s="37"/>
      <c r="O11" s="49"/>
      <c r="P11" s="49"/>
      <c r="Q11" s="32"/>
    </row>
    <row r="12" ht="22.5" customHeight="1">
      <c r="B12" s="24" t="s">
        <v>90</v>
      </c>
      <c r="C12" s="25">
        <v>46204.0</v>
      </c>
      <c r="D12" s="26" t="s">
        <v>58</v>
      </c>
      <c r="E12" s="25">
        <v>46207.0</v>
      </c>
      <c r="F12" s="25">
        <v>46210.0</v>
      </c>
      <c r="G12" s="27" t="s">
        <v>254</v>
      </c>
      <c r="H12" s="27" t="s">
        <v>255</v>
      </c>
      <c r="I12" s="24" t="s">
        <v>245</v>
      </c>
      <c r="J12" s="26" t="s">
        <v>11</v>
      </c>
      <c r="K12" s="28">
        <v>81900.0</v>
      </c>
      <c r="L12" s="24" t="s">
        <v>246</v>
      </c>
      <c r="M12" s="113"/>
      <c r="N12" s="32"/>
      <c r="O12" s="49"/>
      <c r="P12" s="49"/>
      <c r="Q12" s="32"/>
    </row>
    <row r="13" ht="22.5" customHeight="1">
      <c r="B13" s="24" t="s">
        <v>90</v>
      </c>
      <c r="C13" s="25">
        <v>46205.0</v>
      </c>
      <c r="D13" s="26" t="s">
        <v>58</v>
      </c>
      <c r="E13" s="25">
        <v>46207.0</v>
      </c>
      <c r="F13" s="25">
        <v>46209.0</v>
      </c>
      <c r="G13" s="27" t="s">
        <v>257</v>
      </c>
      <c r="H13" s="27" t="s">
        <v>258</v>
      </c>
      <c r="I13" s="24" t="s">
        <v>245</v>
      </c>
      <c r="J13" s="26" t="s">
        <v>11</v>
      </c>
      <c r="K13" s="28">
        <v>81500.0</v>
      </c>
      <c r="L13" s="24" t="s">
        <v>246</v>
      </c>
      <c r="M13" s="113"/>
      <c r="N13" s="32"/>
      <c r="O13" s="49"/>
      <c r="P13" s="49"/>
      <c r="Q13" s="32"/>
    </row>
    <row r="14" ht="22.5" customHeight="1">
      <c r="B14" s="24" t="s">
        <v>90</v>
      </c>
      <c r="C14" s="25">
        <v>46206.0</v>
      </c>
      <c r="D14" s="26" t="s">
        <v>58</v>
      </c>
      <c r="E14" s="25">
        <v>46212.0</v>
      </c>
      <c r="F14" s="25">
        <v>46213.0</v>
      </c>
      <c r="G14" s="27" t="s">
        <v>261</v>
      </c>
      <c r="H14" s="27" t="s">
        <v>262</v>
      </c>
      <c r="I14" s="24" t="s">
        <v>252</v>
      </c>
      <c r="J14" s="26" t="s">
        <v>11</v>
      </c>
      <c r="K14" s="28">
        <v>58700.0</v>
      </c>
      <c r="L14" s="24" t="s">
        <v>246</v>
      </c>
      <c r="M14" s="113"/>
      <c r="N14" s="37"/>
      <c r="O14" s="49"/>
      <c r="P14" s="49"/>
      <c r="Q14" s="32"/>
    </row>
    <row r="15" ht="22.5" customHeight="1">
      <c r="B15" s="24" t="s">
        <v>90</v>
      </c>
      <c r="C15" s="25">
        <v>46210.0</v>
      </c>
      <c r="D15" s="26" t="s">
        <v>58</v>
      </c>
      <c r="E15" s="25">
        <v>46212.0</v>
      </c>
      <c r="F15" s="25">
        <v>46213.0</v>
      </c>
      <c r="G15" s="27" t="s">
        <v>263</v>
      </c>
      <c r="H15" s="27" t="s">
        <v>264</v>
      </c>
      <c r="I15" s="24" t="s">
        <v>265</v>
      </c>
      <c r="J15" s="26" t="s">
        <v>11</v>
      </c>
      <c r="K15" s="28">
        <v>87000.0</v>
      </c>
      <c r="L15" s="24" t="s">
        <v>268</v>
      </c>
      <c r="M15" s="49"/>
      <c r="N15" s="32"/>
      <c r="O15" s="49"/>
      <c r="P15" s="49"/>
      <c r="Q15" s="32"/>
    </row>
    <row r="16" ht="22.5" customHeight="1">
      <c r="B16" s="24" t="s">
        <v>163</v>
      </c>
      <c r="C16" s="25">
        <v>46210.0</v>
      </c>
      <c r="D16" s="26" t="s">
        <v>58</v>
      </c>
      <c r="E16" s="25">
        <v>46212.0</v>
      </c>
      <c r="F16" s="25">
        <v>46213.0</v>
      </c>
      <c r="G16" s="27" t="s">
        <v>269</v>
      </c>
      <c r="H16" s="27" t="s">
        <v>270</v>
      </c>
      <c r="I16" s="24" t="s">
        <v>64</v>
      </c>
      <c r="J16" s="26" t="s">
        <v>11</v>
      </c>
      <c r="K16" s="28">
        <v>67900.0</v>
      </c>
      <c r="L16" s="24" t="s">
        <v>246</v>
      </c>
      <c r="M16" s="113"/>
      <c r="N16" s="32"/>
      <c r="O16" s="49"/>
      <c r="P16" s="49"/>
      <c r="Q16" s="32"/>
    </row>
    <row r="17" ht="22.5" customHeight="1">
      <c r="B17" s="24" t="s">
        <v>172</v>
      </c>
      <c r="C17" s="25">
        <v>46210.0</v>
      </c>
      <c r="D17" s="26" t="s">
        <v>58</v>
      </c>
      <c r="E17" s="25">
        <v>46212.0</v>
      </c>
      <c r="F17" s="25">
        <v>46213.0</v>
      </c>
      <c r="G17" s="27" t="s">
        <v>273</v>
      </c>
      <c r="H17" s="27" t="s">
        <v>274</v>
      </c>
      <c r="I17" s="24" t="s">
        <v>64</v>
      </c>
      <c r="J17" s="26" t="s">
        <v>11</v>
      </c>
      <c r="K17" s="28">
        <v>86590.0</v>
      </c>
      <c r="L17" s="24" t="s">
        <v>275</v>
      </c>
      <c r="M17" s="113"/>
      <c r="N17" s="32"/>
      <c r="O17" s="49"/>
      <c r="P17" s="49"/>
      <c r="Q17" s="32"/>
    </row>
    <row r="18" ht="22.5" customHeight="1">
      <c r="B18" s="24" t="s">
        <v>126</v>
      </c>
      <c r="C18" s="25">
        <v>46210.0</v>
      </c>
      <c r="D18" s="26" t="s">
        <v>58</v>
      </c>
      <c r="E18" s="25">
        <v>46213.0</v>
      </c>
      <c r="F18" s="25">
        <v>46216.0</v>
      </c>
      <c r="G18" s="27" t="s">
        <v>278</v>
      </c>
      <c r="H18" s="27" t="s">
        <v>279</v>
      </c>
      <c r="I18" s="24" t="s">
        <v>54</v>
      </c>
      <c r="J18" s="26" t="s">
        <v>11</v>
      </c>
      <c r="K18" s="28">
        <v>105200.0</v>
      </c>
      <c r="L18" s="24" t="s">
        <v>246</v>
      </c>
      <c r="M18" s="49"/>
      <c r="N18" s="32"/>
      <c r="O18" s="49"/>
      <c r="P18" s="49"/>
      <c r="Q18" s="32"/>
    </row>
    <row r="19" ht="22.5" customHeight="1">
      <c r="B19" s="24"/>
      <c r="C19" s="25">
        <v>46212.0</v>
      </c>
      <c r="D19" s="26" t="s">
        <v>58</v>
      </c>
      <c r="E19" s="25">
        <v>46213.0</v>
      </c>
      <c r="F19" s="25">
        <v>46216.0</v>
      </c>
      <c r="G19" s="27" t="s">
        <v>282</v>
      </c>
      <c r="H19" s="27" t="s">
        <v>283</v>
      </c>
      <c r="I19" s="24" t="s">
        <v>64</v>
      </c>
      <c r="J19" s="26" t="s">
        <v>11</v>
      </c>
      <c r="K19" s="28">
        <v>87400.0</v>
      </c>
      <c r="L19" s="24" t="s">
        <v>275</v>
      </c>
      <c r="M19" s="49"/>
      <c r="N19" s="32"/>
      <c r="O19" s="49"/>
      <c r="P19" s="49"/>
      <c r="Q19" s="32"/>
    </row>
    <row r="20" ht="22.5" customHeight="1">
      <c r="B20" s="24"/>
      <c r="C20" s="25">
        <v>46212.0</v>
      </c>
      <c r="D20" s="26" t="s">
        <v>58</v>
      </c>
      <c r="E20" s="25">
        <v>46213.0</v>
      </c>
      <c r="F20" s="25">
        <v>46217.0</v>
      </c>
      <c r="G20" s="27" t="s">
        <v>286</v>
      </c>
      <c r="H20" s="27" t="s">
        <v>287</v>
      </c>
      <c r="I20" s="24" t="s">
        <v>64</v>
      </c>
      <c r="J20" s="26" t="s">
        <v>11</v>
      </c>
      <c r="K20" s="28">
        <v>50000.0</v>
      </c>
      <c r="L20" s="24" t="s">
        <v>275</v>
      </c>
      <c r="M20" s="49"/>
      <c r="N20" s="32"/>
      <c r="O20" s="49"/>
      <c r="P20" s="49"/>
      <c r="Q20" s="32"/>
    </row>
    <row r="21" ht="22.5" customHeight="1">
      <c r="B21" s="24"/>
      <c r="C21" s="25">
        <v>46212.0</v>
      </c>
      <c r="D21" s="26" t="s">
        <v>58</v>
      </c>
      <c r="E21" s="25">
        <v>46213.0</v>
      </c>
      <c r="F21" s="25">
        <v>46217.0</v>
      </c>
      <c r="G21" s="27" t="s">
        <v>289</v>
      </c>
      <c r="H21" s="27" t="s">
        <v>290</v>
      </c>
      <c r="I21" s="24" t="s">
        <v>64</v>
      </c>
      <c r="J21" s="26" t="s">
        <v>11</v>
      </c>
      <c r="K21" s="28">
        <v>76450.0</v>
      </c>
      <c r="L21" s="24" t="s">
        <v>246</v>
      </c>
      <c r="M21" s="49"/>
      <c r="N21" s="32"/>
      <c r="O21" s="49"/>
      <c r="P21" s="49"/>
      <c r="Q21" s="32"/>
    </row>
    <row r="22" ht="22.5" customHeight="1">
      <c r="B22" s="24" t="s">
        <v>90</v>
      </c>
      <c r="C22" s="25">
        <v>46212.0</v>
      </c>
      <c r="D22" s="26" t="s">
        <v>58</v>
      </c>
      <c r="E22" s="25">
        <v>46214.0</v>
      </c>
      <c r="F22" s="25">
        <v>46216.0</v>
      </c>
      <c r="G22" s="27" t="s">
        <v>293</v>
      </c>
      <c r="H22" s="27" t="s">
        <v>294</v>
      </c>
      <c r="I22" s="24" t="s">
        <v>64</v>
      </c>
      <c r="J22" s="26" t="s">
        <v>11</v>
      </c>
      <c r="K22" s="28">
        <v>77700.0</v>
      </c>
      <c r="L22" s="24" t="s">
        <v>268</v>
      </c>
      <c r="M22" s="49"/>
      <c r="N22" s="32"/>
      <c r="O22" s="49"/>
      <c r="P22" s="49"/>
      <c r="Q22" s="24"/>
    </row>
    <row r="23" ht="22.5" customHeight="1">
      <c r="B23" s="24"/>
      <c r="C23" s="25">
        <v>46210.0</v>
      </c>
      <c r="D23" s="26" t="s">
        <v>58</v>
      </c>
      <c r="E23" s="25">
        <v>46212.0</v>
      </c>
      <c r="F23" s="25">
        <v>46218.0</v>
      </c>
      <c r="G23" s="27" t="s">
        <v>296</v>
      </c>
      <c r="H23" s="27" t="s">
        <v>297</v>
      </c>
      <c r="I23" s="24" t="s">
        <v>252</v>
      </c>
      <c r="J23" s="26" t="s">
        <v>11</v>
      </c>
      <c r="K23" s="28">
        <v>34300.0</v>
      </c>
      <c r="L23" s="24" t="s">
        <v>246</v>
      </c>
      <c r="M23" s="49"/>
      <c r="N23" s="32"/>
      <c r="O23" s="49"/>
      <c r="P23" s="49"/>
      <c r="Q23" s="32"/>
    </row>
    <row r="24" ht="22.5" customHeight="1">
      <c r="B24" s="24" t="s">
        <v>90</v>
      </c>
      <c r="C24" s="25">
        <v>46212.0</v>
      </c>
      <c r="D24" s="26" t="s">
        <v>58</v>
      </c>
      <c r="E24" s="25">
        <v>46213.0</v>
      </c>
      <c r="F24" s="25">
        <v>46219.0</v>
      </c>
      <c r="G24" s="27" t="s">
        <v>300</v>
      </c>
      <c r="H24" s="27" t="s">
        <v>301</v>
      </c>
      <c r="I24" s="24" t="s">
        <v>64</v>
      </c>
      <c r="J24" s="26" t="s">
        <v>11</v>
      </c>
      <c r="K24" s="28">
        <v>61900.0</v>
      </c>
      <c r="L24" s="24" t="s">
        <v>246</v>
      </c>
      <c r="M24" s="49"/>
      <c r="N24" s="32"/>
      <c r="O24" s="49"/>
      <c r="P24" s="49"/>
      <c r="Q24" s="32"/>
    </row>
    <row r="25" ht="22.5" customHeight="1">
      <c r="B25" s="24" t="s">
        <v>305</v>
      </c>
      <c r="C25" s="25">
        <v>46216.0</v>
      </c>
      <c r="D25" s="26" t="s">
        <v>58</v>
      </c>
      <c r="E25" s="25">
        <v>46217.0</v>
      </c>
      <c r="F25" s="25">
        <v>46220.0</v>
      </c>
      <c r="G25" s="27" t="s">
        <v>306</v>
      </c>
      <c r="H25" s="27" t="s">
        <v>307</v>
      </c>
      <c r="I25" s="24" t="s">
        <v>64</v>
      </c>
      <c r="J25" s="26" t="s">
        <v>11</v>
      </c>
      <c r="K25" s="28">
        <v>67000.0</v>
      </c>
      <c r="L25" s="24" t="s">
        <v>246</v>
      </c>
      <c r="M25" s="49"/>
      <c r="N25" s="32"/>
      <c r="O25" s="49"/>
      <c r="P25" s="49"/>
      <c r="Q25" s="32"/>
    </row>
    <row r="26" ht="22.5" customHeight="1">
      <c r="B26" s="24" t="s">
        <v>90</v>
      </c>
      <c r="C26" s="25">
        <v>46216.0</v>
      </c>
      <c r="D26" s="26" t="s">
        <v>58</v>
      </c>
      <c r="E26" s="25">
        <v>46217.0</v>
      </c>
      <c r="F26" s="25">
        <v>46220.0</v>
      </c>
      <c r="G26" s="27" t="s">
        <v>311</v>
      </c>
      <c r="H26" s="27" t="s">
        <v>312</v>
      </c>
      <c r="I26" s="24" t="s">
        <v>64</v>
      </c>
      <c r="J26" s="26" t="s">
        <v>11</v>
      </c>
      <c r="K26" s="28">
        <v>81500.0</v>
      </c>
      <c r="L26" s="24" t="s">
        <v>314</v>
      </c>
      <c r="M26" s="49"/>
      <c r="N26" s="32"/>
      <c r="O26" s="49"/>
      <c r="P26" s="49"/>
      <c r="Q26" s="32"/>
    </row>
    <row r="27" ht="22.5" customHeight="1">
      <c r="B27" s="24" t="s">
        <v>90</v>
      </c>
      <c r="C27" s="25">
        <v>46217.0</v>
      </c>
      <c r="D27" s="26" t="s">
        <v>58</v>
      </c>
      <c r="E27" s="25">
        <v>46220.0</v>
      </c>
      <c r="F27" s="25">
        <v>46221.0</v>
      </c>
      <c r="G27" s="27" t="s">
        <v>316</v>
      </c>
      <c r="H27" s="27" t="s">
        <v>317</v>
      </c>
      <c r="I27" s="24" t="s">
        <v>64</v>
      </c>
      <c r="J27" s="26" t="s">
        <v>11</v>
      </c>
      <c r="K27" s="28">
        <v>82200.0</v>
      </c>
      <c r="L27" s="24" t="s">
        <v>268</v>
      </c>
      <c r="M27" s="49"/>
      <c r="N27" s="32"/>
      <c r="O27" s="49"/>
      <c r="P27" s="49"/>
      <c r="Q27" s="24"/>
    </row>
    <row r="28" ht="22.5" customHeight="1">
      <c r="B28" s="24" t="s">
        <v>323</v>
      </c>
      <c r="C28" s="25">
        <v>46217.0</v>
      </c>
      <c r="D28" s="26" t="s">
        <v>58</v>
      </c>
      <c r="E28" s="25">
        <v>46218.0</v>
      </c>
      <c r="F28" s="25">
        <v>46219.0</v>
      </c>
      <c r="G28" s="27" t="s">
        <v>326</v>
      </c>
      <c r="H28" s="27" t="s">
        <v>327</v>
      </c>
      <c r="I28" s="24" t="s">
        <v>64</v>
      </c>
      <c r="J28" s="26" t="s">
        <v>11</v>
      </c>
      <c r="K28" s="28">
        <v>109400.0</v>
      </c>
      <c r="L28" s="24" t="s">
        <v>246</v>
      </c>
      <c r="M28" s="49"/>
      <c r="N28" s="32"/>
      <c r="O28" s="49"/>
      <c r="P28" s="49"/>
      <c r="Q28" s="32"/>
    </row>
    <row r="29" ht="22.5" customHeight="1">
      <c r="B29" s="24" t="s">
        <v>90</v>
      </c>
      <c r="C29" s="25">
        <v>46217.0</v>
      </c>
      <c r="D29" s="26" t="s">
        <v>58</v>
      </c>
      <c r="E29" s="25">
        <v>46220.0</v>
      </c>
      <c r="F29" s="25">
        <v>46221.0</v>
      </c>
      <c r="G29" s="27" t="s">
        <v>335</v>
      </c>
      <c r="H29" s="27" t="s">
        <v>337</v>
      </c>
      <c r="I29" s="24" t="s">
        <v>64</v>
      </c>
      <c r="J29" s="26" t="s">
        <v>11</v>
      </c>
      <c r="K29" s="28">
        <v>85000.0</v>
      </c>
      <c r="L29" s="24" t="s">
        <v>268</v>
      </c>
      <c r="M29" s="49"/>
      <c r="N29" s="32"/>
      <c r="O29" s="49"/>
      <c r="P29" s="49"/>
      <c r="Q29" s="32"/>
    </row>
    <row r="30" ht="22.5" customHeight="1">
      <c r="B30" s="24" t="s">
        <v>90</v>
      </c>
      <c r="C30" s="25">
        <v>46216.0</v>
      </c>
      <c r="D30" s="26" t="s">
        <v>58</v>
      </c>
      <c r="E30" s="25">
        <v>46217.0</v>
      </c>
      <c r="F30" s="25">
        <v>46223.0</v>
      </c>
      <c r="G30" s="27" t="s">
        <v>344</v>
      </c>
      <c r="H30" s="27" t="s">
        <v>345</v>
      </c>
      <c r="I30" s="24" t="s">
        <v>64</v>
      </c>
      <c r="J30" s="26" t="s">
        <v>11</v>
      </c>
      <c r="K30" s="28">
        <v>82730.0</v>
      </c>
      <c r="L30" s="24" t="s">
        <v>275</v>
      </c>
      <c r="M30" s="49"/>
      <c r="N30" s="32"/>
      <c r="O30" s="49"/>
      <c r="P30" s="49"/>
      <c r="Q30" s="32"/>
    </row>
    <row r="31" ht="22.5" customHeight="1">
      <c r="B31" s="24" t="s">
        <v>351</v>
      </c>
      <c r="C31" s="25">
        <v>46213.0</v>
      </c>
      <c r="D31" s="26" t="s">
        <v>58</v>
      </c>
      <c r="E31" s="25">
        <v>46218.0</v>
      </c>
      <c r="F31" s="25">
        <v>46223.0</v>
      </c>
      <c r="G31" s="27" t="s">
        <v>352</v>
      </c>
      <c r="H31" s="27" t="s">
        <v>353</v>
      </c>
      <c r="I31" s="24" t="s">
        <v>54</v>
      </c>
      <c r="J31" s="26" t="s">
        <v>11</v>
      </c>
      <c r="K31" s="28">
        <v>17100.0</v>
      </c>
      <c r="L31" s="24" t="s">
        <v>246</v>
      </c>
      <c r="M31" s="49"/>
      <c r="N31" s="32"/>
      <c r="O31" s="49"/>
      <c r="P31" s="49"/>
      <c r="Q31" s="24"/>
    </row>
    <row r="32" ht="22.5" customHeight="1">
      <c r="B32" s="24" t="s">
        <v>90</v>
      </c>
      <c r="C32" s="25">
        <v>46217.0</v>
      </c>
      <c r="D32" s="26" t="s">
        <v>58</v>
      </c>
      <c r="E32" s="25">
        <v>46223.0</v>
      </c>
      <c r="F32" s="25">
        <v>46225.0</v>
      </c>
      <c r="G32" s="27" t="s">
        <v>359</v>
      </c>
      <c r="H32" s="27" t="s">
        <v>361</v>
      </c>
      <c r="I32" s="24" t="s">
        <v>64</v>
      </c>
      <c r="J32" s="26" t="s">
        <v>11</v>
      </c>
      <c r="K32" s="28">
        <v>83000.0</v>
      </c>
      <c r="L32" s="24" t="s">
        <v>275</v>
      </c>
      <c r="M32" s="49"/>
      <c r="N32" s="32"/>
      <c r="O32" s="49"/>
      <c r="P32" s="49"/>
      <c r="Q32" s="32"/>
    </row>
    <row r="33" ht="22.5" customHeight="1">
      <c r="B33" s="24" t="s">
        <v>90</v>
      </c>
      <c r="C33" s="25">
        <v>46217.0</v>
      </c>
      <c r="D33" s="26" t="s">
        <v>58</v>
      </c>
      <c r="E33" s="25">
        <v>46224.0</v>
      </c>
      <c r="F33" s="25">
        <v>46225.0</v>
      </c>
      <c r="G33" s="27" t="s">
        <v>370</v>
      </c>
      <c r="H33" s="27" t="s">
        <v>372</v>
      </c>
      <c r="I33" s="24" t="s">
        <v>373</v>
      </c>
      <c r="J33" s="26" t="s">
        <v>11</v>
      </c>
      <c r="K33" s="28">
        <v>75450.0</v>
      </c>
      <c r="L33" s="24" t="s">
        <v>246</v>
      </c>
      <c r="M33" s="49"/>
      <c r="N33" s="32"/>
      <c r="O33" s="49"/>
      <c r="P33" s="49"/>
      <c r="Q33" s="32"/>
    </row>
    <row r="34" ht="22.5" customHeight="1">
      <c r="B34" s="24" t="s">
        <v>90</v>
      </c>
      <c r="C34" s="25">
        <v>46220.0</v>
      </c>
      <c r="D34" s="26" t="s">
        <v>58</v>
      </c>
      <c r="E34" s="25">
        <v>46223.0</v>
      </c>
      <c r="F34" s="25">
        <v>46223.0</v>
      </c>
      <c r="G34" s="27" t="s">
        <v>380</v>
      </c>
      <c r="H34" s="27" t="s">
        <v>381</v>
      </c>
      <c r="I34" s="24" t="s">
        <v>64</v>
      </c>
      <c r="J34" s="26" t="s">
        <v>11</v>
      </c>
      <c r="K34" s="28">
        <v>60000.0</v>
      </c>
      <c r="L34" s="24" t="s">
        <v>275</v>
      </c>
      <c r="M34" s="49"/>
      <c r="N34" s="32"/>
      <c r="O34" s="49"/>
      <c r="P34" s="49"/>
      <c r="Q34" s="32"/>
    </row>
    <row r="35" ht="22.5" customHeight="1">
      <c r="B35" s="24" t="s">
        <v>90</v>
      </c>
      <c r="C35" s="25">
        <v>46223.0</v>
      </c>
      <c r="D35" s="26" t="s">
        <v>58</v>
      </c>
      <c r="E35" s="25">
        <v>46225.0</v>
      </c>
      <c r="F35" s="25">
        <v>46227.0</v>
      </c>
      <c r="G35" s="27" t="s">
        <v>389</v>
      </c>
      <c r="H35" s="27" t="s">
        <v>391</v>
      </c>
      <c r="I35" s="24" t="s">
        <v>245</v>
      </c>
      <c r="J35" s="26" t="s">
        <v>11</v>
      </c>
      <c r="K35" s="28">
        <v>87800.0</v>
      </c>
      <c r="L35" s="24" t="s">
        <v>246</v>
      </c>
      <c r="M35" s="49"/>
      <c r="N35" s="32"/>
      <c r="O35" s="49"/>
      <c r="P35" s="49"/>
      <c r="Q35" s="32"/>
    </row>
    <row r="36" ht="22.5" customHeight="1">
      <c r="B36" s="24" t="s">
        <v>90</v>
      </c>
      <c r="C36" s="25">
        <v>46223.0</v>
      </c>
      <c r="D36" s="26" t="s">
        <v>58</v>
      </c>
      <c r="E36" s="25">
        <v>46228.0</v>
      </c>
      <c r="F36" s="25">
        <v>46230.0</v>
      </c>
      <c r="G36" s="27" t="s">
        <v>400</v>
      </c>
      <c r="H36" s="27" t="s">
        <v>401</v>
      </c>
      <c r="I36" s="24" t="s">
        <v>245</v>
      </c>
      <c r="J36" s="26" t="s">
        <v>11</v>
      </c>
      <c r="K36" s="28">
        <v>88000.0</v>
      </c>
      <c r="L36" s="24" t="s">
        <v>246</v>
      </c>
      <c r="M36" s="49"/>
      <c r="N36" s="32"/>
      <c r="O36" s="49"/>
      <c r="P36" s="49"/>
      <c r="Q36" s="32"/>
    </row>
    <row r="37" ht="22.5" customHeight="1">
      <c r="B37" s="24" t="s">
        <v>90</v>
      </c>
      <c r="C37" s="25">
        <v>46223.0</v>
      </c>
      <c r="D37" s="26" t="s">
        <v>58</v>
      </c>
      <c r="E37" s="25">
        <v>46225.0</v>
      </c>
      <c r="F37" s="25">
        <v>46227.0</v>
      </c>
      <c r="G37" s="27" t="s">
        <v>408</v>
      </c>
      <c r="H37" s="27" t="s">
        <v>409</v>
      </c>
      <c r="I37" s="24" t="s">
        <v>265</v>
      </c>
      <c r="J37" s="26" t="s">
        <v>11</v>
      </c>
      <c r="K37" s="28">
        <v>81600.0</v>
      </c>
      <c r="L37" s="24" t="s">
        <v>268</v>
      </c>
      <c r="M37" s="49"/>
      <c r="N37" s="32"/>
      <c r="O37" s="49"/>
      <c r="P37" s="49"/>
      <c r="Q37" s="32"/>
    </row>
    <row r="38" ht="22.5" customHeight="1">
      <c r="B38" s="24" t="s">
        <v>415</v>
      </c>
      <c r="C38" s="25">
        <v>46225.0</v>
      </c>
      <c r="D38" s="26" t="s">
        <v>58</v>
      </c>
      <c r="E38" s="25">
        <v>46227.0</v>
      </c>
      <c r="F38" s="25">
        <v>46228.0</v>
      </c>
      <c r="G38" s="27" t="s">
        <v>417</v>
      </c>
      <c r="H38" s="27" t="s">
        <v>419</v>
      </c>
      <c r="I38" s="24" t="s">
        <v>64</v>
      </c>
      <c r="J38" s="26" t="s">
        <v>11</v>
      </c>
      <c r="K38" s="28">
        <v>34100.0</v>
      </c>
      <c r="L38" s="24" t="s">
        <v>246</v>
      </c>
      <c r="M38" s="49"/>
      <c r="N38" s="32"/>
      <c r="O38" s="49"/>
      <c r="P38" s="49"/>
      <c r="Q38" s="32"/>
    </row>
    <row r="39" ht="22.5" customHeight="1">
      <c r="B39" s="32"/>
      <c r="C39" s="25">
        <v>46225.0</v>
      </c>
      <c r="D39" s="26" t="s">
        <v>58</v>
      </c>
      <c r="E39" s="25">
        <v>46227.0</v>
      </c>
      <c r="F39" s="25">
        <v>46230.0</v>
      </c>
      <c r="G39" s="27" t="s">
        <v>424</v>
      </c>
      <c r="H39" s="27" t="s">
        <v>425</v>
      </c>
      <c r="I39" s="24" t="s">
        <v>64</v>
      </c>
      <c r="J39" s="26" t="s">
        <v>11</v>
      </c>
      <c r="K39" s="28">
        <v>80000.0</v>
      </c>
      <c r="L39" s="24" t="s">
        <v>246</v>
      </c>
      <c r="M39" s="49"/>
      <c r="N39" s="32"/>
      <c r="O39" s="49"/>
      <c r="P39" s="49"/>
      <c r="Q39" s="32"/>
    </row>
    <row r="40" ht="22.5" customHeight="1">
      <c r="B40" s="32"/>
      <c r="C40" s="25">
        <v>46224.0</v>
      </c>
      <c r="D40" s="26" t="s">
        <v>58</v>
      </c>
      <c r="E40" s="25">
        <v>46225.0</v>
      </c>
      <c r="F40" s="25">
        <v>46228.0</v>
      </c>
      <c r="G40" s="27" t="s">
        <v>428</v>
      </c>
      <c r="H40" s="27" t="s">
        <v>429</v>
      </c>
      <c r="I40" s="24" t="s">
        <v>265</v>
      </c>
      <c r="J40" s="26" t="s">
        <v>11</v>
      </c>
      <c r="K40" s="28">
        <v>79100.0</v>
      </c>
      <c r="L40" s="24" t="s">
        <v>268</v>
      </c>
      <c r="M40" s="49"/>
      <c r="N40" s="32"/>
      <c r="O40" s="49"/>
      <c r="P40" s="49"/>
      <c r="Q40" s="32"/>
    </row>
    <row r="41" ht="22.5" customHeight="1">
      <c r="B41" s="32"/>
      <c r="C41" s="25">
        <v>46224.0</v>
      </c>
      <c r="D41" s="26" t="s">
        <v>58</v>
      </c>
      <c r="E41" s="25">
        <v>46225.0</v>
      </c>
      <c r="F41" s="25">
        <v>46228.0</v>
      </c>
      <c r="G41" s="27" t="s">
        <v>432</v>
      </c>
      <c r="H41" s="27" t="s">
        <v>433</v>
      </c>
      <c r="I41" s="24" t="s">
        <v>265</v>
      </c>
      <c r="J41" s="26" t="s">
        <v>11</v>
      </c>
      <c r="K41" s="28">
        <v>80100.0</v>
      </c>
      <c r="L41" s="24" t="s">
        <v>268</v>
      </c>
      <c r="M41" s="49"/>
      <c r="N41" s="32"/>
      <c r="O41" s="49"/>
      <c r="P41" s="49"/>
      <c r="Q41" s="32"/>
    </row>
    <row r="42" ht="22.5" customHeight="1">
      <c r="B42" s="32"/>
      <c r="C42" s="25">
        <v>46224.0</v>
      </c>
      <c r="D42" s="26" t="s">
        <v>58</v>
      </c>
      <c r="E42" s="25">
        <v>46225.0</v>
      </c>
      <c r="F42" s="25">
        <v>46227.0</v>
      </c>
      <c r="G42" s="27" t="s">
        <v>442</v>
      </c>
      <c r="H42" s="27" t="s">
        <v>443</v>
      </c>
      <c r="I42" s="24" t="s">
        <v>124</v>
      </c>
      <c r="J42" s="26" t="s">
        <v>11</v>
      </c>
      <c r="K42" s="28">
        <v>76600.0</v>
      </c>
      <c r="L42" s="24" t="s">
        <v>268</v>
      </c>
      <c r="M42" s="49"/>
      <c r="N42" s="32"/>
      <c r="O42" s="49"/>
      <c r="P42" s="49"/>
      <c r="Q42" s="32"/>
    </row>
    <row r="43" ht="22.5" customHeight="1">
      <c r="B43" s="32"/>
      <c r="C43" s="25">
        <v>46225.0</v>
      </c>
      <c r="D43" s="26" t="s">
        <v>58</v>
      </c>
      <c r="E43" s="25">
        <v>46225.0</v>
      </c>
      <c r="F43" s="25">
        <v>46227.0</v>
      </c>
      <c r="G43" s="27" t="s">
        <v>450</v>
      </c>
      <c r="H43" s="27" t="s">
        <v>451</v>
      </c>
      <c r="I43" s="24" t="s">
        <v>64</v>
      </c>
      <c r="J43" s="26" t="s">
        <v>11</v>
      </c>
      <c r="K43" s="28">
        <v>84000.0</v>
      </c>
      <c r="L43" s="24" t="s">
        <v>268</v>
      </c>
      <c r="M43" s="49"/>
      <c r="N43" s="32"/>
      <c r="O43" s="49"/>
      <c r="P43" s="49"/>
      <c r="Q43" s="32"/>
    </row>
    <row r="44" ht="22.5" customHeight="1">
      <c r="B44" s="24" t="s">
        <v>90</v>
      </c>
      <c r="C44" s="25">
        <v>46225.0</v>
      </c>
      <c r="D44" s="26" t="s">
        <v>58</v>
      </c>
      <c r="E44" s="25">
        <v>46227.0</v>
      </c>
      <c r="F44" s="25">
        <v>46230.0</v>
      </c>
      <c r="G44" s="27" t="s">
        <v>457</v>
      </c>
      <c r="H44" s="27" t="s">
        <v>458</v>
      </c>
      <c r="I44" s="24" t="s">
        <v>64</v>
      </c>
      <c r="J44" s="26" t="s">
        <v>11</v>
      </c>
      <c r="K44" s="28">
        <v>91000.0</v>
      </c>
      <c r="L44" s="24" t="s">
        <v>275</v>
      </c>
      <c r="M44" s="49"/>
      <c r="N44" s="32"/>
      <c r="O44" s="49"/>
      <c r="P44" s="49"/>
      <c r="Q44" s="32"/>
    </row>
    <row r="45" ht="22.5" customHeight="1">
      <c r="B45" s="24" t="s">
        <v>463</v>
      </c>
      <c r="C45" s="25">
        <v>46225.0</v>
      </c>
      <c r="D45" s="26" t="s">
        <v>58</v>
      </c>
      <c r="E45" s="25">
        <v>46227.0</v>
      </c>
      <c r="F45" s="25">
        <v>46228.0</v>
      </c>
      <c r="G45" s="27" t="s">
        <v>467</v>
      </c>
      <c r="H45" s="27" t="s">
        <v>468</v>
      </c>
      <c r="I45" s="24" t="s">
        <v>64</v>
      </c>
      <c r="J45" s="26" t="s">
        <v>11</v>
      </c>
      <c r="K45" s="28">
        <v>68500.0</v>
      </c>
      <c r="L45" s="24" t="s">
        <v>246</v>
      </c>
      <c r="M45" s="49"/>
      <c r="N45" s="32"/>
      <c r="O45" s="49"/>
      <c r="P45" s="49"/>
      <c r="Q45" s="32"/>
    </row>
    <row r="46" ht="22.5" customHeight="1">
      <c r="B46" s="32"/>
      <c r="C46" s="75"/>
      <c r="D46" s="113"/>
      <c r="E46" s="75"/>
      <c r="F46" s="75"/>
      <c r="G46" s="114"/>
      <c r="H46" s="114"/>
      <c r="I46" s="32"/>
      <c r="J46" s="49"/>
      <c r="K46" s="115"/>
      <c r="L46" s="32"/>
      <c r="M46" s="49"/>
      <c r="N46" s="32"/>
      <c r="O46" s="49"/>
      <c r="P46" s="49"/>
      <c r="Q46" s="32"/>
    </row>
    <row r="47" ht="22.5" customHeight="1">
      <c r="B47" s="32"/>
      <c r="C47" s="75"/>
      <c r="D47" s="113"/>
      <c r="E47" s="75"/>
      <c r="F47" s="75"/>
      <c r="G47" s="114"/>
      <c r="H47" s="114"/>
      <c r="I47" s="32"/>
      <c r="J47" s="49"/>
      <c r="K47" s="115"/>
      <c r="L47" s="32"/>
      <c r="M47" s="49"/>
      <c r="N47" s="32"/>
      <c r="O47" s="49"/>
      <c r="P47" s="49"/>
      <c r="Q47" s="32"/>
    </row>
    <row r="48" ht="22.5" customHeight="1">
      <c r="B48" s="32"/>
      <c r="C48" s="75"/>
      <c r="D48" s="113"/>
      <c r="E48" s="75"/>
      <c r="F48" s="75"/>
      <c r="G48" s="114"/>
      <c r="H48" s="114"/>
      <c r="I48" s="32"/>
      <c r="J48" s="49"/>
      <c r="K48" s="115"/>
      <c r="L48" s="32"/>
      <c r="M48" s="49"/>
      <c r="N48" s="32"/>
      <c r="O48" s="49"/>
      <c r="P48" s="49"/>
      <c r="Q48" s="32"/>
    </row>
    <row r="49" ht="22.5" customHeight="1">
      <c r="B49" s="32"/>
      <c r="C49" s="75"/>
      <c r="D49" s="113"/>
      <c r="E49" s="75"/>
      <c r="F49" s="75"/>
      <c r="G49" s="114"/>
      <c r="H49" s="114"/>
      <c r="I49" s="32"/>
      <c r="J49" s="49"/>
      <c r="K49" s="115"/>
      <c r="L49" s="32"/>
      <c r="M49" s="49"/>
      <c r="N49" s="32"/>
      <c r="O49" s="49"/>
      <c r="P49" s="49"/>
      <c r="Q49" s="32"/>
    </row>
    <row r="50" ht="22.5" customHeight="1">
      <c r="B50" s="32"/>
      <c r="C50" s="75"/>
      <c r="D50" s="113"/>
      <c r="E50" s="75"/>
      <c r="F50" s="75"/>
      <c r="G50" s="114"/>
      <c r="H50" s="114"/>
      <c r="I50" s="32"/>
      <c r="J50" s="49"/>
      <c r="K50" s="115"/>
      <c r="L50" s="32"/>
      <c r="M50" s="49"/>
      <c r="N50" s="32"/>
      <c r="O50" s="49"/>
      <c r="P50" s="49"/>
      <c r="Q50" s="32"/>
    </row>
    <row r="51" ht="22.5" customHeight="1">
      <c r="B51" s="32"/>
      <c r="C51" s="75"/>
      <c r="D51" s="113"/>
      <c r="E51" s="75"/>
      <c r="F51" s="75"/>
      <c r="G51" s="114"/>
      <c r="H51" s="114"/>
      <c r="I51" s="32"/>
      <c r="J51" s="49"/>
      <c r="K51" s="115"/>
      <c r="L51" s="32"/>
      <c r="M51" s="49"/>
      <c r="N51" s="32"/>
      <c r="O51" s="49"/>
      <c r="P51" s="49"/>
      <c r="Q51" s="32"/>
    </row>
    <row r="52" ht="22.5" customHeight="1">
      <c r="B52" s="32"/>
      <c r="C52" s="75"/>
      <c r="D52" s="113"/>
      <c r="E52" s="75"/>
      <c r="F52" s="75"/>
      <c r="G52" s="114"/>
      <c r="H52" s="114"/>
      <c r="I52" s="32"/>
      <c r="J52" s="49"/>
      <c r="K52" s="115"/>
      <c r="L52" s="32"/>
      <c r="M52" s="49"/>
      <c r="N52" s="32"/>
      <c r="O52" s="49"/>
      <c r="P52" s="49"/>
      <c r="Q52" s="3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N38 N40 Q40 N46:N47 N49 Q51 L52 N51:N52">
      <formula1>"Si,No"</formula1>
    </dataValidation>
    <dataValidation type="list" allowBlank="1" sqref="D10:D52">
      <formula1>"Enviada,Aprobada,Rechazada"</formula1>
    </dataValidation>
    <dataValidation type="list" allowBlank="1" sqref="I52">
      <formula1>"Pendiente De Documentar,Pendiente De Remesa,Pendiente de BackOffice,Evaluación BCP,Obs BackOffice,Obs BCP,Rechazado,Desembolsado"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30.75"/>
    <col customWidth="1" min="9" max="9" width="19.25"/>
    <col customWidth="1" min="10" max="10" width="22.88"/>
    <col customWidth="1" min="11" max="11" width="17.0"/>
    <col customWidth="1" min="12" max="12" width="17.25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5" t="s">
        <v>90</v>
      </c>
      <c r="E3" s="7" t="s">
        <v>8</v>
      </c>
      <c r="F3" s="7" t="s">
        <v>11</v>
      </c>
      <c r="G3" s="8" t="s">
        <v>13</v>
      </c>
      <c r="H3" s="7" t="s">
        <v>16</v>
      </c>
      <c r="I3" s="7" t="s">
        <v>17</v>
      </c>
      <c r="J3" s="7" t="s">
        <v>18</v>
      </c>
      <c r="K3" s="7" t="s">
        <v>20</v>
      </c>
      <c r="L3" s="7" t="s">
        <v>21</v>
      </c>
      <c r="M3" s="7" t="s">
        <v>23</v>
      </c>
      <c r="N3" s="7" t="s">
        <v>24</v>
      </c>
    </row>
    <row r="4" ht="26.25" customHeight="1">
      <c r="D4" s="10" t="s">
        <v>26</v>
      </c>
      <c r="E4" s="11">
        <v>2000000.0</v>
      </c>
      <c r="F4" s="13">
        <f>SUMIFS(OPI_7[MAF NETO],OPI_7[ESTADO],"Desembolsado")</f>
        <v>2216250</v>
      </c>
      <c r="G4" s="13">
        <f>F4-E4</f>
        <v>216250</v>
      </c>
      <c r="H4" s="15">
        <f>SUMIFS(OPI_7[MAF NETO],OPI_7[ESTADO],H$3)</f>
        <v>46000</v>
      </c>
      <c r="I4" s="15">
        <f>SUMIFS(OPI_7[MAF NETO],OPI_7[ESTADO],I$3)</f>
        <v>0</v>
      </c>
      <c r="J4" s="15">
        <f>SUMIFS(OPI_7[MAF NETO],OPI_7[ESTADO],J$3)</f>
        <v>0</v>
      </c>
      <c r="K4" s="15">
        <f>SUMIFS(OPI_7[MAF NETO],OPI_7[ESTADO],K$3)</f>
        <v>105700</v>
      </c>
      <c r="L4" s="15">
        <f>SUMIFS(OPI_7[MAF NETO],OPI_7[ESTADO],L$3)</f>
        <v>0</v>
      </c>
      <c r="M4" s="15">
        <f>SUMIFS(OPI_7[MAF NETO],OPI_7[ESTADO],M$3)</f>
        <v>130600</v>
      </c>
      <c r="N4" s="15">
        <f>SUMIFS(OPI_7[MAF NETO],OPI_7[ESTADO],N$3)</f>
        <v>65400</v>
      </c>
    </row>
    <row r="5" ht="26.25" customHeight="1">
      <c r="D5" s="17" t="s">
        <v>28</v>
      </c>
      <c r="E5" s="18" t="s">
        <v>29</v>
      </c>
      <c r="F5" s="19">
        <f>COUNTIFS(OPI_7[ESTADO],"Desembolsado")</f>
        <v>33</v>
      </c>
      <c r="G5" s="20">
        <f>IFERROR(F4/E4,"")</f>
        <v>1.108125</v>
      </c>
      <c r="H5" s="19">
        <f>COUNTIFS(OPI_7[ESTADO],H$3)</f>
        <v>1</v>
      </c>
      <c r="I5" s="19">
        <f>COUNTIFS(OPI_7[ESTADO],I$3)</f>
        <v>1</v>
      </c>
      <c r="J5" s="19">
        <f>COUNTIFS(OPI_7[ESTADO],J$3)</f>
        <v>0</v>
      </c>
      <c r="K5" s="19">
        <f>COUNTIFS(OPI_7[ESTADO],K$3)</f>
        <v>2</v>
      </c>
      <c r="L5" s="19">
        <f>COUNTIFS(OPI_7[ESTADO],L$3)</f>
        <v>0</v>
      </c>
      <c r="M5" s="19">
        <f>COUNTIFS(OPI_7[ESTADO],M$3)</f>
        <v>2</v>
      </c>
      <c r="N5" s="19">
        <f>COUNTIFS(OPI_7[ESTADO],N$3)</f>
        <v>4</v>
      </c>
    </row>
    <row r="9" ht="22.5" customHeight="1">
      <c r="A9" s="21"/>
      <c r="B9" s="22" t="s">
        <v>31</v>
      </c>
      <c r="C9" s="22" t="s">
        <v>33</v>
      </c>
      <c r="D9" s="23" t="s">
        <v>34</v>
      </c>
      <c r="E9" s="22" t="s">
        <v>35</v>
      </c>
      <c r="F9" s="22" t="s">
        <v>36</v>
      </c>
      <c r="G9" s="22" t="s">
        <v>37</v>
      </c>
      <c r="H9" s="22" t="s">
        <v>38</v>
      </c>
      <c r="I9" s="22" t="s">
        <v>39</v>
      </c>
      <c r="J9" s="23" t="s">
        <v>40</v>
      </c>
      <c r="K9" s="22" t="s">
        <v>41</v>
      </c>
      <c r="L9" s="22" t="s">
        <v>42</v>
      </c>
      <c r="M9" s="23" t="s">
        <v>44</v>
      </c>
      <c r="N9" s="22" t="s">
        <v>45</v>
      </c>
      <c r="O9" s="23" t="s">
        <v>46</v>
      </c>
      <c r="P9" s="23" t="s">
        <v>47</v>
      </c>
      <c r="Q9" s="22" t="s">
        <v>48</v>
      </c>
    </row>
    <row r="10" ht="22.5" customHeight="1">
      <c r="B10" s="25" t="s">
        <v>90</v>
      </c>
      <c r="C10" s="25">
        <v>46198.0</v>
      </c>
      <c r="D10" s="138" t="s">
        <v>58</v>
      </c>
      <c r="E10" s="25">
        <v>46203.0</v>
      </c>
      <c r="F10" s="25"/>
      <c r="G10" s="139" t="s">
        <v>321</v>
      </c>
      <c r="H10" s="27" t="s">
        <v>322</v>
      </c>
      <c r="I10" s="25" t="s">
        <v>64</v>
      </c>
      <c r="J10" s="138" t="s">
        <v>11</v>
      </c>
      <c r="K10" s="28">
        <v>78050.0</v>
      </c>
      <c r="L10" s="24" t="s">
        <v>324</v>
      </c>
      <c r="M10" s="140"/>
      <c r="N10" s="24" t="s">
        <v>325</v>
      </c>
      <c r="O10" s="49"/>
      <c r="P10" s="49"/>
      <c r="Q10" s="32"/>
    </row>
    <row r="11" ht="22.5" customHeight="1">
      <c r="B11" s="75" t="s">
        <v>90</v>
      </c>
      <c r="C11" s="75">
        <v>46228.0</v>
      </c>
      <c r="D11" s="142" t="s">
        <v>58</v>
      </c>
      <c r="E11" s="24" t="s">
        <v>330</v>
      </c>
      <c r="F11" s="25"/>
      <c r="G11" s="143" t="s">
        <v>331</v>
      </c>
      <c r="H11" s="144" t="s">
        <v>333</v>
      </c>
      <c r="I11" s="24" t="s">
        <v>64</v>
      </c>
      <c r="J11" s="145" t="s">
        <v>11</v>
      </c>
      <c r="K11" s="28">
        <v>69000.0</v>
      </c>
      <c r="L11" s="32" t="s">
        <v>334</v>
      </c>
      <c r="M11" s="140"/>
      <c r="N11" s="24" t="s">
        <v>336</v>
      </c>
      <c r="O11" s="49"/>
      <c r="P11" s="49"/>
      <c r="Q11" s="24"/>
    </row>
    <row r="12" ht="22.5" hidden="1" customHeight="1">
      <c r="B12" s="75" t="s">
        <v>90</v>
      </c>
      <c r="C12" s="25">
        <v>46228.0</v>
      </c>
      <c r="D12" s="142" t="s">
        <v>58</v>
      </c>
      <c r="E12" s="24" t="s">
        <v>330</v>
      </c>
      <c r="F12" s="75"/>
      <c r="G12" s="27" t="s">
        <v>340</v>
      </c>
      <c r="H12" s="27" t="s">
        <v>342</v>
      </c>
      <c r="I12" s="24" t="s">
        <v>245</v>
      </c>
      <c r="J12" s="145" t="s">
        <v>16</v>
      </c>
      <c r="K12" s="28">
        <v>46000.0</v>
      </c>
      <c r="L12" s="24" t="s">
        <v>343</v>
      </c>
      <c r="M12" s="26"/>
      <c r="N12" s="32"/>
      <c r="O12" s="49"/>
      <c r="P12" s="49"/>
      <c r="Q12" s="32"/>
    </row>
    <row r="13" ht="22.5" customHeight="1">
      <c r="B13" s="146" t="s">
        <v>90</v>
      </c>
      <c r="C13" s="147">
        <v>46199.0</v>
      </c>
      <c r="D13" s="138" t="s">
        <v>58</v>
      </c>
      <c r="E13" s="75"/>
      <c r="F13" s="75"/>
      <c r="G13" s="148" t="s">
        <v>348</v>
      </c>
      <c r="H13" s="149" t="s">
        <v>349</v>
      </c>
      <c r="I13" s="146" t="s">
        <v>64</v>
      </c>
      <c r="J13" s="150" t="s">
        <v>11</v>
      </c>
      <c r="K13" s="151">
        <v>67100.0</v>
      </c>
      <c r="L13" s="152" t="s">
        <v>343</v>
      </c>
      <c r="M13" s="26"/>
      <c r="N13" s="24" t="s">
        <v>325</v>
      </c>
      <c r="O13" s="49"/>
      <c r="P13" s="49"/>
      <c r="Q13" s="32"/>
    </row>
    <row r="14" ht="22.5" customHeight="1">
      <c r="B14" s="75" t="s">
        <v>90</v>
      </c>
      <c r="C14" s="75">
        <v>46203.0</v>
      </c>
      <c r="D14" s="142" t="s">
        <v>58</v>
      </c>
      <c r="E14" s="153"/>
      <c r="F14" s="25"/>
      <c r="G14" s="27" t="s">
        <v>356</v>
      </c>
      <c r="H14" s="144" t="s">
        <v>357</v>
      </c>
      <c r="I14" s="24" t="s">
        <v>64</v>
      </c>
      <c r="J14" s="145" t="s">
        <v>11</v>
      </c>
      <c r="K14" s="28">
        <v>77800.0</v>
      </c>
      <c r="L14" s="24" t="s">
        <v>358</v>
      </c>
      <c r="M14" s="26"/>
      <c r="N14" s="24" t="s">
        <v>325</v>
      </c>
      <c r="O14" s="49"/>
      <c r="P14" s="49"/>
      <c r="Q14" s="32"/>
    </row>
    <row r="15" ht="22.5" hidden="1" customHeight="1">
      <c r="B15" s="25" t="s">
        <v>90</v>
      </c>
      <c r="C15" s="25">
        <v>46224.0</v>
      </c>
      <c r="D15" s="142" t="s">
        <v>58</v>
      </c>
      <c r="E15" s="24" t="s">
        <v>330</v>
      </c>
      <c r="F15" s="24" t="s">
        <v>363</v>
      </c>
      <c r="G15" s="27" t="s">
        <v>364</v>
      </c>
      <c r="H15" s="27" t="s">
        <v>365</v>
      </c>
      <c r="I15" s="25" t="s">
        <v>64</v>
      </c>
      <c r="J15" s="154" t="s">
        <v>24</v>
      </c>
      <c r="K15" s="28">
        <v>0.0</v>
      </c>
      <c r="L15" s="75" t="s">
        <v>366</v>
      </c>
      <c r="M15" s="26"/>
      <c r="N15" s="32"/>
      <c r="O15" s="49"/>
      <c r="P15" s="49"/>
      <c r="Q15" s="32"/>
    </row>
    <row r="16" ht="22.5" customHeight="1">
      <c r="B16" s="24" t="s">
        <v>90</v>
      </c>
      <c r="C16" s="25">
        <v>46205.0</v>
      </c>
      <c r="D16" s="26" t="s">
        <v>58</v>
      </c>
      <c r="E16" s="25"/>
      <c r="F16" s="25"/>
      <c r="G16" s="27" t="s">
        <v>369</v>
      </c>
      <c r="H16" s="27" t="s">
        <v>371</v>
      </c>
      <c r="I16" s="24" t="s">
        <v>64</v>
      </c>
      <c r="J16" s="26" t="s">
        <v>11</v>
      </c>
      <c r="K16" s="28">
        <v>10000.0</v>
      </c>
      <c r="L16" s="24" t="s">
        <v>358</v>
      </c>
      <c r="M16" s="26"/>
      <c r="N16" s="24" t="s">
        <v>336</v>
      </c>
      <c r="O16" s="49"/>
      <c r="P16" s="49"/>
      <c r="Q16" s="32"/>
    </row>
    <row r="17" ht="22.5" customHeight="1">
      <c r="B17" s="24" t="s">
        <v>90</v>
      </c>
      <c r="C17" s="25">
        <v>46226.0</v>
      </c>
      <c r="D17" s="26" t="s">
        <v>58</v>
      </c>
      <c r="E17" s="25"/>
      <c r="F17" s="25"/>
      <c r="G17" s="27" t="s">
        <v>376</v>
      </c>
      <c r="H17" s="27" t="s">
        <v>377</v>
      </c>
      <c r="I17" s="24" t="s">
        <v>64</v>
      </c>
      <c r="J17" s="26" t="s">
        <v>11</v>
      </c>
      <c r="K17" s="28">
        <v>85300.0</v>
      </c>
      <c r="L17" s="24" t="s">
        <v>379</v>
      </c>
      <c r="M17" s="26"/>
      <c r="N17" s="32"/>
      <c r="O17" s="49"/>
      <c r="P17" s="49"/>
      <c r="Q17" s="32"/>
    </row>
    <row r="18" ht="22.5" hidden="1" customHeight="1">
      <c r="B18" s="24" t="s">
        <v>90</v>
      </c>
      <c r="C18" s="25">
        <v>46224.0</v>
      </c>
      <c r="D18" s="26" t="s">
        <v>58</v>
      </c>
      <c r="E18" s="24" t="s">
        <v>330</v>
      </c>
      <c r="F18" s="153"/>
      <c r="G18" s="143" t="s">
        <v>382</v>
      </c>
      <c r="H18" s="27" t="s">
        <v>383</v>
      </c>
      <c r="I18" s="24" t="s">
        <v>124</v>
      </c>
      <c r="J18" s="26" t="s">
        <v>23</v>
      </c>
      <c r="K18" s="28">
        <v>67000.0</v>
      </c>
      <c r="L18" s="24" t="s">
        <v>385</v>
      </c>
      <c r="M18" s="26"/>
      <c r="N18" s="32"/>
      <c r="O18" s="49"/>
      <c r="P18" s="49"/>
      <c r="Q18" s="32"/>
    </row>
    <row r="19" ht="22.5" customHeight="1">
      <c r="B19" s="24" t="s">
        <v>90</v>
      </c>
      <c r="C19" s="25">
        <v>46207.0</v>
      </c>
      <c r="D19" s="26" t="s">
        <v>58</v>
      </c>
      <c r="E19" s="25"/>
      <c r="F19" s="75"/>
      <c r="G19" s="27" t="s">
        <v>388</v>
      </c>
      <c r="H19" s="144" t="s">
        <v>390</v>
      </c>
      <c r="I19" s="24" t="s">
        <v>64</v>
      </c>
      <c r="J19" s="26" t="s">
        <v>11</v>
      </c>
      <c r="K19" s="28">
        <v>72900.0</v>
      </c>
      <c r="L19" s="24" t="s">
        <v>324</v>
      </c>
      <c r="M19" s="26"/>
      <c r="N19" s="24" t="s">
        <v>325</v>
      </c>
      <c r="O19" s="49"/>
      <c r="P19" s="49"/>
      <c r="Q19" s="32"/>
    </row>
    <row r="20" ht="22.5" customHeight="1">
      <c r="B20" s="24" t="s">
        <v>90</v>
      </c>
      <c r="C20" s="25">
        <v>46209.0</v>
      </c>
      <c r="D20" s="26" t="s">
        <v>58</v>
      </c>
      <c r="E20" s="25"/>
      <c r="F20" s="75"/>
      <c r="G20" s="27" t="s">
        <v>394</v>
      </c>
      <c r="H20" s="144" t="s">
        <v>395</v>
      </c>
      <c r="I20" s="24" t="s">
        <v>245</v>
      </c>
      <c r="J20" s="26" t="s">
        <v>11</v>
      </c>
      <c r="K20" s="28">
        <v>77200.0</v>
      </c>
      <c r="L20" s="24" t="s">
        <v>343</v>
      </c>
      <c r="M20" s="26"/>
      <c r="N20" s="24" t="s">
        <v>325</v>
      </c>
      <c r="O20" s="49"/>
      <c r="P20" s="49"/>
      <c r="Q20" s="32"/>
    </row>
    <row r="21" ht="22.5" customHeight="1">
      <c r="B21" s="24" t="s">
        <v>90</v>
      </c>
      <c r="C21" s="25">
        <v>46209.0</v>
      </c>
      <c r="D21" s="26" t="s">
        <v>58</v>
      </c>
      <c r="E21" s="25"/>
      <c r="F21" s="75"/>
      <c r="G21" s="27" t="s">
        <v>398</v>
      </c>
      <c r="H21" s="144" t="s">
        <v>399</v>
      </c>
      <c r="I21" s="24" t="s">
        <v>64</v>
      </c>
      <c r="J21" s="26" t="s">
        <v>11</v>
      </c>
      <c r="K21" s="28">
        <v>64900.0</v>
      </c>
      <c r="L21" s="152" t="s">
        <v>343</v>
      </c>
      <c r="M21" s="26"/>
      <c r="N21" s="24" t="s">
        <v>325</v>
      </c>
      <c r="O21" s="49"/>
      <c r="P21" s="49"/>
      <c r="Q21" s="32"/>
    </row>
    <row r="22" ht="22.5" customHeight="1">
      <c r="B22" s="24" t="s">
        <v>90</v>
      </c>
      <c r="C22" s="25">
        <v>46221.0</v>
      </c>
      <c r="D22" s="26" t="s">
        <v>58</v>
      </c>
      <c r="E22" s="75"/>
      <c r="F22" s="25"/>
      <c r="G22" s="27" t="s">
        <v>402</v>
      </c>
      <c r="H22" s="144" t="s">
        <v>403</v>
      </c>
      <c r="I22" s="24" t="s">
        <v>64</v>
      </c>
      <c r="J22" s="26" t="s">
        <v>11</v>
      </c>
      <c r="K22" s="28">
        <v>60800.0</v>
      </c>
      <c r="L22" s="24" t="s">
        <v>324</v>
      </c>
      <c r="M22" s="26"/>
      <c r="N22" s="24" t="s">
        <v>325</v>
      </c>
      <c r="O22" s="49"/>
      <c r="P22" s="49"/>
      <c r="Q22" s="32"/>
    </row>
    <row r="23" ht="22.5" customHeight="1">
      <c r="B23" s="24" t="s">
        <v>90</v>
      </c>
      <c r="C23" s="25">
        <v>46211.0</v>
      </c>
      <c r="D23" s="26" t="s">
        <v>58</v>
      </c>
      <c r="E23" s="25"/>
      <c r="F23" s="25"/>
      <c r="G23" s="27" t="s">
        <v>406</v>
      </c>
      <c r="H23" s="27" t="s">
        <v>407</v>
      </c>
      <c r="I23" s="24" t="s">
        <v>64</v>
      </c>
      <c r="J23" s="26" t="s">
        <v>11</v>
      </c>
      <c r="K23" s="28">
        <v>20000.0</v>
      </c>
      <c r="L23" s="24" t="s">
        <v>358</v>
      </c>
      <c r="M23" s="26"/>
      <c r="N23" s="24" t="s">
        <v>336</v>
      </c>
      <c r="O23" s="49"/>
      <c r="P23" s="49"/>
      <c r="Q23" s="32"/>
    </row>
    <row r="24" ht="22.5" customHeight="1">
      <c r="B24" s="24" t="s">
        <v>90</v>
      </c>
      <c r="C24" s="25">
        <v>46211.0</v>
      </c>
      <c r="D24" s="26" t="s">
        <v>58</v>
      </c>
      <c r="E24" s="25"/>
      <c r="F24" s="75"/>
      <c r="G24" s="27" t="s">
        <v>413</v>
      </c>
      <c r="H24" s="144" t="s">
        <v>414</v>
      </c>
      <c r="I24" s="24" t="s">
        <v>64</v>
      </c>
      <c r="J24" s="26" t="s">
        <v>11</v>
      </c>
      <c r="K24" s="28">
        <v>20000.0</v>
      </c>
      <c r="L24" s="24" t="s">
        <v>358</v>
      </c>
      <c r="M24" s="49"/>
      <c r="N24" s="24" t="s">
        <v>325</v>
      </c>
      <c r="O24" s="49"/>
      <c r="P24" s="49"/>
      <c r="Q24" s="32"/>
    </row>
    <row r="25" ht="22.5" customHeight="1">
      <c r="B25" s="24" t="s">
        <v>90</v>
      </c>
      <c r="C25" s="25">
        <v>46211.0</v>
      </c>
      <c r="D25" s="26" t="s">
        <v>58</v>
      </c>
      <c r="E25" s="25"/>
      <c r="F25" s="75"/>
      <c r="G25" s="27" t="s">
        <v>420</v>
      </c>
      <c r="H25" s="144" t="s">
        <v>421</v>
      </c>
      <c r="I25" s="24" t="s">
        <v>245</v>
      </c>
      <c r="J25" s="26" t="s">
        <v>11</v>
      </c>
      <c r="K25" s="28">
        <v>81500.0</v>
      </c>
      <c r="L25" s="152" t="s">
        <v>343</v>
      </c>
      <c r="M25" s="49"/>
      <c r="N25" s="24" t="s">
        <v>325</v>
      </c>
      <c r="O25" s="49"/>
      <c r="P25" s="49"/>
      <c r="Q25" s="32"/>
    </row>
    <row r="26" ht="22.5" customHeight="1">
      <c r="B26" s="24" t="s">
        <v>90</v>
      </c>
      <c r="C26" s="25">
        <v>46211.0</v>
      </c>
      <c r="D26" s="26" t="s">
        <v>58</v>
      </c>
      <c r="E26" s="25"/>
      <c r="F26" s="75"/>
      <c r="G26" s="27" t="s">
        <v>422</v>
      </c>
      <c r="H26" s="144" t="s">
        <v>423</v>
      </c>
      <c r="I26" s="24" t="s">
        <v>245</v>
      </c>
      <c r="J26" s="26" t="s">
        <v>11</v>
      </c>
      <c r="K26" s="28">
        <v>75000.0</v>
      </c>
      <c r="L26" s="24" t="s">
        <v>343</v>
      </c>
      <c r="M26" s="49"/>
      <c r="N26" s="24" t="s">
        <v>325</v>
      </c>
      <c r="O26" s="49"/>
      <c r="P26" s="49"/>
      <c r="Q26" s="32"/>
    </row>
    <row r="27" ht="22.5" customHeight="1">
      <c r="B27" s="24" t="s">
        <v>90</v>
      </c>
      <c r="C27" s="25">
        <v>46211.0</v>
      </c>
      <c r="D27" s="26" t="s">
        <v>58</v>
      </c>
      <c r="E27" s="25"/>
      <c r="F27" s="75"/>
      <c r="G27" s="27" t="s">
        <v>426</v>
      </c>
      <c r="H27" s="27" t="s">
        <v>427</v>
      </c>
      <c r="I27" s="24" t="s">
        <v>54</v>
      </c>
      <c r="J27" s="26" t="s">
        <v>11</v>
      </c>
      <c r="K27" s="28">
        <v>30000.0</v>
      </c>
      <c r="L27" s="24" t="s">
        <v>358</v>
      </c>
      <c r="M27" s="49"/>
      <c r="N27" s="24" t="s">
        <v>336</v>
      </c>
      <c r="O27" s="49"/>
      <c r="P27" s="49"/>
      <c r="Q27" s="32"/>
    </row>
    <row r="28" ht="22.5" customHeight="1">
      <c r="B28" s="24" t="s">
        <v>90</v>
      </c>
      <c r="C28" s="25">
        <v>46230.0</v>
      </c>
      <c r="D28" s="26" t="s">
        <v>58</v>
      </c>
      <c r="E28" s="24" t="s">
        <v>330</v>
      </c>
      <c r="F28" s="25"/>
      <c r="G28" s="170" t="s">
        <v>430</v>
      </c>
      <c r="H28" s="144" t="s">
        <v>431</v>
      </c>
      <c r="I28" s="24" t="s">
        <v>64</v>
      </c>
      <c r="J28" s="26" t="s">
        <v>11</v>
      </c>
      <c r="K28" s="28">
        <v>25000.0</v>
      </c>
      <c r="L28" s="24" t="s">
        <v>358</v>
      </c>
      <c r="M28" s="49"/>
      <c r="N28" s="24" t="s">
        <v>325</v>
      </c>
      <c r="O28" s="49"/>
      <c r="P28" s="49"/>
      <c r="Q28" s="32"/>
    </row>
    <row r="29" ht="22.5" hidden="1" customHeight="1">
      <c r="B29" s="24" t="s">
        <v>90</v>
      </c>
      <c r="C29" s="25">
        <v>46225.0</v>
      </c>
      <c r="D29" s="26" t="s">
        <v>58</v>
      </c>
      <c r="E29" s="24" t="s">
        <v>330</v>
      </c>
      <c r="F29" s="75"/>
      <c r="G29" s="143" t="s">
        <v>434</v>
      </c>
      <c r="H29" s="27" t="s">
        <v>435</v>
      </c>
      <c r="I29" s="24" t="s">
        <v>124</v>
      </c>
      <c r="J29" s="26" t="s">
        <v>23</v>
      </c>
      <c r="K29" s="28">
        <v>63600.0</v>
      </c>
      <c r="L29" s="24" t="s">
        <v>385</v>
      </c>
      <c r="M29" s="49"/>
      <c r="N29" s="32"/>
      <c r="O29" s="49"/>
      <c r="P29" s="49"/>
      <c r="Q29" s="32"/>
    </row>
    <row r="30" ht="22.5" customHeight="1">
      <c r="B30" s="24" t="s">
        <v>90</v>
      </c>
      <c r="C30" s="25">
        <v>46228.0</v>
      </c>
      <c r="D30" s="26" t="s">
        <v>58</v>
      </c>
      <c r="E30" s="25"/>
      <c r="F30" s="75"/>
      <c r="G30" s="114" t="s">
        <v>440</v>
      </c>
      <c r="H30" s="27" t="s">
        <v>441</v>
      </c>
      <c r="I30" s="24" t="s">
        <v>64</v>
      </c>
      <c r="J30" s="26" t="s">
        <v>11</v>
      </c>
      <c r="K30" s="28">
        <v>69500.0</v>
      </c>
      <c r="L30" s="24" t="s">
        <v>334</v>
      </c>
      <c r="M30" s="49"/>
      <c r="N30" s="24" t="s">
        <v>325</v>
      </c>
      <c r="O30" s="49"/>
      <c r="P30" s="49"/>
      <c r="Q30" s="32"/>
    </row>
    <row r="31" ht="22.5" hidden="1" customHeight="1">
      <c r="B31" s="24" t="s">
        <v>90</v>
      </c>
      <c r="C31" s="25">
        <v>46211.0</v>
      </c>
      <c r="D31" s="26" t="s">
        <v>58</v>
      </c>
      <c r="E31" s="24" t="s">
        <v>330</v>
      </c>
      <c r="F31" s="75"/>
      <c r="G31" s="27" t="s">
        <v>447</v>
      </c>
      <c r="H31" s="27" t="s">
        <v>448</v>
      </c>
      <c r="I31" s="24" t="s">
        <v>54</v>
      </c>
      <c r="J31" s="26" t="s">
        <v>24</v>
      </c>
      <c r="K31" s="28">
        <v>0.0</v>
      </c>
      <c r="L31" s="24" t="s">
        <v>366</v>
      </c>
      <c r="M31" s="49"/>
      <c r="N31" s="32"/>
      <c r="O31" s="49"/>
      <c r="P31" s="49"/>
      <c r="Q31" s="32"/>
    </row>
    <row r="32" ht="22.5" customHeight="1">
      <c r="B32" s="24" t="s">
        <v>90</v>
      </c>
      <c r="C32" s="25">
        <v>46211.0</v>
      </c>
      <c r="D32" s="26" t="s">
        <v>58</v>
      </c>
      <c r="E32" s="25"/>
      <c r="F32" s="75"/>
      <c r="G32" s="27" t="s">
        <v>452</v>
      </c>
      <c r="H32" s="171" t="s">
        <v>453</v>
      </c>
      <c r="I32" s="24" t="s">
        <v>54</v>
      </c>
      <c r="J32" s="26" t="s">
        <v>11</v>
      </c>
      <c r="K32" s="28">
        <v>103000.0</v>
      </c>
      <c r="L32" s="24" t="s">
        <v>324</v>
      </c>
      <c r="M32" s="49"/>
      <c r="N32" s="24" t="s">
        <v>325</v>
      </c>
      <c r="O32" s="49"/>
      <c r="P32" s="49"/>
      <c r="Q32" s="32"/>
    </row>
    <row r="33" ht="22.5" customHeight="1">
      <c r="B33" s="24" t="s">
        <v>90</v>
      </c>
      <c r="C33" s="25">
        <v>46211.0</v>
      </c>
      <c r="D33" s="26" t="s">
        <v>58</v>
      </c>
      <c r="E33" s="25"/>
      <c r="F33" s="25"/>
      <c r="G33" s="27" t="s">
        <v>459</v>
      </c>
      <c r="H33" s="171" t="s">
        <v>460</v>
      </c>
      <c r="I33" s="24" t="s">
        <v>64</v>
      </c>
      <c r="J33" s="26" t="s">
        <v>11</v>
      </c>
      <c r="K33" s="28">
        <v>85000.0</v>
      </c>
      <c r="L33" s="24" t="s">
        <v>324</v>
      </c>
      <c r="M33" s="49"/>
      <c r="N33" s="24" t="s">
        <v>325</v>
      </c>
      <c r="O33" s="49"/>
      <c r="P33" s="49"/>
      <c r="Q33" s="32"/>
    </row>
    <row r="34" ht="22.5" customHeight="1">
      <c r="B34" s="24" t="s">
        <v>90</v>
      </c>
      <c r="C34" s="25">
        <v>46221.0</v>
      </c>
      <c r="D34" s="26" t="s">
        <v>58</v>
      </c>
      <c r="E34" s="25"/>
      <c r="F34" s="25"/>
      <c r="G34" s="27" t="s">
        <v>464</v>
      </c>
      <c r="H34" s="144" t="s">
        <v>465</v>
      </c>
      <c r="I34" s="24" t="s">
        <v>64</v>
      </c>
      <c r="J34" s="26" t="s">
        <v>11</v>
      </c>
      <c r="K34" s="28">
        <v>41140.0</v>
      </c>
      <c r="L34" s="24" t="s">
        <v>334</v>
      </c>
      <c r="M34" s="49"/>
      <c r="N34" s="24" t="s">
        <v>325</v>
      </c>
      <c r="O34" s="49"/>
      <c r="P34" s="49"/>
      <c r="Q34" s="32"/>
    </row>
    <row r="35" ht="22.5" customHeight="1">
      <c r="B35" s="24" t="s">
        <v>90</v>
      </c>
      <c r="C35" s="25">
        <v>46221.0</v>
      </c>
      <c r="D35" s="26" t="s">
        <v>58</v>
      </c>
      <c r="E35" s="25"/>
      <c r="F35" s="75"/>
      <c r="G35" s="114" t="s">
        <v>469</v>
      </c>
      <c r="H35" s="27" t="s">
        <v>470</v>
      </c>
      <c r="I35" s="24" t="s">
        <v>64</v>
      </c>
      <c r="J35" s="26" t="s">
        <v>11</v>
      </c>
      <c r="K35" s="28">
        <v>81000.0</v>
      </c>
      <c r="L35" s="24" t="s">
        <v>334</v>
      </c>
      <c r="M35" s="49"/>
      <c r="N35" s="24" t="s">
        <v>325</v>
      </c>
      <c r="O35" s="49"/>
      <c r="P35" s="49"/>
      <c r="Q35" s="32"/>
    </row>
    <row r="36" ht="22.5" customHeight="1">
      <c r="B36" s="24" t="s">
        <v>90</v>
      </c>
      <c r="C36" s="25">
        <v>46212.0</v>
      </c>
      <c r="D36" s="26" t="s">
        <v>58</v>
      </c>
      <c r="E36" s="25"/>
      <c r="F36" s="25"/>
      <c r="G36" s="27" t="s">
        <v>473</v>
      </c>
      <c r="H36" s="144" t="s">
        <v>474</v>
      </c>
      <c r="I36" s="24" t="s">
        <v>64</v>
      </c>
      <c r="J36" s="26" t="s">
        <v>11</v>
      </c>
      <c r="K36" s="28">
        <v>89600.0</v>
      </c>
      <c r="L36" s="24" t="s">
        <v>358</v>
      </c>
      <c r="M36" s="49"/>
      <c r="N36" s="24" t="s">
        <v>325</v>
      </c>
      <c r="O36" s="49"/>
      <c r="P36" s="49"/>
      <c r="Q36" s="32"/>
    </row>
    <row r="37" ht="22.5" hidden="1" customHeight="1">
      <c r="B37" s="24" t="s">
        <v>90</v>
      </c>
      <c r="C37" s="25">
        <v>46214.0</v>
      </c>
      <c r="D37" s="26" t="s">
        <v>58</v>
      </c>
      <c r="E37" s="24" t="s">
        <v>330</v>
      </c>
      <c r="F37" s="75"/>
      <c r="G37" s="114" t="s">
        <v>477</v>
      </c>
      <c r="H37" s="27" t="s">
        <v>478</v>
      </c>
      <c r="I37" s="24" t="s">
        <v>64</v>
      </c>
      <c r="J37" s="26" t="s">
        <v>24</v>
      </c>
      <c r="K37" s="28">
        <v>65400.0</v>
      </c>
      <c r="L37" s="24" t="s">
        <v>343</v>
      </c>
      <c r="M37" s="49"/>
      <c r="N37" s="32"/>
      <c r="O37" s="49"/>
      <c r="P37" s="49"/>
      <c r="Q37" s="32"/>
    </row>
    <row r="38" ht="22.5" customHeight="1">
      <c r="B38" s="24" t="s">
        <v>90</v>
      </c>
      <c r="C38" s="25">
        <v>46216.0</v>
      </c>
      <c r="D38" s="26" t="s">
        <v>58</v>
      </c>
      <c r="E38" s="25"/>
      <c r="F38" s="75"/>
      <c r="G38" s="27" t="s">
        <v>483</v>
      </c>
      <c r="H38" s="144" t="s">
        <v>485</v>
      </c>
      <c r="I38" s="24" t="s">
        <v>245</v>
      </c>
      <c r="J38" s="26" t="s">
        <v>11</v>
      </c>
      <c r="K38" s="28">
        <v>41000.0</v>
      </c>
      <c r="L38" s="24" t="s">
        <v>343</v>
      </c>
      <c r="M38" s="49"/>
      <c r="N38" s="24" t="s">
        <v>325</v>
      </c>
      <c r="O38" s="49"/>
      <c r="P38" s="49"/>
      <c r="Q38" s="32"/>
    </row>
    <row r="39" ht="22.5" hidden="1" customHeight="1">
      <c r="B39" s="24" t="s">
        <v>90</v>
      </c>
      <c r="C39" s="25">
        <v>46225.0</v>
      </c>
      <c r="D39" s="26" t="s">
        <v>58</v>
      </c>
      <c r="E39" s="24" t="s">
        <v>330</v>
      </c>
      <c r="F39" s="75"/>
      <c r="G39" s="27" t="s">
        <v>487</v>
      </c>
      <c r="H39" s="27" t="s">
        <v>488</v>
      </c>
      <c r="I39" s="24" t="s">
        <v>64</v>
      </c>
      <c r="J39" s="26" t="s">
        <v>24</v>
      </c>
      <c r="K39" s="28">
        <v>0.0</v>
      </c>
      <c r="L39" s="24" t="s">
        <v>324</v>
      </c>
      <c r="M39" s="49"/>
      <c r="N39" s="32"/>
      <c r="O39" s="49"/>
      <c r="P39" s="49"/>
      <c r="Q39" s="32"/>
    </row>
    <row r="40" ht="22.5" customHeight="1">
      <c r="B40" s="24" t="s">
        <v>90</v>
      </c>
      <c r="C40" s="25">
        <v>46225.0</v>
      </c>
      <c r="D40" s="26" t="s">
        <v>58</v>
      </c>
      <c r="E40" s="75"/>
      <c r="F40" s="25"/>
      <c r="G40" s="27" t="s">
        <v>493</v>
      </c>
      <c r="H40" s="27" t="s">
        <v>494</v>
      </c>
      <c r="I40" s="24" t="s">
        <v>124</v>
      </c>
      <c r="J40" s="26" t="s">
        <v>11</v>
      </c>
      <c r="K40" s="28">
        <v>78700.0</v>
      </c>
      <c r="L40" s="24" t="s">
        <v>334</v>
      </c>
      <c r="M40" s="49"/>
      <c r="N40" s="24" t="s">
        <v>325</v>
      </c>
      <c r="O40" s="49"/>
      <c r="P40" s="49"/>
      <c r="Q40" s="32"/>
    </row>
    <row r="41" ht="22.5" customHeight="1">
      <c r="B41" s="24" t="s">
        <v>90</v>
      </c>
      <c r="C41" s="25">
        <v>46216.0</v>
      </c>
      <c r="D41" s="26" t="s">
        <v>58</v>
      </c>
      <c r="E41" s="75"/>
      <c r="F41" s="75"/>
      <c r="G41" s="27" t="s">
        <v>500</v>
      </c>
      <c r="H41" s="144" t="s">
        <v>501</v>
      </c>
      <c r="I41" s="24" t="s">
        <v>64</v>
      </c>
      <c r="J41" s="26" t="s">
        <v>11</v>
      </c>
      <c r="K41" s="28">
        <v>84400.0</v>
      </c>
      <c r="L41" s="24" t="s">
        <v>324</v>
      </c>
      <c r="M41" s="49"/>
      <c r="N41" s="24" t="s">
        <v>325</v>
      </c>
      <c r="O41" s="49"/>
      <c r="P41" s="49"/>
      <c r="Q41" s="32"/>
    </row>
    <row r="42" ht="22.5" customHeight="1">
      <c r="B42" s="24" t="s">
        <v>90</v>
      </c>
      <c r="C42" s="25">
        <v>46217.0</v>
      </c>
      <c r="D42" s="26" t="s">
        <v>58</v>
      </c>
      <c r="E42" s="75"/>
      <c r="F42" s="25"/>
      <c r="G42" s="114" t="s">
        <v>505</v>
      </c>
      <c r="H42" s="171" t="s">
        <v>506</v>
      </c>
      <c r="I42" s="24" t="s">
        <v>64</v>
      </c>
      <c r="J42" s="26" t="s">
        <v>11</v>
      </c>
      <c r="K42" s="28">
        <v>85200.0</v>
      </c>
      <c r="L42" s="24" t="s">
        <v>334</v>
      </c>
      <c r="M42" s="49"/>
      <c r="N42" s="24" t="s">
        <v>336</v>
      </c>
      <c r="O42" s="49"/>
      <c r="P42" s="49"/>
      <c r="Q42" s="32"/>
    </row>
    <row r="43" ht="22.5" customHeight="1">
      <c r="B43" s="24" t="s">
        <v>90</v>
      </c>
      <c r="C43" s="25">
        <v>46218.0</v>
      </c>
      <c r="D43" s="26" t="s">
        <v>58</v>
      </c>
      <c r="E43" s="75"/>
      <c r="F43" s="75"/>
      <c r="G43" s="27" t="s">
        <v>507</v>
      </c>
      <c r="H43" s="27" t="s">
        <v>508</v>
      </c>
      <c r="I43" s="24" t="s">
        <v>245</v>
      </c>
      <c r="J43" s="26" t="s">
        <v>11</v>
      </c>
      <c r="K43" s="28">
        <v>74360.0</v>
      </c>
      <c r="L43" s="24" t="s">
        <v>379</v>
      </c>
      <c r="M43" s="49"/>
      <c r="N43" s="32"/>
      <c r="O43" s="49"/>
      <c r="P43" s="49"/>
      <c r="Q43" s="32"/>
    </row>
    <row r="44" ht="22.5" customHeight="1">
      <c r="B44" s="24" t="s">
        <v>90</v>
      </c>
      <c r="C44" s="25">
        <v>46218.0</v>
      </c>
      <c r="D44" s="26" t="s">
        <v>58</v>
      </c>
      <c r="E44" s="75"/>
      <c r="F44" s="75"/>
      <c r="G44" s="27" t="s">
        <v>511</v>
      </c>
      <c r="H44" s="144" t="s">
        <v>512</v>
      </c>
      <c r="I44" s="24" t="s">
        <v>124</v>
      </c>
      <c r="J44" s="26" t="s">
        <v>11</v>
      </c>
      <c r="K44" s="28">
        <v>82500.0</v>
      </c>
      <c r="L44" s="24" t="s">
        <v>358</v>
      </c>
      <c r="M44" s="49"/>
      <c r="N44" s="24" t="s">
        <v>325</v>
      </c>
      <c r="O44" s="49"/>
      <c r="P44" s="49"/>
      <c r="Q44" s="32"/>
    </row>
    <row r="45" ht="22.5" hidden="1" customHeight="1">
      <c r="B45" s="24" t="s">
        <v>90</v>
      </c>
      <c r="C45" s="25">
        <v>46230.0</v>
      </c>
      <c r="D45" s="26" t="s">
        <v>58</v>
      </c>
      <c r="E45" s="24" t="s">
        <v>330</v>
      </c>
      <c r="F45" s="75"/>
      <c r="G45" s="27" t="s">
        <v>515</v>
      </c>
      <c r="H45" s="27" t="s">
        <v>516</v>
      </c>
      <c r="I45" s="24" t="s">
        <v>517</v>
      </c>
      <c r="J45" s="26" t="s">
        <v>20</v>
      </c>
      <c r="K45" s="28">
        <v>10000.0</v>
      </c>
      <c r="L45" s="24" t="s">
        <v>358</v>
      </c>
      <c r="M45" s="49"/>
      <c r="N45" s="32"/>
      <c r="O45" s="49"/>
      <c r="P45" s="49"/>
      <c r="Q45" s="32"/>
    </row>
    <row r="46" ht="22.5" customHeight="1">
      <c r="B46" s="24" t="s">
        <v>90</v>
      </c>
      <c r="C46" s="25">
        <v>46219.0</v>
      </c>
      <c r="D46" s="26" t="s">
        <v>58</v>
      </c>
      <c r="E46" s="75"/>
      <c r="F46" s="75"/>
      <c r="G46" s="27" t="s">
        <v>520</v>
      </c>
      <c r="H46" s="144" t="s">
        <v>521</v>
      </c>
      <c r="I46" s="24" t="s">
        <v>124</v>
      </c>
      <c r="J46" s="26" t="s">
        <v>11</v>
      </c>
      <c r="K46" s="28">
        <v>65000.0</v>
      </c>
      <c r="L46" s="24" t="s">
        <v>334</v>
      </c>
      <c r="M46" s="49"/>
      <c r="N46" s="24" t="s">
        <v>325</v>
      </c>
      <c r="O46" s="49"/>
      <c r="P46" s="49"/>
      <c r="Q46" s="32"/>
    </row>
    <row r="47" ht="22.5" customHeight="1">
      <c r="B47" s="24" t="s">
        <v>90</v>
      </c>
      <c r="C47" s="25">
        <v>46219.0</v>
      </c>
      <c r="D47" s="26" t="s">
        <v>58</v>
      </c>
      <c r="E47" s="75"/>
      <c r="F47" s="25"/>
      <c r="G47" s="27" t="s">
        <v>524</v>
      </c>
      <c r="H47" s="144" t="s">
        <v>525</v>
      </c>
      <c r="I47" s="24" t="s">
        <v>64</v>
      </c>
      <c r="J47" s="26" t="s">
        <v>11</v>
      </c>
      <c r="K47" s="28">
        <v>73000.0</v>
      </c>
      <c r="L47" s="24" t="s">
        <v>324</v>
      </c>
      <c r="M47" s="49"/>
      <c r="N47" s="24" t="s">
        <v>325</v>
      </c>
      <c r="O47" s="49"/>
      <c r="P47" s="49"/>
      <c r="Q47" s="32"/>
    </row>
    <row r="48" ht="22.5" customHeight="1">
      <c r="B48" s="24" t="s">
        <v>90</v>
      </c>
      <c r="C48" s="25">
        <v>46219.0</v>
      </c>
      <c r="D48" s="26" t="s">
        <v>58</v>
      </c>
      <c r="E48" s="75"/>
      <c r="F48" s="75"/>
      <c r="G48" s="27" t="s">
        <v>526</v>
      </c>
      <c r="H48" s="144" t="s">
        <v>527</v>
      </c>
      <c r="I48" s="24" t="s">
        <v>245</v>
      </c>
      <c r="J48" s="26" t="s">
        <v>11</v>
      </c>
      <c r="K48" s="28">
        <v>94000.0</v>
      </c>
      <c r="L48" s="24" t="s">
        <v>343</v>
      </c>
      <c r="M48" s="49"/>
      <c r="N48" s="24" t="s">
        <v>325</v>
      </c>
      <c r="O48" s="49"/>
      <c r="P48" s="49"/>
      <c r="Q48" s="32"/>
    </row>
    <row r="49" ht="22.5" hidden="1" customHeight="1">
      <c r="B49" s="24" t="s">
        <v>90</v>
      </c>
      <c r="C49" s="25">
        <v>46224.0</v>
      </c>
      <c r="D49" s="26" t="s">
        <v>58</v>
      </c>
      <c r="E49" s="24" t="s">
        <v>330</v>
      </c>
      <c r="F49" s="24" t="s">
        <v>530</v>
      </c>
      <c r="G49" s="27" t="s">
        <v>531</v>
      </c>
      <c r="H49" s="27" t="s">
        <v>532</v>
      </c>
      <c r="I49" s="24" t="s">
        <v>54</v>
      </c>
      <c r="J49" s="26" t="s">
        <v>17</v>
      </c>
      <c r="K49" s="28">
        <v>0.0</v>
      </c>
      <c r="L49" s="24" t="s">
        <v>366</v>
      </c>
      <c r="M49" s="49"/>
      <c r="N49" s="32"/>
      <c r="O49" s="49"/>
      <c r="P49" s="49"/>
      <c r="Q49" s="32"/>
    </row>
    <row r="50" ht="22.5" customHeight="1">
      <c r="B50" s="24" t="s">
        <v>90</v>
      </c>
      <c r="C50" s="25">
        <v>46219.0</v>
      </c>
      <c r="D50" s="26" t="s">
        <v>58</v>
      </c>
      <c r="E50" s="75"/>
      <c r="F50" s="75"/>
      <c r="G50" s="27" t="s">
        <v>533</v>
      </c>
      <c r="H50" s="144" t="s">
        <v>534</v>
      </c>
      <c r="I50" s="24" t="s">
        <v>64</v>
      </c>
      <c r="J50" s="26" t="s">
        <v>11</v>
      </c>
      <c r="K50" s="28">
        <v>62500.0</v>
      </c>
      <c r="L50" s="24" t="s">
        <v>334</v>
      </c>
      <c r="M50" s="49"/>
      <c r="N50" s="24" t="s">
        <v>325</v>
      </c>
      <c r="O50" s="49"/>
      <c r="P50" s="49"/>
      <c r="Q50" s="32"/>
    </row>
    <row r="51" ht="22.5" customHeight="1">
      <c r="B51" s="24" t="s">
        <v>90</v>
      </c>
      <c r="C51" s="25">
        <v>46221.0</v>
      </c>
      <c r="D51" s="26" t="s">
        <v>58</v>
      </c>
      <c r="E51" s="75"/>
      <c r="F51" s="75"/>
      <c r="G51" s="27" t="s">
        <v>535</v>
      </c>
      <c r="H51" s="144" t="s">
        <v>536</v>
      </c>
      <c r="I51" s="24" t="s">
        <v>245</v>
      </c>
      <c r="J51" s="26" t="s">
        <v>11</v>
      </c>
      <c r="K51" s="28">
        <v>91800.0</v>
      </c>
      <c r="L51" s="24" t="s">
        <v>343</v>
      </c>
      <c r="M51" s="49"/>
      <c r="N51" s="24" t="s">
        <v>325</v>
      </c>
      <c r="O51" s="49"/>
      <c r="P51" s="49"/>
      <c r="Q51" s="32"/>
    </row>
    <row r="52" ht="22.5" hidden="1" customHeight="1">
      <c r="B52" s="24" t="s">
        <v>90</v>
      </c>
      <c r="C52" s="25">
        <v>46221.0</v>
      </c>
      <c r="D52" s="26" t="s">
        <v>58</v>
      </c>
      <c r="E52" s="24" t="s">
        <v>330</v>
      </c>
      <c r="F52" s="75"/>
      <c r="G52" s="27" t="s">
        <v>537</v>
      </c>
      <c r="H52" s="27" t="s">
        <v>538</v>
      </c>
      <c r="I52" s="24" t="s">
        <v>124</v>
      </c>
      <c r="J52" s="26" t="s">
        <v>20</v>
      </c>
      <c r="K52" s="28">
        <v>95700.0</v>
      </c>
      <c r="L52" s="24" t="s">
        <v>343</v>
      </c>
      <c r="M52" s="49"/>
      <c r="N52" s="32"/>
      <c r="O52" s="49"/>
      <c r="P52" s="49"/>
      <c r="Q52" s="3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30.88"/>
    <col customWidth="1" min="9" max="9" width="20.13"/>
    <col customWidth="1" min="10" max="10" width="22.88"/>
    <col customWidth="1" min="11" max="11" width="17.0"/>
    <col customWidth="1" min="12" max="12" width="17.3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5" t="s">
        <v>90</v>
      </c>
      <c r="E3" s="7" t="s">
        <v>8</v>
      </c>
      <c r="F3" s="7" t="s">
        <v>11</v>
      </c>
      <c r="G3" s="8" t="s">
        <v>13</v>
      </c>
      <c r="H3" s="7" t="s">
        <v>16</v>
      </c>
      <c r="I3" s="7" t="s">
        <v>17</v>
      </c>
      <c r="J3" s="7" t="s">
        <v>18</v>
      </c>
      <c r="K3" s="7" t="s">
        <v>20</v>
      </c>
      <c r="L3" s="7" t="s">
        <v>21</v>
      </c>
      <c r="M3" s="7" t="s">
        <v>23</v>
      </c>
      <c r="N3" s="7" t="s">
        <v>24</v>
      </c>
    </row>
    <row r="4" ht="26.25" customHeight="1">
      <c r="D4" s="10" t="s">
        <v>26</v>
      </c>
      <c r="E4" s="11">
        <v>500000.0</v>
      </c>
      <c r="F4" s="13">
        <f>SUMIFS(OPI_12[MAF NETO],OPI_12[ESTADO],"Desembolsado")</f>
        <v>181100</v>
      </c>
      <c r="G4" s="13">
        <f>F4-E4</f>
        <v>-318900</v>
      </c>
      <c r="H4" s="15">
        <f>SUMIFS(OPI_12[MAF NETO],OPI_12[ESTADO],H$3)</f>
        <v>45100</v>
      </c>
      <c r="I4" s="15">
        <f>SUMIFS(OPI_12[MAF NETO],OPI_12[ESTADO],I$3)</f>
        <v>105900</v>
      </c>
      <c r="J4" s="15">
        <f>SUMIFS(OPI_12[MAF NETO],OPI_12[ESTADO],J$3)</f>
        <v>0</v>
      </c>
      <c r="K4" s="15">
        <f>SUMIFS(OPI_12[MAF NETO],OPI_12[ESTADO],K$3)</f>
        <v>233200</v>
      </c>
      <c r="L4" s="15">
        <f>SUMIFS(OPI_12[MAF NETO],OPI_12[ESTADO],L$3)</f>
        <v>0</v>
      </c>
      <c r="M4" s="15">
        <f>SUMIFS(OPI_12[MAF NETO],OPI_12[ESTADO],M$3)</f>
        <v>0</v>
      </c>
      <c r="N4" s="15">
        <f>SUMIFS(OPI_12[MAF NETO],OPI_12[ESTADO],N$3)</f>
        <v>0</v>
      </c>
    </row>
    <row r="5" ht="26.25" customHeight="1">
      <c r="D5" s="17" t="s">
        <v>28</v>
      </c>
      <c r="E5" s="18" t="s">
        <v>29</v>
      </c>
      <c r="F5" s="19">
        <f>COUNTIFS(OPI_12[ESTADO],"Desembolsado")</f>
        <v>2</v>
      </c>
      <c r="G5" s="20">
        <f>IFERROR(F4/E4,"")</f>
        <v>0.3622</v>
      </c>
      <c r="H5" s="19">
        <f>COUNTIFS(OPI_12[ESTADO],H$3)</f>
        <v>1</v>
      </c>
      <c r="I5" s="19">
        <f>COUNTIFS(OPI_12[ESTADO],I$3)</f>
        <v>1</v>
      </c>
      <c r="J5" s="19">
        <f>COUNTIFS(OPI_12[ESTADO],J$3)</f>
        <v>0</v>
      </c>
      <c r="K5" s="19">
        <f>COUNTIFS(OPI_12[ESTADO],K$3)</f>
        <v>3</v>
      </c>
      <c r="L5" s="19">
        <f>COUNTIFS(OPI_12[ESTADO],L$3)</f>
        <v>0</v>
      </c>
      <c r="M5" s="19">
        <f>COUNTIFS(OPI_12[ESTADO],M$3)</f>
        <v>0</v>
      </c>
      <c r="N5" s="19">
        <f>COUNTIFS(OPI_12[ESTADO],N$3)</f>
        <v>2</v>
      </c>
    </row>
    <row r="9" ht="22.5" customHeight="1">
      <c r="A9" s="21"/>
      <c r="B9" s="22" t="s">
        <v>31</v>
      </c>
      <c r="C9" s="22" t="s">
        <v>33</v>
      </c>
      <c r="D9" s="23" t="s">
        <v>34</v>
      </c>
      <c r="E9" s="22" t="s">
        <v>35</v>
      </c>
      <c r="F9" s="22" t="s">
        <v>36</v>
      </c>
      <c r="G9" s="22" t="s">
        <v>37</v>
      </c>
      <c r="H9" s="22" t="s">
        <v>38</v>
      </c>
      <c r="I9" s="22" t="s">
        <v>39</v>
      </c>
      <c r="J9" s="23" t="s">
        <v>40</v>
      </c>
      <c r="K9" s="22" t="s">
        <v>41</v>
      </c>
      <c r="L9" s="22" t="s">
        <v>42</v>
      </c>
      <c r="M9" s="23" t="s">
        <v>44</v>
      </c>
      <c r="N9" s="22" t="s">
        <v>45</v>
      </c>
      <c r="O9" s="23" t="s">
        <v>46</v>
      </c>
      <c r="P9" s="23" t="s">
        <v>47</v>
      </c>
      <c r="Q9" s="22" t="s">
        <v>48</v>
      </c>
    </row>
    <row r="10" ht="22.5" customHeight="1">
      <c r="B10" s="24" t="s">
        <v>90</v>
      </c>
      <c r="C10" s="25">
        <v>46217.0</v>
      </c>
      <c r="D10" s="26" t="s">
        <v>58</v>
      </c>
      <c r="E10" s="25">
        <v>46218.0</v>
      </c>
      <c r="F10" s="25">
        <v>46219.0</v>
      </c>
      <c r="G10" s="27" t="s">
        <v>436</v>
      </c>
      <c r="H10" s="27" t="s">
        <v>437</v>
      </c>
      <c r="I10" s="24" t="s">
        <v>64</v>
      </c>
      <c r="J10" s="26" t="s">
        <v>11</v>
      </c>
      <c r="K10" s="28">
        <v>67400.0</v>
      </c>
      <c r="L10" s="24" t="s">
        <v>438</v>
      </c>
      <c r="M10" s="26" t="s">
        <v>71</v>
      </c>
      <c r="N10" s="24" t="s">
        <v>439</v>
      </c>
      <c r="O10" s="26" t="s">
        <v>71</v>
      </c>
      <c r="P10" s="26" t="s">
        <v>71</v>
      </c>
      <c r="Q10" s="32"/>
    </row>
    <row r="11" ht="22.5" customHeight="1">
      <c r="B11" s="24" t="s">
        <v>444</v>
      </c>
      <c r="C11" s="25">
        <v>46218.0</v>
      </c>
      <c r="D11" s="26" t="s">
        <v>49</v>
      </c>
      <c r="E11" s="25"/>
      <c r="F11" s="25"/>
      <c r="G11" s="27" t="s">
        <v>445</v>
      </c>
      <c r="H11" s="27" t="s">
        <v>446</v>
      </c>
      <c r="I11" s="24" t="s">
        <v>64</v>
      </c>
      <c r="J11" s="26" t="s">
        <v>24</v>
      </c>
      <c r="K11" s="28">
        <v>0.0</v>
      </c>
      <c r="L11" s="24" t="s">
        <v>449</v>
      </c>
      <c r="M11" s="113"/>
      <c r="N11" s="37"/>
      <c r="O11" s="49"/>
      <c r="P11" s="49"/>
      <c r="Q11" s="32"/>
    </row>
    <row r="12" ht="22.5" customHeight="1">
      <c r="B12" s="24" t="s">
        <v>90</v>
      </c>
      <c r="C12" s="25">
        <v>46220.0</v>
      </c>
      <c r="D12" s="26" t="s">
        <v>49</v>
      </c>
      <c r="E12" s="25"/>
      <c r="F12" s="25"/>
      <c r="G12" s="27" t="s">
        <v>454</v>
      </c>
      <c r="H12" s="27" t="s">
        <v>455</v>
      </c>
      <c r="I12" s="24" t="s">
        <v>64</v>
      </c>
      <c r="J12" s="26" t="s">
        <v>24</v>
      </c>
      <c r="K12" s="28">
        <v>0.0</v>
      </c>
      <c r="L12" s="24" t="s">
        <v>449</v>
      </c>
      <c r="M12" s="26" t="s">
        <v>71</v>
      </c>
      <c r="N12" s="24" t="s">
        <v>456</v>
      </c>
      <c r="O12" s="26" t="s">
        <v>71</v>
      </c>
      <c r="P12" s="49"/>
      <c r="Q12" s="32"/>
    </row>
    <row r="13" ht="22.5" customHeight="1">
      <c r="B13" s="24" t="s">
        <v>90</v>
      </c>
      <c r="C13" s="25">
        <v>46225.0</v>
      </c>
      <c r="D13" s="26" t="s">
        <v>58</v>
      </c>
      <c r="E13" s="25">
        <v>46227.0</v>
      </c>
      <c r="F13" s="25">
        <v>46230.0</v>
      </c>
      <c r="G13" s="27" t="s">
        <v>461</v>
      </c>
      <c r="H13" s="27" t="s">
        <v>462</v>
      </c>
      <c r="I13" s="24" t="s">
        <v>124</v>
      </c>
      <c r="J13" s="26" t="s">
        <v>11</v>
      </c>
      <c r="K13" s="28">
        <v>113700.0</v>
      </c>
      <c r="L13" s="24" t="s">
        <v>449</v>
      </c>
      <c r="M13" s="26" t="s">
        <v>71</v>
      </c>
      <c r="N13" s="24" t="s">
        <v>466</v>
      </c>
      <c r="O13" s="26" t="s">
        <v>71</v>
      </c>
      <c r="P13" s="26" t="s">
        <v>71</v>
      </c>
      <c r="Q13" s="32"/>
    </row>
    <row r="14" ht="22.5" customHeight="1">
      <c r="B14" s="24" t="s">
        <v>6</v>
      </c>
      <c r="C14" s="25">
        <v>46225.0</v>
      </c>
      <c r="D14" s="26" t="s">
        <v>58</v>
      </c>
      <c r="E14" s="25">
        <v>46233.0</v>
      </c>
      <c r="F14" s="25"/>
      <c r="G14" s="27" t="s">
        <v>471</v>
      </c>
      <c r="H14" s="27" t="s">
        <v>472</v>
      </c>
      <c r="I14" s="24" t="s">
        <v>124</v>
      </c>
      <c r="J14" s="26" t="s">
        <v>20</v>
      </c>
      <c r="K14" s="28">
        <v>71300.0</v>
      </c>
      <c r="L14" s="24" t="s">
        <v>449</v>
      </c>
      <c r="M14" s="26" t="s">
        <v>71</v>
      </c>
      <c r="N14" s="24" t="s">
        <v>456</v>
      </c>
      <c r="O14" s="26" t="s">
        <v>71</v>
      </c>
      <c r="P14" s="26" t="s">
        <v>71</v>
      </c>
      <c r="Q14" s="32"/>
    </row>
    <row r="15" ht="22.5" customHeight="1">
      <c r="B15" s="24" t="s">
        <v>90</v>
      </c>
      <c r="C15" s="25">
        <v>46233.0</v>
      </c>
      <c r="D15" s="26" t="s">
        <v>58</v>
      </c>
      <c r="E15" s="25">
        <v>46233.0</v>
      </c>
      <c r="F15" s="25"/>
      <c r="G15" s="27" t="s">
        <v>475</v>
      </c>
      <c r="H15" s="172" t="s">
        <v>476</v>
      </c>
      <c r="I15" s="24" t="s">
        <v>64</v>
      </c>
      <c r="J15" s="26" t="s">
        <v>20</v>
      </c>
      <c r="K15" s="28">
        <v>79700.0</v>
      </c>
      <c r="L15" s="24" t="s">
        <v>438</v>
      </c>
      <c r="M15" s="26" t="s">
        <v>71</v>
      </c>
      <c r="N15" s="24" t="s">
        <v>456</v>
      </c>
      <c r="O15" s="26" t="s">
        <v>71</v>
      </c>
      <c r="P15" s="26" t="s">
        <v>71</v>
      </c>
      <c r="Q15" s="32"/>
    </row>
    <row r="16" ht="22.5" customHeight="1">
      <c r="B16" s="24" t="s">
        <v>90</v>
      </c>
      <c r="C16" s="25">
        <v>46234.0</v>
      </c>
      <c r="D16" s="26" t="s">
        <v>58</v>
      </c>
      <c r="E16" s="25">
        <v>46234.0</v>
      </c>
      <c r="F16" s="25"/>
      <c r="G16" s="27" t="s">
        <v>482</v>
      </c>
      <c r="H16" s="27" t="s">
        <v>484</v>
      </c>
      <c r="I16" s="24" t="s">
        <v>64</v>
      </c>
      <c r="J16" s="26" t="s">
        <v>20</v>
      </c>
      <c r="K16" s="28">
        <v>82200.0</v>
      </c>
      <c r="L16" s="24" t="s">
        <v>486</v>
      </c>
      <c r="M16" s="113"/>
      <c r="N16" s="32"/>
      <c r="O16" s="49"/>
      <c r="P16" s="49"/>
      <c r="Q16" s="32"/>
    </row>
    <row r="17" ht="22.5" customHeight="1">
      <c r="B17" s="24" t="s">
        <v>90</v>
      </c>
      <c r="C17" s="25">
        <v>46235.0</v>
      </c>
      <c r="D17" s="26" t="s">
        <v>58</v>
      </c>
      <c r="E17" s="25">
        <v>46238.0</v>
      </c>
      <c r="F17" s="25"/>
      <c r="G17" s="27" t="s">
        <v>491</v>
      </c>
      <c r="H17" s="27" t="s">
        <v>492</v>
      </c>
      <c r="I17" s="24" t="s">
        <v>64</v>
      </c>
      <c r="J17" s="26" t="s">
        <v>16</v>
      </c>
      <c r="K17" s="28">
        <v>45100.0</v>
      </c>
      <c r="L17" s="24" t="s">
        <v>449</v>
      </c>
      <c r="M17" s="113"/>
      <c r="N17" s="32"/>
      <c r="O17" s="49"/>
      <c r="P17" s="49"/>
      <c r="Q17" s="32"/>
    </row>
    <row r="18" ht="22.5" customHeight="1">
      <c r="B18" s="24" t="s">
        <v>168</v>
      </c>
      <c r="C18" s="25">
        <v>46238.0</v>
      </c>
      <c r="D18" s="26"/>
      <c r="E18" s="25">
        <v>46238.0</v>
      </c>
      <c r="F18" s="25"/>
      <c r="G18" s="27" t="s">
        <v>497</v>
      </c>
      <c r="H18" s="27" t="s">
        <v>499</v>
      </c>
      <c r="I18" s="24" t="s">
        <v>64</v>
      </c>
      <c r="J18" s="26" t="s">
        <v>17</v>
      </c>
      <c r="K18" s="28">
        <v>105900.0</v>
      </c>
      <c r="L18" s="24" t="s">
        <v>449</v>
      </c>
      <c r="M18" s="49"/>
      <c r="N18" s="32"/>
      <c r="O18" s="49"/>
      <c r="P18" s="49"/>
      <c r="Q18" s="32"/>
    </row>
    <row r="19" ht="22.5" customHeight="1">
      <c r="B19" s="24"/>
      <c r="C19" s="25"/>
      <c r="D19" s="26"/>
      <c r="E19" s="25"/>
      <c r="F19" s="25"/>
      <c r="G19" s="27"/>
      <c r="H19" s="27"/>
      <c r="I19" s="24"/>
      <c r="J19" s="26"/>
      <c r="K19" s="28"/>
      <c r="L19" s="24"/>
      <c r="M19" s="49"/>
      <c r="N19" s="32"/>
      <c r="O19" s="49"/>
      <c r="P19" s="49"/>
      <c r="Q19" s="32"/>
    </row>
    <row r="20" ht="22.5" customHeight="1">
      <c r="B20" s="24"/>
      <c r="C20" s="25"/>
      <c r="D20" s="26"/>
      <c r="E20" s="25"/>
      <c r="F20" s="25"/>
      <c r="G20" s="27"/>
      <c r="H20" s="27"/>
      <c r="I20" s="24"/>
      <c r="J20" s="26"/>
      <c r="K20" s="28"/>
      <c r="L20" s="24"/>
      <c r="M20" s="49"/>
      <c r="N20" s="32"/>
      <c r="O20" s="49"/>
      <c r="P20" s="49"/>
      <c r="Q20" s="32"/>
    </row>
    <row r="21" ht="22.5" customHeight="1">
      <c r="B21" s="24"/>
      <c r="C21" s="25"/>
      <c r="D21" s="26"/>
      <c r="E21" s="25"/>
      <c r="F21" s="25"/>
      <c r="G21" s="27"/>
      <c r="H21" s="27"/>
      <c r="I21" s="24"/>
      <c r="J21" s="26"/>
      <c r="K21" s="28"/>
      <c r="L21" s="24"/>
      <c r="M21" s="49"/>
      <c r="N21" s="32"/>
      <c r="O21" s="49"/>
      <c r="P21" s="49"/>
      <c r="Q21" s="32"/>
    </row>
    <row r="22" ht="22.5" customHeight="1">
      <c r="B22" s="24"/>
      <c r="C22" s="25"/>
      <c r="D22" s="26"/>
      <c r="E22" s="25"/>
      <c r="F22" s="25"/>
      <c r="G22" s="27"/>
      <c r="H22" s="27"/>
      <c r="I22" s="24"/>
      <c r="J22" s="26"/>
      <c r="K22" s="28"/>
      <c r="L22" s="24"/>
      <c r="M22" s="49"/>
      <c r="N22" s="32"/>
      <c r="O22" s="49"/>
      <c r="P22" s="49"/>
      <c r="Q22" s="24"/>
    </row>
    <row r="23" ht="22.5" customHeight="1">
      <c r="B23" s="24"/>
      <c r="C23" s="25"/>
      <c r="D23" s="26"/>
      <c r="E23" s="25"/>
      <c r="F23" s="25"/>
      <c r="G23" s="27"/>
      <c r="H23" s="27"/>
      <c r="I23" s="24"/>
      <c r="J23" s="26"/>
      <c r="K23" s="28"/>
      <c r="L23" s="24"/>
      <c r="M23" s="49"/>
      <c r="N23" s="32"/>
      <c r="O23" s="49"/>
      <c r="P23" s="49"/>
      <c r="Q23" s="32"/>
    </row>
    <row r="24" ht="22.5" customHeight="1">
      <c r="B24" s="24"/>
      <c r="C24" s="25"/>
      <c r="D24" s="26"/>
      <c r="E24" s="25"/>
      <c r="F24" s="25"/>
      <c r="G24" s="27"/>
      <c r="H24" s="27"/>
      <c r="I24" s="24"/>
      <c r="J24" s="26"/>
      <c r="K24" s="28"/>
      <c r="L24" s="24"/>
      <c r="M24" s="49"/>
      <c r="N24" s="32"/>
      <c r="O24" s="49"/>
      <c r="P24" s="49"/>
      <c r="Q24" s="32"/>
    </row>
    <row r="25" ht="22.5" customHeight="1">
      <c r="B25" s="24"/>
      <c r="C25" s="25"/>
      <c r="D25" s="26"/>
      <c r="E25" s="25"/>
      <c r="F25" s="25"/>
      <c r="G25" s="27"/>
      <c r="H25" s="27"/>
      <c r="I25" s="24"/>
      <c r="J25" s="26"/>
      <c r="K25" s="28"/>
      <c r="L25" s="24"/>
      <c r="M25" s="49"/>
      <c r="N25" s="32"/>
      <c r="O25" s="49"/>
      <c r="P25" s="49"/>
      <c r="Q25" s="32"/>
    </row>
    <row r="26" ht="22.5" customHeight="1">
      <c r="B26" s="24"/>
      <c r="C26" s="25"/>
      <c r="D26" s="26"/>
      <c r="E26" s="25"/>
      <c r="F26" s="25"/>
      <c r="G26" s="27"/>
      <c r="H26" s="27"/>
      <c r="I26" s="24"/>
      <c r="J26" s="26"/>
      <c r="K26" s="28"/>
      <c r="L26" s="24"/>
      <c r="M26" s="49"/>
      <c r="N26" s="32"/>
      <c r="O26" s="49"/>
      <c r="P26" s="49"/>
      <c r="Q26" s="32"/>
    </row>
    <row r="27" ht="22.5" customHeight="1">
      <c r="B27" s="24"/>
      <c r="C27" s="25"/>
      <c r="D27" s="26"/>
      <c r="E27" s="25"/>
      <c r="F27" s="25"/>
      <c r="G27" s="27"/>
      <c r="H27" s="27"/>
      <c r="I27" s="24"/>
      <c r="J27" s="26"/>
      <c r="K27" s="28"/>
      <c r="L27" s="24"/>
      <c r="M27" s="49"/>
      <c r="N27" s="32"/>
      <c r="O27" s="49"/>
      <c r="P27" s="49"/>
      <c r="Q27" s="32"/>
    </row>
    <row r="28" ht="22.5" customHeight="1">
      <c r="B28" s="24"/>
      <c r="C28" s="25"/>
      <c r="D28" s="26"/>
      <c r="E28" s="25"/>
      <c r="F28" s="25"/>
      <c r="G28" s="27"/>
      <c r="H28" s="27"/>
      <c r="I28" s="24"/>
      <c r="J28" s="26"/>
      <c r="K28" s="28"/>
      <c r="L28" s="24"/>
      <c r="M28" s="49"/>
      <c r="N28" s="32"/>
      <c r="O28" s="49"/>
      <c r="P28" s="49"/>
      <c r="Q28" s="32"/>
    </row>
    <row r="29" ht="22.5" customHeight="1">
      <c r="B29" s="24"/>
      <c r="C29" s="25"/>
      <c r="D29" s="26"/>
      <c r="E29" s="25"/>
      <c r="F29" s="24"/>
      <c r="G29" s="27"/>
      <c r="H29" s="27"/>
      <c r="I29" s="24"/>
      <c r="J29" s="26"/>
      <c r="K29" s="28"/>
      <c r="L29" s="24"/>
      <c r="M29" s="49"/>
      <c r="N29" s="32"/>
      <c r="O29" s="49"/>
      <c r="P29" s="49"/>
      <c r="Q29" s="24"/>
    </row>
    <row r="30" ht="22.5" customHeight="1">
      <c r="B30" s="24"/>
      <c r="C30" s="25"/>
      <c r="D30" s="26"/>
      <c r="E30" s="25"/>
      <c r="F30" s="24"/>
      <c r="G30" s="27"/>
      <c r="H30" s="27"/>
      <c r="I30" s="24"/>
      <c r="J30" s="26"/>
      <c r="K30" s="28"/>
      <c r="L30" s="24"/>
      <c r="M30" s="49"/>
      <c r="N30" s="32"/>
      <c r="O30" s="49"/>
      <c r="P30" s="49"/>
      <c r="Q30" s="32"/>
    </row>
    <row r="31" ht="22.5" customHeight="1">
      <c r="B31" s="24"/>
      <c r="C31" s="25"/>
      <c r="D31" s="26"/>
      <c r="E31" s="25"/>
      <c r="F31" s="24"/>
      <c r="G31" s="27"/>
      <c r="H31" s="27"/>
      <c r="I31" s="24"/>
      <c r="J31" s="26"/>
      <c r="K31" s="28"/>
      <c r="L31" s="24"/>
      <c r="M31" s="49"/>
      <c r="N31" s="32"/>
      <c r="O31" s="49"/>
      <c r="P31" s="49"/>
      <c r="Q31" s="24"/>
    </row>
    <row r="32" ht="22.5" customHeight="1">
      <c r="B32" s="24"/>
      <c r="C32" s="25"/>
      <c r="D32" s="26"/>
      <c r="E32" s="25"/>
      <c r="F32" s="25"/>
      <c r="G32" s="27"/>
      <c r="H32" s="27"/>
      <c r="I32" s="24"/>
      <c r="J32" s="26"/>
      <c r="K32" s="28"/>
      <c r="L32" s="24"/>
      <c r="M32" s="49"/>
      <c r="N32" s="32"/>
      <c r="O32" s="49"/>
      <c r="P32" s="49"/>
      <c r="Q32" s="32"/>
    </row>
    <row r="33" ht="22.5" customHeight="1">
      <c r="B33" s="24"/>
      <c r="C33" s="25"/>
      <c r="D33" s="26"/>
      <c r="E33" s="75"/>
      <c r="F33" s="25"/>
      <c r="G33" s="27"/>
      <c r="H33" s="27"/>
      <c r="I33" s="24"/>
      <c r="J33" s="26"/>
      <c r="K33" s="28"/>
      <c r="L33" s="24"/>
      <c r="M33" s="49"/>
      <c r="N33" s="32"/>
      <c r="O33" s="49"/>
      <c r="P33" s="49"/>
      <c r="Q33" s="32"/>
    </row>
    <row r="34" ht="22.5" customHeight="1">
      <c r="B34" s="24"/>
      <c r="C34" s="25"/>
      <c r="D34" s="26"/>
      <c r="E34" s="75"/>
      <c r="F34" s="25"/>
      <c r="G34" s="27"/>
      <c r="H34" s="27"/>
      <c r="I34" s="24"/>
      <c r="J34" s="26"/>
      <c r="K34" s="28"/>
      <c r="L34" s="24"/>
      <c r="M34" s="49"/>
      <c r="N34" s="32"/>
      <c r="O34" s="49"/>
      <c r="P34" s="49"/>
      <c r="Q34" s="32"/>
    </row>
    <row r="35" ht="22.5" customHeight="1">
      <c r="B35" s="24"/>
      <c r="C35" s="25"/>
      <c r="D35" s="26"/>
      <c r="E35" s="75"/>
      <c r="F35" s="25"/>
      <c r="G35" s="27"/>
      <c r="H35" s="27"/>
      <c r="I35" s="24"/>
      <c r="J35" s="26"/>
      <c r="K35" s="28"/>
      <c r="L35" s="24"/>
      <c r="M35" s="49"/>
      <c r="N35" s="32"/>
      <c r="O35" s="49"/>
      <c r="P35" s="49"/>
      <c r="Q35" s="32"/>
    </row>
    <row r="36" ht="22.5" customHeight="1">
      <c r="B36" s="32"/>
      <c r="C36" s="75"/>
      <c r="D36" s="113"/>
      <c r="E36" s="75"/>
      <c r="F36" s="75"/>
      <c r="G36" s="114"/>
      <c r="H36" s="114"/>
      <c r="I36" s="32"/>
      <c r="J36" s="49"/>
      <c r="K36" s="115"/>
      <c r="L36" s="32"/>
      <c r="M36" s="49"/>
      <c r="N36" s="32"/>
      <c r="O36" s="49"/>
      <c r="P36" s="49"/>
      <c r="Q36" s="32"/>
    </row>
    <row r="37" ht="22.5" customHeight="1">
      <c r="B37" s="32"/>
      <c r="C37" s="75"/>
      <c r="D37" s="113"/>
      <c r="E37" s="75"/>
      <c r="F37" s="75"/>
      <c r="G37" s="114"/>
      <c r="H37" s="114"/>
      <c r="I37" s="32"/>
      <c r="J37" s="49"/>
      <c r="K37" s="115"/>
      <c r="L37" s="32"/>
      <c r="M37" s="49"/>
      <c r="N37" s="32"/>
      <c r="O37" s="49"/>
      <c r="P37" s="49"/>
      <c r="Q37" s="32"/>
    </row>
    <row r="38" ht="22.5" customHeight="1">
      <c r="B38" s="32"/>
      <c r="C38" s="75"/>
      <c r="D38" s="113"/>
      <c r="E38" s="75"/>
      <c r="F38" s="75"/>
      <c r="G38" s="114"/>
      <c r="H38" s="114"/>
      <c r="I38" s="32"/>
      <c r="J38" s="49"/>
      <c r="K38" s="115"/>
      <c r="L38" s="32"/>
      <c r="M38" s="49"/>
      <c r="N38" s="32"/>
      <c r="O38" s="49"/>
      <c r="P38" s="49"/>
      <c r="Q38" s="32"/>
    </row>
    <row r="39" ht="22.5" customHeight="1">
      <c r="B39" s="32"/>
      <c r="C39" s="75"/>
      <c r="D39" s="113"/>
      <c r="E39" s="75"/>
      <c r="F39" s="75"/>
      <c r="G39" s="114"/>
      <c r="H39" s="114"/>
      <c r="I39" s="32"/>
      <c r="J39" s="49"/>
      <c r="K39" s="115"/>
      <c r="L39" s="32"/>
      <c r="M39" s="49"/>
      <c r="N39" s="32"/>
      <c r="O39" s="49"/>
      <c r="P39" s="49"/>
      <c r="Q39" s="32"/>
    </row>
    <row r="40" ht="22.5" customHeight="1">
      <c r="B40" s="32"/>
      <c r="C40" s="75"/>
      <c r="D40" s="113"/>
      <c r="E40" s="75"/>
      <c r="F40" s="75"/>
      <c r="G40" s="114"/>
      <c r="H40" s="114"/>
      <c r="I40" s="32"/>
      <c r="J40" s="49"/>
      <c r="K40" s="115"/>
      <c r="L40" s="32"/>
      <c r="M40" s="49"/>
      <c r="N40" s="32"/>
      <c r="O40" s="49"/>
      <c r="P40" s="49"/>
      <c r="Q40" s="32"/>
    </row>
    <row r="41" ht="22.5" customHeight="1">
      <c r="B41" s="32"/>
      <c r="C41" s="75"/>
      <c r="D41" s="113"/>
      <c r="E41" s="75"/>
      <c r="F41" s="75"/>
      <c r="G41" s="114"/>
      <c r="H41" s="114"/>
      <c r="I41" s="32"/>
      <c r="J41" s="49"/>
      <c r="K41" s="115"/>
      <c r="L41" s="32"/>
      <c r="M41" s="49"/>
      <c r="N41" s="32"/>
      <c r="O41" s="49"/>
      <c r="P41" s="49"/>
      <c r="Q41" s="32"/>
    </row>
    <row r="42" ht="22.5" customHeight="1">
      <c r="B42" s="32"/>
      <c r="C42" s="75"/>
      <c r="D42" s="113"/>
      <c r="E42" s="75"/>
      <c r="F42" s="75"/>
      <c r="G42" s="114"/>
      <c r="H42" s="114"/>
      <c r="I42" s="32"/>
      <c r="J42" s="49"/>
      <c r="K42" s="115"/>
      <c r="L42" s="32"/>
      <c r="M42" s="49"/>
      <c r="N42" s="32"/>
      <c r="O42" s="49"/>
      <c r="P42" s="49"/>
      <c r="Q42" s="32"/>
    </row>
    <row r="43" ht="22.5" customHeight="1">
      <c r="B43" s="32"/>
      <c r="C43" s="75"/>
      <c r="D43" s="113"/>
      <c r="E43" s="75"/>
      <c r="F43" s="75"/>
      <c r="G43" s="114"/>
      <c r="H43" s="114"/>
      <c r="I43" s="32"/>
      <c r="J43" s="49"/>
      <c r="K43" s="115"/>
      <c r="L43" s="32"/>
      <c r="M43" s="49"/>
      <c r="N43" s="32"/>
      <c r="O43" s="49"/>
      <c r="P43" s="49"/>
      <c r="Q43" s="32"/>
    </row>
    <row r="44" ht="22.5" customHeight="1">
      <c r="B44" s="32"/>
      <c r="C44" s="75"/>
      <c r="D44" s="113"/>
      <c r="E44" s="75"/>
      <c r="F44" s="75"/>
      <c r="G44" s="27"/>
      <c r="H44" s="27"/>
      <c r="I44" s="24"/>
      <c r="J44" s="26"/>
      <c r="K44" s="28"/>
      <c r="L44" s="24"/>
      <c r="M44" s="49"/>
      <c r="N44" s="32"/>
      <c r="O44" s="49"/>
      <c r="P44" s="49"/>
      <c r="Q44" s="32"/>
    </row>
    <row r="45" ht="22.5" customHeight="1">
      <c r="B45" s="32"/>
      <c r="C45" s="75"/>
      <c r="D45" s="113"/>
      <c r="E45" s="75"/>
      <c r="F45" s="75"/>
      <c r="G45" s="114"/>
      <c r="H45" s="114"/>
      <c r="I45" s="32"/>
      <c r="J45" s="49"/>
      <c r="K45" s="115"/>
      <c r="L45" s="32"/>
      <c r="M45" s="49"/>
      <c r="N45" s="32"/>
      <c r="O45" s="49"/>
      <c r="P45" s="49"/>
      <c r="Q45" s="32"/>
    </row>
    <row r="46" ht="22.5" customHeight="1">
      <c r="B46" s="32"/>
      <c r="C46" s="75"/>
      <c r="D46" s="113"/>
      <c r="E46" s="75"/>
      <c r="F46" s="75"/>
      <c r="G46" s="114"/>
      <c r="H46" s="114"/>
      <c r="I46" s="32"/>
      <c r="J46" s="49"/>
      <c r="K46" s="115"/>
      <c r="L46" s="32"/>
      <c r="M46" s="49"/>
      <c r="N46" s="32"/>
      <c r="O46" s="49"/>
      <c r="P46" s="49"/>
      <c r="Q46" s="32"/>
    </row>
    <row r="47" ht="22.5" customHeight="1">
      <c r="B47" s="32"/>
      <c r="C47" s="75"/>
      <c r="D47" s="113"/>
      <c r="E47" s="75"/>
      <c r="F47" s="75"/>
      <c r="G47" s="114"/>
      <c r="H47" s="114"/>
      <c r="I47" s="32"/>
      <c r="J47" s="49"/>
      <c r="K47" s="115"/>
      <c r="L47" s="32"/>
      <c r="M47" s="49"/>
      <c r="N47" s="32"/>
      <c r="O47" s="49"/>
      <c r="P47" s="49"/>
      <c r="Q47" s="32"/>
    </row>
    <row r="48" ht="22.5" customHeight="1">
      <c r="B48" s="32"/>
      <c r="C48" s="75"/>
      <c r="D48" s="113"/>
      <c r="E48" s="75"/>
      <c r="F48" s="75"/>
      <c r="G48" s="114"/>
      <c r="H48" s="114"/>
      <c r="I48" s="32"/>
      <c r="J48" s="49"/>
      <c r="K48" s="115"/>
      <c r="L48" s="32"/>
      <c r="M48" s="49"/>
      <c r="N48" s="32"/>
      <c r="O48" s="49"/>
      <c r="P48" s="49"/>
      <c r="Q48" s="32"/>
    </row>
    <row r="49" ht="22.5" customHeight="1">
      <c r="B49" s="32"/>
      <c r="C49" s="75"/>
      <c r="D49" s="113"/>
      <c r="E49" s="75"/>
      <c r="F49" s="75"/>
      <c r="G49" s="114"/>
      <c r="H49" s="114"/>
      <c r="I49" s="32"/>
      <c r="J49" s="49"/>
      <c r="K49" s="115"/>
      <c r="L49" s="32"/>
      <c r="M49" s="49"/>
      <c r="N49" s="32"/>
      <c r="O49" s="49"/>
      <c r="P49" s="49"/>
      <c r="Q49" s="32"/>
    </row>
    <row r="50" ht="22.5" customHeight="1">
      <c r="B50" s="32"/>
      <c r="C50" s="75"/>
      <c r="D50" s="113"/>
      <c r="E50" s="75"/>
      <c r="F50" s="75"/>
      <c r="G50" s="114"/>
      <c r="H50" s="114"/>
      <c r="I50" s="32"/>
      <c r="J50" s="49"/>
      <c r="K50" s="115"/>
      <c r="L50" s="32"/>
      <c r="M50" s="49"/>
      <c r="N50" s="32"/>
      <c r="O50" s="49"/>
      <c r="P50" s="49"/>
      <c r="Q50" s="32"/>
    </row>
    <row r="51" ht="22.5" customHeight="1">
      <c r="B51" s="32"/>
      <c r="C51" s="75"/>
      <c r="D51" s="113"/>
      <c r="E51" s="75"/>
      <c r="F51" s="75"/>
      <c r="G51" s="114"/>
      <c r="H51" s="114"/>
      <c r="I51" s="32"/>
      <c r="J51" s="49"/>
      <c r="K51" s="115"/>
      <c r="L51" s="32"/>
      <c r="M51" s="49"/>
      <c r="N51" s="32"/>
      <c r="O51" s="49"/>
      <c r="P51" s="49"/>
      <c r="Q51" s="32"/>
    </row>
    <row r="52" ht="22.5" customHeight="1">
      <c r="B52" s="32"/>
      <c r="C52" s="75"/>
      <c r="D52" s="113"/>
      <c r="E52" s="75"/>
      <c r="F52" s="75"/>
      <c r="G52" s="114"/>
      <c r="H52" s="114"/>
      <c r="I52" s="32"/>
      <c r="J52" s="49"/>
      <c r="K52" s="115"/>
      <c r="L52" s="32"/>
      <c r="M52" s="49"/>
      <c r="N52" s="32"/>
      <c r="O52" s="49"/>
      <c r="P52" s="49"/>
      <c r="Q52" s="3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24.75"/>
    <col customWidth="1" min="9" max="9" width="19.25"/>
    <col customWidth="1" min="10" max="10" width="22.88"/>
    <col customWidth="1" min="11" max="11" width="17.0"/>
    <col customWidth="1" min="12" max="12" width="17.3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5" t="s">
        <v>163</v>
      </c>
      <c r="E3" s="7" t="s">
        <v>8</v>
      </c>
      <c r="F3" s="7" t="s">
        <v>11</v>
      </c>
      <c r="G3" s="8" t="s">
        <v>13</v>
      </c>
      <c r="H3" s="7" t="s">
        <v>16</v>
      </c>
      <c r="I3" s="7" t="s">
        <v>17</v>
      </c>
      <c r="J3" s="7" t="s">
        <v>18</v>
      </c>
      <c r="K3" s="7" t="s">
        <v>20</v>
      </c>
      <c r="L3" s="7" t="s">
        <v>21</v>
      </c>
      <c r="M3" s="7" t="s">
        <v>23</v>
      </c>
      <c r="N3" s="7" t="s">
        <v>24</v>
      </c>
    </row>
    <row r="4" ht="26.25" customHeight="1">
      <c r="D4" s="10" t="s">
        <v>26</v>
      </c>
      <c r="E4" s="11">
        <v>800000.0</v>
      </c>
      <c r="F4" s="13">
        <f>SUMIFS(OPI_4[MAF NETO],OPI_4[ESTADO],"Desembolsado")</f>
        <v>331600</v>
      </c>
      <c r="G4" s="13">
        <f>F4-E4</f>
        <v>-468400</v>
      </c>
      <c r="H4" s="15">
        <f>SUMIFS(OPI_4[MAF NETO],OPI_4[ESTADO],H$3)</f>
        <v>0</v>
      </c>
      <c r="I4" s="15">
        <f>SUMIFS(OPI_4[MAF NETO],OPI_4[ESTADO],I$3)</f>
        <v>0</v>
      </c>
      <c r="J4" s="15">
        <f>SUMIFS(OPI_4[MAF NETO],OPI_4[ESTADO],J$3)</f>
        <v>0</v>
      </c>
      <c r="K4" s="15">
        <f>SUMIFS(OPI_4[MAF NETO],OPI_4[ESTADO],K$3)</f>
        <v>73000</v>
      </c>
      <c r="L4" s="15">
        <f>SUMIFS(OPI_4[MAF NETO],OPI_4[ESTADO],L$3)</f>
        <v>0</v>
      </c>
      <c r="M4" s="15">
        <f>SUMIFS(OPI_4[MAF NETO],OPI_4[ESTADO],M$3)</f>
        <v>0</v>
      </c>
      <c r="N4" s="15">
        <f>SUMIFS(OPI_4[MAF NETO],OPI_4[ESTADO],N$3)</f>
        <v>0</v>
      </c>
    </row>
    <row r="5" ht="26.25" customHeight="1">
      <c r="D5" s="17" t="s">
        <v>28</v>
      </c>
      <c r="E5" s="18" t="s">
        <v>29</v>
      </c>
      <c r="F5" s="19">
        <f>COUNTIFS(OPI_4[ESTADO],"Desembolsado")</f>
        <v>6</v>
      </c>
      <c r="G5" s="20">
        <f>IFERROR(F4/E4,"")</f>
        <v>0.4145</v>
      </c>
      <c r="H5" s="19">
        <f>COUNTIFS(OPI_4[ESTADO],H$3)</f>
        <v>0</v>
      </c>
      <c r="I5" s="19">
        <f>COUNTIFS(OPI_4[ESTADO],I$3)</f>
        <v>0</v>
      </c>
      <c r="J5" s="19">
        <f>COUNTIFS(OPI_4[ESTADO],J$3)</f>
        <v>0</v>
      </c>
      <c r="K5" s="19">
        <f>COUNTIFS(OPI_4[ESTADO],K$3)</f>
        <v>1</v>
      </c>
      <c r="L5" s="19">
        <f>COUNTIFS(OPI_4[ESTADO],L$3)</f>
        <v>0</v>
      </c>
      <c r="M5" s="19">
        <f>COUNTIFS(OPI_4[ESTADO],M$3)</f>
        <v>0</v>
      </c>
      <c r="N5" s="19">
        <f>COUNTIFS(OPI_4[ESTADO],N$3)</f>
        <v>2</v>
      </c>
    </row>
    <row r="9" ht="22.5" customHeight="1">
      <c r="A9" s="21"/>
      <c r="B9" s="22" t="s">
        <v>31</v>
      </c>
      <c r="C9" s="22" t="s">
        <v>33</v>
      </c>
      <c r="D9" s="23" t="s">
        <v>34</v>
      </c>
      <c r="E9" s="22" t="s">
        <v>35</v>
      </c>
      <c r="F9" s="22" t="s">
        <v>36</v>
      </c>
      <c r="G9" s="22" t="s">
        <v>37</v>
      </c>
      <c r="H9" s="22" t="s">
        <v>38</v>
      </c>
      <c r="I9" s="22" t="s">
        <v>39</v>
      </c>
      <c r="J9" s="23" t="s">
        <v>40</v>
      </c>
      <c r="K9" s="22" t="s">
        <v>41</v>
      </c>
      <c r="L9" s="22" t="s">
        <v>42</v>
      </c>
      <c r="M9" s="23" t="s">
        <v>44</v>
      </c>
      <c r="N9" s="22" t="s">
        <v>45</v>
      </c>
      <c r="O9" s="23" t="s">
        <v>46</v>
      </c>
      <c r="P9" s="23" t="s">
        <v>47</v>
      </c>
      <c r="Q9" s="22" t="s">
        <v>48</v>
      </c>
    </row>
    <row r="10" ht="22.5" customHeight="1">
      <c r="B10" s="24" t="s">
        <v>163</v>
      </c>
      <c r="C10" s="25">
        <v>46195.0</v>
      </c>
      <c r="D10" s="26" t="s">
        <v>58</v>
      </c>
      <c r="E10" s="25">
        <v>46205.0</v>
      </c>
      <c r="F10" s="25"/>
      <c r="G10" s="27" t="s">
        <v>479</v>
      </c>
      <c r="H10" s="27" t="s">
        <v>480</v>
      </c>
      <c r="I10" s="24" t="s">
        <v>64</v>
      </c>
      <c r="J10" s="26" t="s">
        <v>11</v>
      </c>
      <c r="K10" s="28">
        <v>49450.0</v>
      </c>
      <c r="L10" s="24" t="s">
        <v>481</v>
      </c>
      <c r="M10" s="113"/>
      <c r="N10" s="24"/>
      <c r="O10" s="26"/>
      <c r="P10" s="49"/>
      <c r="Q10" s="32"/>
    </row>
    <row r="11" ht="22.5" customHeight="1">
      <c r="B11" s="24" t="s">
        <v>163</v>
      </c>
      <c r="C11" s="25">
        <v>46212.0</v>
      </c>
      <c r="D11" s="26" t="s">
        <v>58</v>
      </c>
      <c r="E11" s="25"/>
      <c r="F11" s="25"/>
      <c r="G11" s="27" t="s">
        <v>489</v>
      </c>
      <c r="H11" s="27" t="s">
        <v>490</v>
      </c>
      <c r="I11" s="24" t="s">
        <v>64</v>
      </c>
      <c r="J11" s="26" t="s">
        <v>11</v>
      </c>
      <c r="K11" s="28">
        <v>67300.0</v>
      </c>
      <c r="L11" s="24" t="s">
        <v>481</v>
      </c>
      <c r="M11" s="49"/>
      <c r="N11" s="32"/>
      <c r="O11" s="26"/>
      <c r="P11" s="49"/>
      <c r="Q11" s="32"/>
    </row>
    <row r="12" ht="22.5" customHeight="1">
      <c r="B12" s="24" t="s">
        <v>163</v>
      </c>
      <c r="C12" s="25">
        <v>46226.0</v>
      </c>
      <c r="D12" s="26" t="s">
        <v>49</v>
      </c>
      <c r="E12" s="25"/>
      <c r="F12" s="25"/>
      <c r="G12" s="27" t="s">
        <v>495</v>
      </c>
      <c r="H12" s="27" t="s">
        <v>496</v>
      </c>
      <c r="I12" s="24" t="s">
        <v>64</v>
      </c>
      <c r="J12" s="26" t="s">
        <v>24</v>
      </c>
      <c r="K12" s="28">
        <v>0.0</v>
      </c>
      <c r="L12" s="24" t="s">
        <v>498</v>
      </c>
      <c r="M12" s="49"/>
      <c r="N12" s="32"/>
      <c r="O12" s="26"/>
      <c r="P12" s="49"/>
      <c r="Q12" s="24" t="s">
        <v>502</v>
      </c>
    </row>
    <row r="13" ht="22.5" customHeight="1">
      <c r="B13" s="24" t="s">
        <v>163</v>
      </c>
      <c r="C13" s="25">
        <v>46211.0</v>
      </c>
      <c r="D13" s="26" t="s">
        <v>58</v>
      </c>
      <c r="E13" s="25">
        <v>46211.0</v>
      </c>
      <c r="F13" s="24"/>
      <c r="G13" s="27" t="s">
        <v>503</v>
      </c>
      <c r="H13" s="27" t="s">
        <v>504</v>
      </c>
      <c r="I13" s="24" t="s">
        <v>64</v>
      </c>
      <c r="J13" s="26" t="s">
        <v>11</v>
      </c>
      <c r="K13" s="28">
        <v>39550.0</v>
      </c>
      <c r="L13" s="24" t="s">
        <v>498</v>
      </c>
      <c r="M13" s="49"/>
      <c r="N13" s="32"/>
      <c r="O13" s="26"/>
      <c r="P13" s="49"/>
      <c r="Q13" s="24"/>
    </row>
    <row r="14" ht="22.5" customHeight="1">
      <c r="B14" s="24" t="s">
        <v>163</v>
      </c>
      <c r="C14" s="25">
        <v>46217.0</v>
      </c>
      <c r="D14" s="26" t="s">
        <v>58</v>
      </c>
      <c r="E14" s="25">
        <v>46219.0</v>
      </c>
      <c r="F14" s="25"/>
      <c r="G14" s="27" t="s">
        <v>509</v>
      </c>
      <c r="H14" s="27" t="s">
        <v>510</v>
      </c>
      <c r="I14" s="24" t="s">
        <v>64</v>
      </c>
      <c r="J14" s="26" t="s">
        <v>11</v>
      </c>
      <c r="K14" s="28">
        <v>46500.0</v>
      </c>
      <c r="L14" s="24" t="s">
        <v>481</v>
      </c>
      <c r="M14" s="49"/>
      <c r="N14" s="32"/>
      <c r="O14" s="26"/>
      <c r="P14" s="49"/>
      <c r="Q14" s="32"/>
    </row>
    <row r="15" ht="22.5" customHeight="1">
      <c r="B15" s="24" t="s">
        <v>163</v>
      </c>
      <c r="C15" s="25">
        <v>46226.0</v>
      </c>
      <c r="D15" s="26" t="s">
        <v>58</v>
      </c>
      <c r="E15" s="25"/>
      <c r="F15" s="25"/>
      <c r="G15" s="27" t="s">
        <v>513</v>
      </c>
      <c r="H15" s="27" t="s">
        <v>514</v>
      </c>
      <c r="I15" s="24" t="s">
        <v>64</v>
      </c>
      <c r="J15" s="26" t="s">
        <v>11</v>
      </c>
      <c r="K15" s="28">
        <v>48000.0</v>
      </c>
      <c r="L15" s="24" t="s">
        <v>481</v>
      </c>
      <c r="M15" s="49"/>
      <c r="N15" s="32"/>
      <c r="O15" s="26"/>
      <c r="P15" s="49"/>
      <c r="Q15" s="32"/>
    </row>
    <row r="16" ht="22.5" customHeight="1">
      <c r="B16" s="24" t="s">
        <v>163</v>
      </c>
      <c r="C16" s="25">
        <v>46227.0</v>
      </c>
      <c r="D16" s="26" t="s">
        <v>58</v>
      </c>
      <c r="E16" s="75"/>
      <c r="F16" s="75"/>
      <c r="G16" s="27" t="s">
        <v>518</v>
      </c>
      <c r="H16" s="27" t="s">
        <v>519</v>
      </c>
      <c r="I16" s="24" t="s">
        <v>64</v>
      </c>
      <c r="J16" s="26" t="s">
        <v>24</v>
      </c>
      <c r="K16" s="28">
        <v>0.0</v>
      </c>
      <c r="L16" s="24" t="s">
        <v>481</v>
      </c>
      <c r="M16" s="49"/>
      <c r="N16" s="32"/>
      <c r="O16" s="49"/>
      <c r="P16" s="49"/>
      <c r="Q16" s="32"/>
    </row>
    <row r="17" ht="22.5" customHeight="1">
      <c r="B17" s="24" t="s">
        <v>163</v>
      </c>
      <c r="C17" s="25">
        <v>46231.0</v>
      </c>
      <c r="D17" s="26" t="s">
        <v>58</v>
      </c>
      <c r="E17" s="75"/>
      <c r="F17" s="75"/>
      <c r="G17" s="27" t="s">
        <v>522</v>
      </c>
      <c r="H17" s="27" t="s">
        <v>523</v>
      </c>
      <c r="I17" s="24" t="s">
        <v>64</v>
      </c>
      <c r="J17" s="26" t="s">
        <v>11</v>
      </c>
      <c r="K17" s="28">
        <v>80800.0</v>
      </c>
      <c r="L17" s="24" t="s">
        <v>481</v>
      </c>
      <c r="M17" s="49"/>
      <c r="N17" s="32"/>
      <c r="O17" s="49"/>
      <c r="P17" s="49"/>
      <c r="Q17" s="32"/>
    </row>
    <row r="18" ht="22.5" customHeight="1">
      <c r="B18" s="24" t="s">
        <v>163</v>
      </c>
      <c r="C18" s="25">
        <v>46231.0</v>
      </c>
      <c r="D18" s="26" t="s">
        <v>58</v>
      </c>
      <c r="E18" s="75"/>
      <c r="F18" s="75"/>
      <c r="G18" s="27" t="s">
        <v>528</v>
      </c>
      <c r="H18" s="27" t="s">
        <v>529</v>
      </c>
      <c r="I18" s="24" t="s">
        <v>64</v>
      </c>
      <c r="J18" s="26" t="s">
        <v>20</v>
      </c>
      <c r="K18" s="28">
        <v>73000.0</v>
      </c>
      <c r="L18" s="24" t="s">
        <v>481</v>
      </c>
      <c r="M18" s="49"/>
      <c r="N18" s="32"/>
      <c r="O18" s="49"/>
      <c r="P18" s="49"/>
      <c r="Q18" s="32"/>
    </row>
    <row r="19" ht="22.5" customHeight="1">
      <c r="B19" s="32"/>
      <c r="C19" s="75"/>
      <c r="D19" s="113"/>
      <c r="E19" s="75"/>
      <c r="F19" s="75"/>
      <c r="G19" s="114"/>
      <c r="H19" s="114"/>
      <c r="I19" s="32"/>
      <c r="J19" s="49"/>
      <c r="K19" s="115"/>
      <c r="L19" s="32"/>
      <c r="M19" s="49"/>
      <c r="N19" s="32"/>
      <c r="O19" s="49"/>
      <c r="P19" s="49"/>
      <c r="Q19" s="32"/>
    </row>
    <row r="20" ht="22.5" customHeight="1">
      <c r="B20" s="32"/>
      <c r="C20" s="75"/>
      <c r="D20" s="113"/>
      <c r="E20" s="75"/>
      <c r="F20" s="75"/>
      <c r="G20" s="114"/>
      <c r="H20" s="114"/>
      <c r="I20" s="32"/>
      <c r="J20" s="49"/>
      <c r="K20" s="115"/>
      <c r="L20" s="32"/>
      <c r="M20" s="49"/>
      <c r="N20" s="32"/>
      <c r="O20" s="49"/>
      <c r="P20" s="49"/>
      <c r="Q20" s="32"/>
    </row>
    <row r="21" ht="22.5" customHeight="1">
      <c r="B21" s="32"/>
      <c r="C21" s="75"/>
      <c r="D21" s="113"/>
      <c r="E21" s="75"/>
      <c r="F21" s="75"/>
      <c r="G21" s="114"/>
      <c r="H21" s="114"/>
      <c r="I21" s="32"/>
      <c r="J21" s="49"/>
      <c r="K21" s="115"/>
      <c r="L21" s="32"/>
      <c r="M21" s="49"/>
      <c r="N21" s="32"/>
      <c r="O21" s="49"/>
      <c r="P21" s="49"/>
      <c r="Q21" s="32"/>
    </row>
    <row r="22" ht="22.5" customHeight="1">
      <c r="B22" s="32"/>
      <c r="C22" s="75"/>
      <c r="D22" s="113"/>
      <c r="E22" s="75"/>
      <c r="F22" s="75"/>
      <c r="G22" s="114"/>
      <c r="H22" s="114"/>
      <c r="I22" s="32"/>
      <c r="J22" s="49"/>
      <c r="K22" s="115"/>
      <c r="L22" s="32"/>
      <c r="M22" s="49"/>
      <c r="N22" s="32"/>
      <c r="O22" s="49"/>
      <c r="P22" s="49"/>
      <c r="Q22" s="32"/>
    </row>
    <row r="23" ht="22.5" customHeight="1">
      <c r="B23" s="32"/>
      <c r="C23" s="75"/>
      <c r="D23" s="113"/>
      <c r="E23" s="75"/>
      <c r="F23" s="75"/>
      <c r="G23" s="114"/>
      <c r="H23" s="114"/>
      <c r="I23" s="32"/>
      <c r="J23" s="49"/>
      <c r="K23" s="115"/>
      <c r="L23" s="32"/>
      <c r="M23" s="49"/>
      <c r="N23" s="32"/>
      <c r="O23" s="49"/>
      <c r="P23" s="49"/>
      <c r="Q23" s="32"/>
    </row>
    <row r="24" ht="22.5" customHeight="1">
      <c r="B24" s="32"/>
      <c r="C24" s="75"/>
      <c r="D24" s="113"/>
      <c r="E24" s="75"/>
      <c r="F24" s="75"/>
      <c r="G24" s="114"/>
      <c r="H24" s="114"/>
      <c r="I24" s="32"/>
      <c r="J24" s="49"/>
      <c r="K24" s="115"/>
      <c r="L24" s="32"/>
      <c r="M24" s="49"/>
      <c r="N24" s="32"/>
      <c r="O24" s="49"/>
      <c r="P24" s="49"/>
      <c r="Q24" s="32"/>
    </row>
    <row r="25" ht="22.5" customHeight="1">
      <c r="B25" s="32"/>
      <c r="C25" s="75"/>
      <c r="D25" s="113"/>
      <c r="E25" s="75"/>
      <c r="F25" s="75"/>
      <c r="G25" s="114"/>
      <c r="H25" s="114"/>
      <c r="I25" s="32"/>
      <c r="J25" s="49"/>
      <c r="K25" s="115"/>
      <c r="L25" s="32"/>
      <c r="M25" s="49"/>
      <c r="N25" s="32"/>
      <c r="O25" s="49"/>
      <c r="P25" s="49"/>
      <c r="Q25" s="32"/>
    </row>
    <row r="26" ht="22.5" customHeight="1">
      <c r="B26" s="32"/>
      <c r="C26" s="75"/>
      <c r="D26" s="113"/>
      <c r="E26" s="75"/>
      <c r="F26" s="75"/>
      <c r="G26" s="114"/>
      <c r="H26" s="114"/>
      <c r="I26" s="32"/>
      <c r="J26" s="49"/>
      <c r="K26" s="115"/>
      <c r="L26" s="32"/>
      <c r="M26" s="49"/>
      <c r="N26" s="32"/>
      <c r="O26" s="49"/>
      <c r="P26" s="49"/>
      <c r="Q26" s="32"/>
    </row>
    <row r="27" ht="22.5" customHeight="1">
      <c r="B27" s="32"/>
      <c r="C27" s="75"/>
      <c r="D27" s="113"/>
      <c r="E27" s="75"/>
      <c r="F27" s="75"/>
      <c r="G27" s="114"/>
      <c r="H27" s="114"/>
      <c r="I27" s="32"/>
      <c r="J27" s="49"/>
      <c r="K27" s="115"/>
      <c r="L27" s="32"/>
      <c r="M27" s="49"/>
      <c r="N27" s="32"/>
      <c r="O27" s="49"/>
      <c r="P27" s="49"/>
      <c r="Q27" s="32"/>
    </row>
    <row r="28" ht="22.5" customHeight="1">
      <c r="B28" s="32"/>
      <c r="C28" s="75"/>
      <c r="D28" s="113"/>
      <c r="E28" s="75"/>
      <c r="F28" s="75"/>
      <c r="G28" s="114"/>
      <c r="H28" s="114"/>
      <c r="I28" s="32"/>
      <c r="J28" s="49"/>
      <c r="K28" s="115"/>
      <c r="L28" s="32"/>
      <c r="M28" s="49"/>
      <c r="N28" s="32"/>
      <c r="O28" s="49"/>
      <c r="P28" s="49"/>
      <c r="Q28" s="32"/>
    </row>
    <row r="29" ht="22.5" customHeight="1">
      <c r="B29" s="32"/>
      <c r="C29" s="75"/>
      <c r="D29" s="113"/>
      <c r="E29" s="75"/>
      <c r="F29" s="75"/>
      <c r="G29" s="114"/>
      <c r="H29" s="114"/>
      <c r="I29" s="32"/>
      <c r="J29" s="49"/>
      <c r="K29" s="115"/>
      <c r="L29" s="32"/>
      <c r="M29" s="49"/>
      <c r="N29" s="32"/>
      <c r="O29" s="49"/>
      <c r="P29" s="49"/>
      <c r="Q29" s="32"/>
    </row>
    <row r="30" ht="22.5" customHeight="1">
      <c r="B30" s="32"/>
      <c r="C30" s="75"/>
      <c r="D30" s="113"/>
      <c r="E30" s="75"/>
      <c r="F30" s="75"/>
      <c r="G30" s="114"/>
      <c r="H30" s="114"/>
      <c r="I30" s="32"/>
      <c r="J30" s="49"/>
      <c r="K30" s="115"/>
      <c r="L30" s="32"/>
      <c r="M30" s="49"/>
      <c r="N30" s="32"/>
      <c r="O30" s="49"/>
      <c r="P30" s="49"/>
      <c r="Q30" s="32"/>
    </row>
    <row r="31" ht="22.5" customHeight="1">
      <c r="B31" s="32"/>
      <c r="C31" s="75"/>
      <c r="D31" s="113"/>
      <c r="E31" s="75"/>
      <c r="F31" s="75"/>
      <c r="G31" s="114"/>
      <c r="H31" s="114"/>
      <c r="I31" s="32"/>
      <c r="J31" s="49"/>
      <c r="K31" s="115"/>
      <c r="L31" s="32"/>
      <c r="M31" s="49"/>
      <c r="N31" s="32"/>
      <c r="O31" s="49"/>
      <c r="P31" s="49"/>
      <c r="Q31" s="32"/>
    </row>
    <row r="32" ht="22.5" customHeight="1">
      <c r="B32" s="32"/>
      <c r="C32" s="75"/>
      <c r="D32" s="113"/>
      <c r="E32" s="75"/>
      <c r="F32" s="75"/>
      <c r="G32" s="114"/>
      <c r="H32" s="114"/>
      <c r="I32" s="32"/>
      <c r="J32" s="49"/>
      <c r="K32" s="115"/>
      <c r="L32" s="32"/>
      <c r="M32" s="49"/>
      <c r="N32" s="32"/>
      <c r="O32" s="49"/>
      <c r="P32" s="49"/>
      <c r="Q32" s="32"/>
    </row>
    <row r="33" ht="22.5" customHeight="1">
      <c r="B33" s="32"/>
      <c r="C33" s="75"/>
      <c r="D33" s="113"/>
      <c r="E33" s="75"/>
      <c r="F33" s="75"/>
      <c r="G33" s="114"/>
      <c r="H33" s="114"/>
      <c r="I33" s="32"/>
      <c r="J33" s="49"/>
      <c r="K33" s="115"/>
      <c r="L33" s="32"/>
      <c r="M33" s="49"/>
      <c r="N33" s="32"/>
      <c r="O33" s="49"/>
      <c r="P33" s="49"/>
      <c r="Q33" s="32"/>
    </row>
    <row r="34" ht="22.5" customHeight="1">
      <c r="B34" s="32"/>
      <c r="C34" s="75"/>
      <c r="D34" s="113"/>
      <c r="E34" s="75"/>
      <c r="F34" s="75"/>
      <c r="G34" s="114"/>
      <c r="H34" s="114"/>
      <c r="I34" s="32"/>
      <c r="J34" s="49"/>
      <c r="K34" s="115"/>
      <c r="L34" s="32"/>
      <c r="M34" s="49"/>
      <c r="N34" s="32"/>
      <c r="O34" s="49"/>
      <c r="P34" s="49"/>
      <c r="Q34" s="32"/>
    </row>
    <row r="35" ht="22.5" customHeight="1">
      <c r="B35" s="32"/>
      <c r="C35" s="75"/>
      <c r="D35" s="113"/>
      <c r="E35" s="75"/>
      <c r="F35" s="75"/>
      <c r="G35" s="114"/>
      <c r="H35" s="114"/>
      <c r="I35" s="32"/>
      <c r="J35" s="49"/>
      <c r="K35" s="115"/>
      <c r="L35" s="32"/>
      <c r="M35" s="49"/>
      <c r="N35" s="32"/>
      <c r="O35" s="49"/>
      <c r="P35" s="49"/>
      <c r="Q35" s="32"/>
    </row>
    <row r="36" ht="22.5" customHeight="1">
      <c r="B36" s="32"/>
      <c r="C36" s="75"/>
      <c r="D36" s="113"/>
      <c r="E36" s="75"/>
      <c r="F36" s="75"/>
      <c r="G36" s="114"/>
      <c r="H36" s="114"/>
      <c r="I36" s="32"/>
      <c r="J36" s="49"/>
      <c r="K36" s="115"/>
      <c r="L36" s="32"/>
      <c r="M36" s="49"/>
      <c r="N36" s="32"/>
      <c r="O36" s="49"/>
      <c r="P36" s="49"/>
      <c r="Q36" s="32"/>
    </row>
    <row r="37" ht="22.5" customHeight="1">
      <c r="B37" s="32"/>
      <c r="C37" s="75"/>
      <c r="D37" s="113"/>
      <c r="E37" s="75"/>
      <c r="F37" s="75"/>
      <c r="G37" s="114"/>
      <c r="H37" s="114"/>
      <c r="I37" s="32"/>
      <c r="J37" s="49"/>
      <c r="K37" s="115"/>
      <c r="L37" s="32"/>
      <c r="M37" s="49"/>
      <c r="N37" s="32"/>
      <c r="O37" s="49"/>
      <c r="P37" s="49"/>
      <c r="Q37" s="32"/>
    </row>
    <row r="38" ht="22.5" customHeight="1">
      <c r="B38" s="32"/>
      <c r="C38" s="75"/>
      <c r="D38" s="113"/>
      <c r="E38" s="75"/>
      <c r="F38" s="75"/>
      <c r="G38" s="114"/>
      <c r="H38" s="114"/>
      <c r="I38" s="32"/>
      <c r="J38" s="49"/>
      <c r="K38" s="115"/>
      <c r="L38" s="32"/>
      <c r="M38" s="49"/>
      <c r="N38" s="32"/>
      <c r="O38" s="49"/>
      <c r="P38" s="49"/>
      <c r="Q38" s="32"/>
    </row>
    <row r="39" ht="22.5" customHeight="1">
      <c r="B39" s="32"/>
      <c r="C39" s="75"/>
      <c r="D39" s="113"/>
      <c r="E39" s="75"/>
      <c r="F39" s="75"/>
      <c r="G39" s="114"/>
      <c r="H39" s="114"/>
      <c r="I39" s="32"/>
      <c r="J39" s="49"/>
      <c r="K39" s="115"/>
      <c r="L39" s="32"/>
      <c r="M39" s="49"/>
      <c r="N39" s="32"/>
      <c r="O39" s="49"/>
      <c r="P39" s="49"/>
      <c r="Q39" s="32"/>
    </row>
    <row r="40" ht="22.5" customHeight="1">
      <c r="B40" s="32"/>
      <c r="C40" s="75"/>
      <c r="D40" s="113"/>
      <c r="E40" s="75"/>
      <c r="F40" s="75"/>
      <c r="G40" s="114"/>
      <c r="H40" s="114"/>
      <c r="I40" s="32"/>
      <c r="J40" s="49"/>
      <c r="K40" s="115"/>
      <c r="L40" s="32"/>
      <c r="M40" s="49"/>
      <c r="N40" s="32"/>
      <c r="O40" s="49"/>
      <c r="P40" s="49"/>
      <c r="Q40" s="32"/>
    </row>
    <row r="41" ht="22.5" customHeight="1">
      <c r="B41" s="32"/>
      <c r="C41" s="75"/>
      <c r="D41" s="113"/>
      <c r="E41" s="75"/>
      <c r="F41" s="75"/>
      <c r="G41" s="114"/>
      <c r="H41" s="114"/>
      <c r="I41" s="32"/>
      <c r="J41" s="49"/>
      <c r="K41" s="115"/>
      <c r="L41" s="32"/>
      <c r="M41" s="49"/>
      <c r="N41" s="32"/>
      <c r="O41" s="49"/>
      <c r="P41" s="49"/>
      <c r="Q41" s="32"/>
    </row>
    <row r="42" ht="22.5" customHeight="1">
      <c r="B42" s="32"/>
      <c r="C42" s="75"/>
      <c r="D42" s="113"/>
      <c r="E42" s="75"/>
      <c r="F42" s="75"/>
      <c r="G42" s="114"/>
      <c r="H42" s="114"/>
      <c r="I42" s="32"/>
      <c r="J42" s="49"/>
      <c r="K42" s="115"/>
      <c r="L42" s="32"/>
      <c r="M42" s="49"/>
      <c r="N42" s="32"/>
      <c r="O42" s="49"/>
      <c r="P42" s="49"/>
      <c r="Q42" s="32"/>
    </row>
    <row r="43" ht="22.5" customHeight="1">
      <c r="B43" s="32"/>
      <c r="C43" s="75"/>
      <c r="D43" s="113"/>
      <c r="E43" s="75"/>
      <c r="F43" s="75"/>
      <c r="G43" s="114"/>
      <c r="H43" s="114"/>
      <c r="I43" s="32"/>
      <c r="J43" s="49"/>
      <c r="K43" s="115"/>
      <c r="L43" s="32"/>
      <c r="M43" s="49"/>
      <c r="N43" s="32"/>
      <c r="O43" s="49"/>
      <c r="P43" s="49"/>
      <c r="Q43" s="32"/>
    </row>
    <row r="44" ht="22.5" customHeight="1">
      <c r="B44" s="32"/>
      <c r="C44" s="75"/>
      <c r="D44" s="113"/>
      <c r="E44" s="75"/>
      <c r="F44" s="75"/>
      <c r="G44" s="114"/>
      <c r="H44" s="114"/>
      <c r="I44" s="32"/>
      <c r="J44" s="49"/>
      <c r="K44" s="115"/>
      <c r="L44" s="32"/>
      <c r="M44" s="49"/>
      <c r="N44" s="32"/>
      <c r="O44" s="49"/>
      <c r="P44" s="49"/>
      <c r="Q44" s="32"/>
    </row>
    <row r="45" ht="22.5" customHeight="1">
      <c r="B45" s="32"/>
      <c r="C45" s="75"/>
      <c r="D45" s="113"/>
      <c r="E45" s="75"/>
      <c r="F45" s="75"/>
      <c r="G45" s="114"/>
      <c r="H45" s="114"/>
      <c r="I45" s="32"/>
      <c r="J45" s="49"/>
      <c r="K45" s="115"/>
      <c r="L45" s="32"/>
      <c r="M45" s="49"/>
      <c r="N45" s="32"/>
      <c r="O45" s="49"/>
      <c r="P45" s="49"/>
      <c r="Q45" s="32"/>
    </row>
    <row r="46" ht="22.5" customHeight="1">
      <c r="B46" s="32"/>
      <c r="C46" s="75"/>
      <c r="D46" s="113"/>
      <c r="E46" s="75"/>
      <c r="F46" s="75"/>
      <c r="G46" s="114"/>
      <c r="H46" s="114"/>
      <c r="I46" s="32"/>
      <c r="J46" s="49"/>
      <c r="K46" s="115"/>
      <c r="L46" s="32"/>
      <c r="M46" s="49"/>
      <c r="N46" s="32"/>
      <c r="O46" s="49"/>
      <c r="P46" s="49"/>
      <c r="Q46" s="32"/>
    </row>
    <row r="47" ht="22.5" customHeight="1">
      <c r="B47" s="32"/>
      <c r="C47" s="75"/>
      <c r="D47" s="113"/>
      <c r="E47" s="75"/>
      <c r="F47" s="75"/>
      <c r="G47" s="114"/>
      <c r="H47" s="114"/>
      <c r="I47" s="32"/>
      <c r="J47" s="49"/>
      <c r="K47" s="115"/>
      <c r="L47" s="32"/>
      <c r="M47" s="49"/>
      <c r="N47" s="32"/>
      <c r="O47" s="49"/>
      <c r="P47" s="49"/>
      <c r="Q47" s="32"/>
    </row>
    <row r="48" ht="22.5" customHeight="1">
      <c r="B48" s="32"/>
      <c r="C48" s="75"/>
      <c r="D48" s="113"/>
      <c r="E48" s="75"/>
      <c r="F48" s="75"/>
      <c r="G48" s="114"/>
      <c r="H48" s="114"/>
      <c r="I48" s="32"/>
      <c r="J48" s="49"/>
      <c r="K48" s="115"/>
      <c r="L48" s="32"/>
      <c r="M48" s="49"/>
      <c r="N48" s="32"/>
      <c r="O48" s="49"/>
      <c r="P48" s="49"/>
      <c r="Q48" s="32"/>
    </row>
    <row r="49" ht="22.5" customHeight="1">
      <c r="B49" s="32"/>
      <c r="C49" s="75"/>
      <c r="D49" s="113"/>
      <c r="E49" s="75"/>
      <c r="F49" s="75"/>
      <c r="G49" s="114"/>
      <c r="H49" s="114"/>
      <c r="I49" s="32"/>
      <c r="J49" s="49"/>
      <c r="K49" s="115"/>
      <c r="L49" s="32"/>
      <c r="M49" s="49"/>
      <c r="N49" s="32"/>
      <c r="O49" s="49"/>
      <c r="P49" s="49"/>
      <c r="Q49" s="32"/>
    </row>
    <row r="50" ht="22.5" customHeight="1">
      <c r="B50" s="32"/>
      <c r="C50" s="75"/>
      <c r="D50" s="113"/>
      <c r="E50" s="75"/>
      <c r="F50" s="75"/>
      <c r="G50" s="114"/>
      <c r="H50" s="114"/>
      <c r="I50" s="32"/>
      <c r="J50" s="49"/>
      <c r="K50" s="115"/>
      <c r="L50" s="32"/>
      <c r="M50" s="49"/>
      <c r="N50" s="32"/>
      <c r="O50" s="49"/>
      <c r="P50" s="49"/>
      <c r="Q50" s="32"/>
    </row>
    <row r="51" ht="22.5" customHeight="1">
      <c r="B51" s="32"/>
      <c r="C51" s="75"/>
      <c r="D51" s="113"/>
      <c r="E51" s="75"/>
      <c r="F51" s="75"/>
      <c r="G51" s="114"/>
      <c r="H51" s="114"/>
      <c r="I51" s="32"/>
      <c r="J51" s="49"/>
      <c r="K51" s="115"/>
      <c r="L51" s="32"/>
      <c r="M51" s="49"/>
      <c r="N51" s="32"/>
      <c r="O51" s="49"/>
      <c r="P51" s="49"/>
      <c r="Q51" s="32"/>
    </row>
    <row r="52" ht="22.5" customHeight="1">
      <c r="B52" s="32"/>
      <c r="C52" s="75"/>
      <c r="D52" s="113"/>
      <c r="E52" s="75"/>
      <c r="F52" s="75"/>
      <c r="G52" s="114"/>
      <c r="H52" s="114"/>
      <c r="I52" s="32"/>
      <c r="J52" s="49"/>
      <c r="K52" s="115"/>
      <c r="L52" s="32"/>
      <c r="M52" s="49"/>
      <c r="N52" s="32"/>
      <c r="O52" s="49"/>
      <c r="P52" s="49"/>
      <c r="Q52" s="3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32.88"/>
    <col customWidth="1" min="9" max="9" width="19.25"/>
    <col customWidth="1" min="10" max="10" width="22.88"/>
    <col customWidth="1" min="11" max="11" width="17.0"/>
    <col customWidth="1" min="12" max="12" width="17.3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5" t="s">
        <v>90</v>
      </c>
      <c r="E3" s="7" t="s">
        <v>8</v>
      </c>
      <c r="F3" s="7" t="s">
        <v>11</v>
      </c>
      <c r="G3" s="8" t="s">
        <v>13</v>
      </c>
      <c r="H3" s="7" t="s">
        <v>16</v>
      </c>
      <c r="I3" s="7" t="s">
        <v>17</v>
      </c>
      <c r="J3" s="7" t="s">
        <v>18</v>
      </c>
      <c r="K3" s="7" t="s">
        <v>20</v>
      </c>
      <c r="L3" s="7" t="s">
        <v>21</v>
      </c>
      <c r="M3" s="7" t="s">
        <v>23</v>
      </c>
      <c r="N3" s="7" t="s">
        <v>24</v>
      </c>
    </row>
    <row r="4" ht="26.25" customHeight="1">
      <c r="D4" s="10" t="s">
        <v>26</v>
      </c>
      <c r="E4" s="11">
        <v>1000000.0</v>
      </c>
      <c r="F4" s="13">
        <f>SUMIFS(OPI_6[MAF NETO],OPI_6[ESTADO],"Desembolsado")</f>
        <v>532500</v>
      </c>
      <c r="G4" s="13">
        <f>F4-E4</f>
        <v>-467500</v>
      </c>
      <c r="H4" s="15">
        <f>SUMIFS(OPI_6[MAF NETO],OPI_6[ESTADO],H$3)</f>
        <v>0</v>
      </c>
      <c r="I4" s="15">
        <f>SUMIFS(OPI_6[MAF NETO],OPI_6[ESTADO],I$3)</f>
        <v>0</v>
      </c>
      <c r="J4" s="15">
        <f>SUMIFS(OPI_6[MAF NETO],OPI_6[ESTADO],J$3)</f>
        <v>0</v>
      </c>
      <c r="K4" s="15">
        <f>SUMIFS(OPI_6[MAF NETO],OPI_6[ESTADO],K$3)</f>
        <v>354000</v>
      </c>
      <c r="L4" s="15">
        <f>SUMIFS(OPI_6[MAF NETO],OPI_6[ESTADO],L$3)</f>
        <v>0</v>
      </c>
      <c r="M4" s="15">
        <f>SUMIFS(OPI_6[MAF NETO],OPI_6[ESTADO],M$3)</f>
        <v>0</v>
      </c>
      <c r="N4" s="15">
        <f>SUMIFS(OPI_6[MAF NETO],OPI_6[ESTADO],N$3)</f>
        <v>0</v>
      </c>
    </row>
    <row r="5" ht="26.25" customHeight="1">
      <c r="D5" s="17" t="s">
        <v>28</v>
      </c>
      <c r="E5" s="18" t="s">
        <v>29</v>
      </c>
      <c r="F5" s="19">
        <f>COUNTIFS(OPI_6[ESTADO],"Desembolsado")</f>
        <v>7</v>
      </c>
      <c r="G5" s="20">
        <f>IFERROR(F4/E4,"")</f>
        <v>0.5325</v>
      </c>
      <c r="H5" s="19">
        <f>COUNTIFS(OPI_6[ESTADO],H$3)</f>
        <v>0</v>
      </c>
      <c r="I5" s="19">
        <f>COUNTIFS(OPI_6[ESTADO],I$3)</f>
        <v>0</v>
      </c>
      <c r="J5" s="19">
        <f>COUNTIFS(OPI_6[ESTADO],J$3)</f>
        <v>0</v>
      </c>
      <c r="K5" s="19">
        <f>COUNTIFS(OPI_6[ESTADO],K$3)</f>
        <v>5</v>
      </c>
      <c r="L5" s="19">
        <f>COUNTIFS(OPI_6[ESTADO],L$3)</f>
        <v>0</v>
      </c>
      <c r="M5" s="19">
        <f>COUNTIFS(OPI_6[ESTADO],M$3)</f>
        <v>0</v>
      </c>
      <c r="N5" s="19">
        <f>COUNTIFS(OPI_6[ESTADO],N$3)</f>
        <v>6</v>
      </c>
    </row>
    <row r="9" ht="22.5" customHeight="1">
      <c r="A9" s="21"/>
      <c r="B9" s="22" t="s">
        <v>31</v>
      </c>
      <c r="C9" s="22" t="s">
        <v>33</v>
      </c>
      <c r="D9" s="23" t="s">
        <v>34</v>
      </c>
      <c r="E9" s="22" t="s">
        <v>35</v>
      </c>
      <c r="F9" s="22" t="s">
        <v>36</v>
      </c>
      <c r="G9" s="22" t="s">
        <v>37</v>
      </c>
      <c r="H9" s="22" t="s">
        <v>38</v>
      </c>
      <c r="I9" s="22" t="s">
        <v>39</v>
      </c>
      <c r="J9" s="23" t="s">
        <v>40</v>
      </c>
      <c r="K9" s="22" t="s">
        <v>41</v>
      </c>
      <c r="L9" s="22" t="s">
        <v>42</v>
      </c>
      <c r="M9" s="23" t="s">
        <v>44</v>
      </c>
      <c r="N9" s="22" t="s">
        <v>45</v>
      </c>
      <c r="O9" s="23" t="s">
        <v>46</v>
      </c>
      <c r="P9" s="23" t="s">
        <v>47</v>
      </c>
      <c r="Q9" s="22" t="s">
        <v>48</v>
      </c>
    </row>
    <row r="10" ht="22.5" customHeight="1">
      <c r="B10" s="24" t="s">
        <v>90</v>
      </c>
      <c r="C10" s="25">
        <v>46209.0</v>
      </c>
      <c r="D10" s="26" t="s">
        <v>58</v>
      </c>
      <c r="E10" s="25">
        <v>46209.0</v>
      </c>
      <c r="F10" s="25">
        <v>46211.0</v>
      </c>
      <c r="G10" s="27" t="s">
        <v>539</v>
      </c>
      <c r="H10" s="27" t="s">
        <v>540</v>
      </c>
      <c r="I10" s="24" t="s">
        <v>64</v>
      </c>
      <c r="J10" s="26" t="s">
        <v>11</v>
      </c>
      <c r="K10" s="28">
        <v>57500.0</v>
      </c>
      <c r="L10" s="24" t="s">
        <v>541</v>
      </c>
      <c r="M10" s="26"/>
      <c r="N10" s="24" t="s">
        <v>542</v>
      </c>
      <c r="O10" s="49"/>
      <c r="P10" s="49"/>
      <c r="Q10" s="24"/>
    </row>
    <row r="11" ht="22.5" customHeight="1">
      <c r="B11" s="24" t="s">
        <v>90</v>
      </c>
      <c r="C11" s="25">
        <v>46241.0</v>
      </c>
      <c r="D11" s="26" t="s">
        <v>58</v>
      </c>
      <c r="E11" s="25">
        <v>46210.0</v>
      </c>
      <c r="F11" s="25"/>
      <c r="G11" s="27" t="s">
        <v>543</v>
      </c>
      <c r="H11" s="27" t="s">
        <v>544</v>
      </c>
      <c r="I11" s="24" t="s">
        <v>64</v>
      </c>
      <c r="J11" s="26" t="s">
        <v>24</v>
      </c>
      <c r="K11" s="28">
        <v>0.0</v>
      </c>
      <c r="L11" s="24" t="s">
        <v>545</v>
      </c>
      <c r="M11" s="49"/>
      <c r="N11" s="32"/>
      <c r="O11" s="49"/>
      <c r="P11" s="49"/>
      <c r="Q11" s="24"/>
    </row>
    <row r="12" ht="22.5" customHeight="1">
      <c r="B12" s="24" t="s">
        <v>90</v>
      </c>
      <c r="C12" s="25">
        <v>46211.0</v>
      </c>
      <c r="D12" s="26" t="s">
        <v>58</v>
      </c>
      <c r="E12" s="25">
        <v>46211.0</v>
      </c>
      <c r="F12" s="25">
        <v>46213.0</v>
      </c>
      <c r="G12" s="27" t="s">
        <v>546</v>
      </c>
      <c r="H12" s="27" t="s">
        <v>547</v>
      </c>
      <c r="I12" s="24" t="s">
        <v>64</v>
      </c>
      <c r="J12" s="26" t="s">
        <v>11</v>
      </c>
      <c r="K12" s="28">
        <v>80100.0</v>
      </c>
      <c r="L12" s="24" t="s">
        <v>545</v>
      </c>
      <c r="M12" s="49"/>
      <c r="N12" s="32"/>
      <c r="O12" s="49"/>
      <c r="P12" s="49"/>
      <c r="Q12" s="24"/>
    </row>
    <row r="13" ht="22.5" customHeight="1">
      <c r="B13" s="24" t="s">
        <v>90</v>
      </c>
      <c r="C13" s="25">
        <v>46211.0</v>
      </c>
      <c r="D13" s="26" t="s">
        <v>58</v>
      </c>
      <c r="E13" s="25">
        <v>46211.0</v>
      </c>
      <c r="F13" s="25"/>
      <c r="G13" s="27" t="s">
        <v>552</v>
      </c>
      <c r="H13" s="27" t="s">
        <v>553</v>
      </c>
      <c r="I13" s="24" t="s">
        <v>252</v>
      </c>
      <c r="J13" s="26" t="s">
        <v>11</v>
      </c>
      <c r="K13" s="28">
        <v>70400.0</v>
      </c>
      <c r="L13" s="24" t="s">
        <v>545</v>
      </c>
      <c r="M13" s="49"/>
      <c r="N13" s="32"/>
      <c r="O13" s="49"/>
      <c r="P13" s="49"/>
      <c r="Q13" s="24"/>
    </row>
    <row r="14" ht="22.5" customHeight="1">
      <c r="B14" s="24" t="s">
        <v>90</v>
      </c>
      <c r="C14" s="25">
        <v>46242.0</v>
      </c>
      <c r="D14" s="26" t="s">
        <v>58</v>
      </c>
      <c r="E14" s="25">
        <v>46211.0</v>
      </c>
      <c r="F14" s="25"/>
      <c r="G14" s="27" t="s">
        <v>557</v>
      </c>
      <c r="H14" s="27" t="s">
        <v>558</v>
      </c>
      <c r="I14" s="24" t="s">
        <v>64</v>
      </c>
      <c r="J14" s="26" t="s">
        <v>24</v>
      </c>
      <c r="K14" s="28">
        <v>0.0</v>
      </c>
      <c r="L14" s="24" t="s">
        <v>559</v>
      </c>
      <c r="M14" s="26"/>
      <c r="N14" s="32"/>
      <c r="O14" s="49"/>
      <c r="P14" s="49"/>
      <c r="Q14" s="24" t="s">
        <v>560</v>
      </c>
    </row>
    <row r="15" ht="22.5" customHeight="1">
      <c r="B15" s="24" t="s">
        <v>90</v>
      </c>
      <c r="C15" s="25">
        <v>46212.0</v>
      </c>
      <c r="D15" s="26" t="s">
        <v>58</v>
      </c>
      <c r="E15" s="25">
        <v>119261.0</v>
      </c>
      <c r="F15" s="25"/>
      <c r="G15" s="27" t="s">
        <v>564</v>
      </c>
      <c r="H15" s="27" t="s">
        <v>565</v>
      </c>
      <c r="I15" s="24" t="s">
        <v>64</v>
      </c>
      <c r="J15" s="26" t="s">
        <v>24</v>
      </c>
      <c r="K15" s="28">
        <v>0.0</v>
      </c>
      <c r="L15" s="24" t="s">
        <v>559</v>
      </c>
      <c r="M15" s="26"/>
      <c r="N15" s="32"/>
      <c r="O15" s="49"/>
      <c r="P15" s="49"/>
      <c r="Q15" s="32"/>
    </row>
    <row r="16" ht="22.5" customHeight="1">
      <c r="B16" s="24" t="s">
        <v>90</v>
      </c>
      <c r="C16" s="25">
        <v>46212.0</v>
      </c>
      <c r="D16" s="26" t="s">
        <v>58</v>
      </c>
      <c r="E16" s="25">
        <v>46212.0</v>
      </c>
      <c r="F16" s="25"/>
      <c r="G16" s="27" t="s">
        <v>571</v>
      </c>
      <c r="H16" s="27" t="s">
        <v>573</v>
      </c>
      <c r="I16" s="24" t="s">
        <v>54</v>
      </c>
      <c r="J16" s="26" t="s">
        <v>20</v>
      </c>
      <c r="K16" s="28">
        <v>45500.0</v>
      </c>
      <c r="L16" s="24" t="s">
        <v>574</v>
      </c>
      <c r="M16" s="49"/>
      <c r="N16" s="32"/>
      <c r="O16" s="49"/>
      <c r="P16" s="49"/>
      <c r="Q16" s="24"/>
    </row>
    <row r="17" ht="22.5" customHeight="1">
      <c r="B17" s="24" t="s">
        <v>90</v>
      </c>
      <c r="C17" s="25">
        <v>46216.0</v>
      </c>
      <c r="D17" s="26" t="s">
        <v>58</v>
      </c>
      <c r="E17" s="25">
        <v>46216.0</v>
      </c>
      <c r="F17" s="25"/>
      <c r="G17" s="27" t="s">
        <v>578</v>
      </c>
      <c r="H17" s="27" t="s">
        <v>579</v>
      </c>
      <c r="I17" s="24" t="s">
        <v>265</v>
      </c>
      <c r="J17" s="26" t="s">
        <v>11</v>
      </c>
      <c r="K17" s="28">
        <v>71500.0</v>
      </c>
      <c r="L17" s="24" t="s">
        <v>574</v>
      </c>
      <c r="M17" s="49"/>
      <c r="N17" s="32"/>
      <c r="O17" s="49"/>
      <c r="P17" s="49"/>
      <c r="Q17" s="24"/>
    </row>
    <row r="18" ht="22.5" customHeight="1">
      <c r="B18" s="24" t="s">
        <v>90</v>
      </c>
      <c r="C18" s="25">
        <v>46216.0</v>
      </c>
      <c r="D18" s="26" t="s">
        <v>58</v>
      </c>
      <c r="E18" s="25">
        <v>46216.0</v>
      </c>
      <c r="F18" s="25">
        <v>46219.0</v>
      </c>
      <c r="G18" s="27" t="s">
        <v>583</v>
      </c>
      <c r="H18" s="27" t="s">
        <v>584</v>
      </c>
      <c r="I18" s="24" t="s">
        <v>64</v>
      </c>
      <c r="J18" s="26" t="s">
        <v>11</v>
      </c>
      <c r="K18" s="28">
        <v>83500.0</v>
      </c>
      <c r="L18" s="24" t="s">
        <v>541</v>
      </c>
      <c r="M18" s="26" t="s">
        <v>73</v>
      </c>
      <c r="N18" s="32"/>
      <c r="O18" s="49"/>
      <c r="P18" s="49"/>
      <c r="Q18" s="24"/>
    </row>
    <row r="19" ht="22.5" customHeight="1">
      <c r="B19" s="24" t="s">
        <v>90</v>
      </c>
      <c r="C19" s="25">
        <v>46217.0</v>
      </c>
      <c r="D19" s="26" t="s">
        <v>58</v>
      </c>
      <c r="E19" s="25">
        <v>46217.0</v>
      </c>
      <c r="F19" s="25"/>
      <c r="G19" s="27" t="s">
        <v>591</v>
      </c>
      <c r="H19" s="27" t="s">
        <v>592</v>
      </c>
      <c r="I19" s="24" t="s">
        <v>252</v>
      </c>
      <c r="J19" s="26" t="s">
        <v>11</v>
      </c>
      <c r="K19" s="28">
        <v>127500.0</v>
      </c>
      <c r="L19" s="24" t="s">
        <v>545</v>
      </c>
      <c r="M19" s="49"/>
      <c r="N19" s="32"/>
      <c r="O19" s="49"/>
      <c r="P19" s="49"/>
      <c r="Q19" s="24"/>
    </row>
    <row r="20" ht="22.5" customHeight="1">
      <c r="B20" s="24" t="s">
        <v>90</v>
      </c>
      <c r="C20" s="25">
        <v>46220.0</v>
      </c>
      <c r="D20" s="26" t="s">
        <v>58</v>
      </c>
      <c r="E20" s="25">
        <v>46220.0</v>
      </c>
      <c r="F20" s="25">
        <v>46225.0</v>
      </c>
      <c r="G20" s="27" t="s">
        <v>595</v>
      </c>
      <c r="H20" s="27" t="s">
        <v>596</v>
      </c>
      <c r="I20" s="24" t="s">
        <v>64</v>
      </c>
      <c r="J20" s="26" t="s">
        <v>11</v>
      </c>
      <c r="K20" s="28">
        <v>42000.0</v>
      </c>
      <c r="L20" s="24" t="s">
        <v>599</v>
      </c>
      <c r="M20" s="49"/>
      <c r="N20" s="32"/>
      <c r="O20" s="49"/>
      <c r="P20" s="49"/>
      <c r="Q20" s="24" t="s">
        <v>29</v>
      </c>
    </row>
    <row r="21" ht="22.5" customHeight="1">
      <c r="B21" s="24" t="s">
        <v>90</v>
      </c>
      <c r="C21" s="25">
        <v>46223.0</v>
      </c>
      <c r="D21" s="26" t="s">
        <v>58</v>
      </c>
      <c r="E21" s="25">
        <v>46223.0</v>
      </c>
      <c r="F21" s="25"/>
      <c r="G21" s="27" t="s">
        <v>603</v>
      </c>
      <c r="H21" s="27" t="s">
        <v>604</v>
      </c>
      <c r="I21" s="24" t="s">
        <v>265</v>
      </c>
      <c r="J21" s="26" t="s">
        <v>24</v>
      </c>
      <c r="K21" s="28">
        <v>0.0</v>
      </c>
      <c r="L21" s="24" t="s">
        <v>574</v>
      </c>
      <c r="M21" s="49"/>
      <c r="N21" s="32"/>
      <c r="O21" s="49"/>
      <c r="P21" s="49"/>
      <c r="Q21" s="32"/>
    </row>
    <row r="22" ht="22.5" customHeight="1">
      <c r="B22" s="24" t="s">
        <v>607</v>
      </c>
      <c r="C22" s="25">
        <v>46225.0</v>
      </c>
      <c r="D22" s="26" t="s">
        <v>49</v>
      </c>
      <c r="E22" s="25">
        <v>46225.0</v>
      </c>
      <c r="F22" s="75"/>
      <c r="G22" s="27" t="s">
        <v>608</v>
      </c>
      <c r="H22" s="27" t="s">
        <v>609</v>
      </c>
      <c r="I22" s="24" t="s">
        <v>610</v>
      </c>
      <c r="J22" s="26" t="s">
        <v>24</v>
      </c>
      <c r="K22" s="28">
        <v>0.0</v>
      </c>
      <c r="L22" s="24" t="s">
        <v>559</v>
      </c>
      <c r="M22" s="49"/>
      <c r="N22" s="32"/>
      <c r="O22" s="49"/>
      <c r="P22" s="49"/>
      <c r="Q22" s="24" t="s">
        <v>613</v>
      </c>
    </row>
    <row r="23" ht="22.5" customHeight="1">
      <c r="B23" s="24" t="s">
        <v>614</v>
      </c>
      <c r="C23" s="25">
        <v>46233.0</v>
      </c>
      <c r="D23" s="26" t="s">
        <v>58</v>
      </c>
      <c r="E23" s="25">
        <v>46225.0</v>
      </c>
      <c r="F23" s="75"/>
      <c r="G23" s="27" t="s">
        <v>616</v>
      </c>
      <c r="H23" s="27" t="s">
        <v>618</v>
      </c>
      <c r="I23" s="24" t="s">
        <v>64</v>
      </c>
      <c r="J23" s="26" t="s">
        <v>20</v>
      </c>
      <c r="K23" s="28">
        <v>70400.0</v>
      </c>
      <c r="L23" s="24" t="s">
        <v>545</v>
      </c>
      <c r="M23" s="49"/>
      <c r="N23" s="32"/>
      <c r="O23" s="49"/>
      <c r="P23" s="49"/>
      <c r="Q23" s="24" t="s">
        <v>619</v>
      </c>
    </row>
    <row r="24" ht="22.5" customHeight="1">
      <c r="B24" s="24" t="s">
        <v>620</v>
      </c>
      <c r="C24" s="25">
        <v>46227.0</v>
      </c>
      <c r="D24" s="26" t="s">
        <v>58</v>
      </c>
      <c r="E24" s="25">
        <v>46227.0</v>
      </c>
      <c r="F24" s="75"/>
      <c r="G24" s="27" t="s">
        <v>623</v>
      </c>
      <c r="H24" s="27" t="s">
        <v>624</v>
      </c>
      <c r="I24" s="24" t="s">
        <v>245</v>
      </c>
      <c r="J24" s="26" t="s">
        <v>20</v>
      </c>
      <c r="K24" s="28">
        <v>82000.0</v>
      </c>
      <c r="L24" s="24" t="s">
        <v>574</v>
      </c>
      <c r="M24" s="49"/>
      <c r="N24" s="32"/>
      <c r="O24" s="49"/>
      <c r="P24" s="49"/>
      <c r="Q24" s="32"/>
    </row>
    <row r="25" ht="22.5" customHeight="1">
      <c r="B25" s="24" t="s">
        <v>90</v>
      </c>
      <c r="C25" s="25">
        <v>46958.0</v>
      </c>
      <c r="D25" s="26" t="s">
        <v>58</v>
      </c>
      <c r="E25" s="25">
        <v>46227.0</v>
      </c>
      <c r="F25" s="75"/>
      <c r="G25" s="27" t="s">
        <v>628</v>
      </c>
      <c r="H25" s="27" t="s">
        <v>629</v>
      </c>
      <c r="I25" s="24" t="s">
        <v>630</v>
      </c>
      <c r="J25" s="26" t="s">
        <v>20</v>
      </c>
      <c r="K25" s="28">
        <v>75000.0</v>
      </c>
      <c r="L25" s="24" t="s">
        <v>545</v>
      </c>
      <c r="M25" s="49"/>
      <c r="N25" s="32"/>
      <c r="O25" s="49"/>
      <c r="P25" s="49"/>
      <c r="Q25" s="32"/>
    </row>
    <row r="26" ht="22.5" customHeight="1">
      <c r="B26" s="24" t="s">
        <v>90</v>
      </c>
      <c r="C26" s="25">
        <v>46233.0</v>
      </c>
      <c r="D26" s="26" t="s">
        <v>49</v>
      </c>
      <c r="E26" s="25">
        <v>46233.0</v>
      </c>
      <c r="F26" s="24" t="s">
        <v>633</v>
      </c>
      <c r="G26" s="27" t="s">
        <v>634</v>
      </c>
      <c r="H26" s="27" t="s">
        <v>635</v>
      </c>
      <c r="I26" s="24" t="s">
        <v>64</v>
      </c>
      <c r="J26" s="26" t="s">
        <v>24</v>
      </c>
      <c r="K26" s="28">
        <v>0.0</v>
      </c>
      <c r="L26" s="24" t="s">
        <v>636</v>
      </c>
      <c r="M26" s="49"/>
      <c r="N26" s="32"/>
      <c r="O26" s="49"/>
      <c r="P26" s="49"/>
      <c r="Q26" s="32"/>
    </row>
    <row r="27" ht="22.5" customHeight="1">
      <c r="B27" s="24" t="s">
        <v>639</v>
      </c>
      <c r="C27" s="25">
        <v>46233.0</v>
      </c>
      <c r="D27" s="26" t="s">
        <v>58</v>
      </c>
      <c r="E27" s="25">
        <v>46234.0</v>
      </c>
      <c r="F27" s="75"/>
      <c r="G27" s="27" t="s">
        <v>642</v>
      </c>
      <c r="H27" s="27" t="s">
        <v>643</v>
      </c>
      <c r="I27" s="178" t="s">
        <v>644</v>
      </c>
      <c r="J27" s="26" t="s">
        <v>20</v>
      </c>
      <c r="K27" s="28">
        <v>81100.0</v>
      </c>
      <c r="L27" s="24" t="s">
        <v>545</v>
      </c>
      <c r="M27" s="49"/>
      <c r="N27" s="32"/>
      <c r="O27" s="49"/>
      <c r="P27" s="49"/>
      <c r="Q27" s="32"/>
    </row>
    <row r="28" ht="22.5" customHeight="1">
      <c r="B28" s="32"/>
      <c r="C28" s="75"/>
      <c r="D28" s="113"/>
      <c r="E28" s="75"/>
      <c r="F28" s="75"/>
      <c r="G28" s="114"/>
      <c r="H28" s="114"/>
      <c r="I28" s="32"/>
      <c r="J28" s="49"/>
      <c r="K28" s="115"/>
      <c r="L28" s="32"/>
      <c r="M28" s="49"/>
      <c r="N28" s="32"/>
      <c r="O28" s="49"/>
      <c r="P28" s="49"/>
      <c r="Q28" s="32"/>
    </row>
    <row r="29" ht="22.5" customHeight="1">
      <c r="B29" s="32"/>
      <c r="C29" s="75"/>
      <c r="D29" s="113"/>
      <c r="E29" s="75"/>
      <c r="F29" s="75"/>
      <c r="G29" s="114"/>
      <c r="H29" s="114"/>
      <c r="I29" s="32"/>
      <c r="J29" s="49"/>
      <c r="K29" s="115"/>
      <c r="L29" s="32"/>
      <c r="M29" s="49"/>
      <c r="N29" s="32"/>
      <c r="O29" s="49"/>
      <c r="P29" s="49"/>
      <c r="Q29" s="32"/>
    </row>
    <row r="30" ht="22.5" customHeight="1">
      <c r="B30" s="32"/>
      <c r="C30" s="75"/>
      <c r="D30" s="113"/>
      <c r="E30" s="75"/>
      <c r="F30" s="75"/>
      <c r="G30" s="114"/>
      <c r="H30" s="114"/>
      <c r="I30" s="32"/>
      <c r="J30" s="49"/>
      <c r="K30" s="115"/>
      <c r="L30" s="32"/>
      <c r="M30" s="49"/>
      <c r="N30" s="32"/>
      <c r="O30" s="49"/>
      <c r="P30" s="49"/>
      <c r="Q30" s="32"/>
    </row>
    <row r="31" ht="22.5" customHeight="1">
      <c r="B31" s="32"/>
      <c r="C31" s="75"/>
      <c r="D31" s="113"/>
      <c r="E31" s="75"/>
      <c r="F31" s="75"/>
      <c r="G31" s="114"/>
      <c r="H31" s="114"/>
      <c r="I31" s="32"/>
      <c r="J31" s="49"/>
      <c r="K31" s="115"/>
      <c r="L31" s="32"/>
      <c r="M31" s="49"/>
      <c r="N31" s="32"/>
      <c r="O31" s="49"/>
      <c r="P31" s="49"/>
      <c r="Q31" s="32"/>
    </row>
    <row r="32" ht="22.5" customHeight="1">
      <c r="B32" s="32"/>
      <c r="C32" s="75"/>
      <c r="D32" s="113"/>
      <c r="E32" s="75"/>
      <c r="F32" s="75"/>
      <c r="G32" s="114"/>
      <c r="H32" s="114"/>
      <c r="I32" s="32"/>
      <c r="J32" s="49"/>
      <c r="K32" s="115"/>
      <c r="L32" s="32"/>
      <c r="M32" s="49"/>
      <c r="N32" s="32"/>
      <c r="O32" s="49"/>
      <c r="P32" s="49"/>
      <c r="Q32" s="32"/>
    </row>
    <row r="33" ht="22.5" customHeight="1">
      <c r="B33" s="32"/>
      <c r="C33" s="75"/>
      <c r="D33" s="113"/>
      <c r="E33" s="75"/>
      <c r="F33" s="75"/>
      <c r="G33" s="114"/>
      <c r="H33" s="114"/>
      <c r="I33" s="32"/>
      <c r="J33" s="49"/>
      <c r="K33" s="115"/>
      <c r="L33" s="32"/>
      <c r="M33" s="49"/>
      <c r="N33" s="32"/>
      <c r="O33" s="49"/>
      <c r="P33" s="49"/>
      <c r="Q33" s="32"/>
    </row>
    <row r="34" ht="22.5" customHeight="1">
      <c r="B34" s="32"/>
      <c r="C34" s="75"/>
      <c r="D34" s="113"/>
      <c r="E34" s="75"/>
      <c r="F34" s="75"/>
      <c r="G34" s="114"/>
      <c r="H34" s="114"/>
      <c r="I34" s="32"/>
      <c r="J34" s="49"/>
      <c r="K34" s="115"/>
      <c r="L34" s="32"/>
      <c r="M34" s="49"/>
      <c r="N34" s="32"/>
      <c r="O34" s="49"/>
      <c r="P34" s="49"/>
      <c r="Q34" s="32"/>
    </row>
    <row r="35" ht="22.5" customHeight="1">
      <c r="B35" s="32"/>
      <c r="C35" s="75"/>
      <c r="D35" s="113"/>
      <c r="E35" s="75"/>
      <c r="F35" s="75"/>
      <c r="G35" s="114"/>
      <c r="H35" s="114"/>
      <c r="I35" s="32"/>
      <c r="J35" s="49"/>
      <c r="K35" s="115"/>
      <c r="L35" s="32"/>
      <c r="M35" s="49"/>
      <c r="N35" s="32"/>
      <c r="O35" s="49"/>
      <c r="P35" s="49"/>
      <c r="Q35" s="32"/>
    </row>
    <row r="36" ht="22.5" customHeight="1">
      <c r="B36" s="32"/>
      <c r="C36" s="75"/>
      <c r="D36" s="113"/>
      <c r="E36" s="75"/>
      <c r="F36" s="75"/>
      <c r="G36" s="114"/>
      <c r="H36" s="114"/>
      <c r="I36" s="32"/>
      <c r="J36" s="49"/>
      <c r="K36" s="115"/>
      <c r="L36" s="32"/>
      <c r="M36" s="49"/>
      <c r="N36" s="32"/>
      <c r="O36" s="49"/>
      <c r="P36" s="49"/>
      <c r="Q36" s="32"/>
    </row>
    <row r="37" ht="22.5" customHeight="1">
      <c r="B37" s="32"/>
      <c r="C37" s="75"/>
      <c r="D37" s="113"/>
      <c r="E37" s="75"/>
      <c r="F37" s="75"/>
      <c r="G37" s="114"/>
      <c r="H37" s="114"/>
      <c r="I37" s="32"/>
      <c r="J37" s="49"/>
      <c r="K37" s="115"/>
      <c r="L37" s="32"/>
      <c r="M37" s="49"/>
      <c r="N37" s="32"/>
      <c r="O37" s="49"/>
      <c r="P37" s="49"/>
      <c r="Q37" s="32"/>
    </row>
    <row r="38" ht="22.5" customHeight="1">
      <c r="B38" s="32"/>
      <c r="C38" s="75"/>
      <c r="D38" s="113"/>
      <c r="E38" s="75"/>
      <c r="F38" s="75"/>
      <c r="G38" s="114"/>
      <c r="H38" s="114"/>
      <c r="I38" s="32"/>
      <c r="J38" s="49"/>
      <c r="K38" s="115"/>
      <c r="L38" s="32"/>
      <c r="M38" s="49"/>
      <c r="N38" s="32"/>
      <c r="O38" s="49"/>
      <c r="P38" s="49"/>
      <c r="Q38" s="32"/>
    </row>
    <row r="39" ht="22.5" customHeight="1">
      <c r="B39" s="32"/>
      <c r="C39" s="75"/>
      <c r="D39" s="113"/>
      <c r="E39" s="75"/>
      <c r="F39" s="75"/>
      <c r="G39" s="114"/>
      <c r="H39" s="114"/>
      <c r="I39" s="32"/>
      <c r="J39" s="49"/>
      <c r="K39" s="115"/>
      <c r="L39" s="32"/>
      <c r="M39" s="49"/>
      <c r="N39" s="32"/>
      <c r="O39" s="49"/>
      <c r="P39" s="49"/>
      <c r="Q39" s="32"/>
    </row>
    <row r="40" ht="22.5" customHeight="1">
      <c r="B40" s="32"/>
      <c r="C40" s="75"/>
      <c r="D40" s="113"/>
      <c r="E40" s="75"/>
      <c r="F40" s="75"/>
      <c r="G40" s="114"/>
      <c r="H40" s="114"/>
      <c r="I40" s="32"/>
      <c r="J40" s="49"/>
      <c r="K40" s="115"/>
      <c r="L40" s="32"/>
      <c r="M40" s="49"/>
      <c r="N40" s="32"/>
      <c r="O40" s="49"/>
      <c r="P40" s="49"/>
      <c r="Q40" s="32"/>
    </row>
    <row r="41" ht="22.5" customHeight="1">
      <c r="B41" s="32"/>
      <c r="C41" s="75"/>
      <c r="D41" s="113"/>
      <c r="E41" s="75"/>
      <c r="F41" s="75"/>
      <c r="G41" s="114"/>
      <c r="H41" s="114"/>
      <c r="I41" s="32"/>
      <c r="J41" s="49"/>
      <c r="K41" s="115"/>
      <c r="L41" s="32"/>
      <c r="M41" s="49"/>
      <c r="N41" s="32"/>
      <c r="O41" s="49"/>
      <c r="P41" s="49"/>
      <c r="Q41" s="32"/>
    </row>
    <row r="42" ht="22.5" customHeight="1">
      <c r="B42" s="32"/>
      <c r="C42" s="75"/>
      <c r="D42" s="113"/>
      <c r="E42" s="75"/>
      <c r="F42" s="75"/>
      <c r="G42" s="114"/>
      <c r="H42" s="114"/>
      <c r="I42" s="32"/>
      <c r="J42" s="49"/>
      <c r="K42" s="115"/>
      <c r="L42" s="32"/>
      <c r="M42" s="49"/>
      <c r="N42" s="32"/>
      <c r="O42" s="49"/>
      <c r="P42" s="49"/>
      <c r="Q42" s="32"/>
    </row>
    <row r="43" ht="22.5" customHeight="1">
      <c r="B43" s="32"/>
      <c r="C43" s="75"/>
      <c r="D43" s="113"/>
      <c r="E43" s="75"/>
      <c r="F43" s="75"/>
      <c r="G43" s="114"/>
      <c r="H43" s="114"/>
      <c r="I43" s="32"/>
      <c r="J43" s="49"/>
      <c r="K43" s="115"/>
      <c r="L43" s="32"/>
      <c r="M43" s="49"/>
      <c r="N43" s="32"/>
      <c r="O43" s="49"/>
      <c r="P43" s="49"/>
      <c r="Q43" s="32"/>
    </row>
    <row r="44" ht="22.5" customHeight="1">
      <c r="B44" s="32"/>
      <c r="C44" s="75"/>
      <c r="D44" s="113"/>
      <c r="E44" s="75"/>
      <c r="F44" s="75"/>
      <c r="G44" s="114"/>
      <c r="H44" s="114"/>
      <c r="I44" s="32"/>
      <c r="J44" s="49"/>
      <c r="K44" s="115"/>
      <c r="L44" s="32"/>
      <c r="M44" s="49"/>
      <c r="N44" s="32"/>
      <c r="O44" s="49"/>
      <c r="P44" s="49"/>
      <c r="Q44" s="32"/>
    </row>
    <row r="45" ht="22.5" customHeight="1">
      <c r="B45" s="32"/>
      <c r="C45" s="75"/>
      <c r="D45" s="113"/>
      <c r="E45" s="75"/>
      <c r="F45" s="75"/>
      <c r="G45" s="114"/>
      <c r="H45" s="114"/>
      <c r="I45" s="32"/>
      <c r="J45" s="49"/>
      <c r="K45" s="115"/>
      <c r="L45" s="32"/>
      <c r="M45" s="49"/>
      <c r="N45" s="32"/>
      <c r="O45" s="49"/>
      <c r="P45" s="49"/>
      <c r="Q45" s="32"/>
    </row>
    <row r="46" ht="22.5" customHeight="1">
      <c r="B46" s="32"/>
      <c r="C46" s="75"/>
      <c r="D46" s="113"/>
      <c r="E46" s="75"/>
      <c r="F46" s="75"/>
      <c r="G46" s="114"/>
      <c r="H46" s="114"/>
      <c r="I46" s="32"/>
      <c r="J46" s="49"/>
      <c r="K46" s="115"/>
      <c r="L46" s="32"/>
      <c r="M46" s="49"/>
      <c r="N46" s="32"/>
      <c r="O46" s="49"/>
      <c r="P46" s="49"/>
      <c r="Q46" s="32"/>
    </row>
    <row r="47" ht="22.5" customHeight="1">
      <c r="B47" s="32"/>
      <c r="C47" s="75"/>
      <c r="D47" s="113"/>
      <c r="E47" s="75"/>
      <c r="F47" s="75"/>
      <c r="G47" s="114"/>
      <c r="H47" s="114"/>
      <c r="I47" s="32"/>
      <c r="J47" s="49"/>
      <c r="K47" s="115"/>
      <c r="L47" s="32"/>
      <c r="M47" s="49"/>
      <c r="N47" s="32"/>
      <c r="O47" s="49"/>
      <c r="P47" s="49"/>
      <c r="Q47" s="32"/>
    </row>
    <row r="48" ht="22.5" customHeight="1">
      <c r="B48" s="32"/>
      <c r="C48" s="75"/>
      <c r="D48" s="113"/>
      <c r="E48" s="75"/>
      <c r="F48" s="75"/>
      <c r="G48" s="114"/>
      <c r="H48" s="114"/>
      <c r="I48" s="32"/>
      <c r="J48" s="49"/>
      <c r="K48" s="115"/>
      <c r="L48" s="32"/>
      <c r="M48" s="49"/>
      <c r="N48" s="32"/>
      <c r="O48" s="49"/>
      <c r="P48" s="49"/>
      <c r="Q48" s="32"/>
    </row>
    <row r="49" ht="22.5" customHeight="1">
      <c r="B49" s="32"/>
      <c r="C49" s="75"/>
      <c r="D49" s="113"/>
      <c r="E49" s="75"/>
      <c r="F49" s="75"/>
      <c r="G49" s="114"/>
      <c r="H49" s="114"/>
      <c r="I49" s="32"/>
      <c r="J49" s="49"/>
      <c r="K49" s="115"/>
      <c r="L49" s="32"/>
      <c r="M49" s="49"/>
      <c r="N49" s="32"/>
      <c r="O49" s="49"/>
      <c r="P49" s="49"/>
      <c r="Q49" s="32"/>
    </row>
    <row r="50" ht="22.5" customHeight="1">
      <c r="B50" s="32"/>
      <c r="C50" s="75"/>
      <c r="D50" s="113"/>
      <c r="E50" s="75"/>
      <c r="F50" s="75"/>
      <c r="G50" s="114"/>
      <c r="H50" s="114"/>
      <c r="I50" s="32"/>
      <c r="J50" s="49"/>
      <c r="K50" s="115"/>
      <c r="L50" s="32"/>
      <c r="M50" s="49"/>
      <c r="N50" s="32"/>
      <c r="O50" s="49"/>
      <c r="P50" s="49"/>
      <c r="Q50" s="32"/>
    </row>
    <row r="51" ht="22.5" customHeight="1">
      <c r="B51" s="32"/>
      <c r="C51" s="75"/>
      <c r="D51" s="113"/>
      <c r="E51" s="75"/>
      <c r="F51" s="75"/>
      <c r="G51" s="114"/>
      <c r="H51" s="114"/>
      <c r="I51" s="32"/>
      <c r="J51" s="49"/>
      <c r="K51" s="115"/>
      <c r="L51" s="32"/>
      <c r="M51" s="49"/>
      <c r="N51" s="32"/>
      <c r="O51" s="49"/>
      <c r="P51" s="49"/>
      <c r="Q51" s="32"/>
    </row>
    <row r="52" ht="22.5" customHeight="1">
      <c r="B52" s="32"/>
      <c r="C52" s="75"/>
      <c r="D52" s="113"/>
      <c r="E52" s="75"/>
      <c r="F52" s="75"/>
      <c r="G52" s="114"/>
      <c r="H52" s="114"/>
      <c r="I52" s="32"/>
      <c r="J52" s="49"/>
      <c r="K52" s="115"/>
      <c r="L52" s="32"/>
      <c r="M52" s="49"/>
      <c r="N52" s="32"/>
      <c r="O52" s="49"/>
      <c r="P52" s="49"/>
      <c r="Q52" s="3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36.0"/>
    <col customWidth="1" min="9" max="9" width="19.25"/>
    <col customWidth="1" min="10" max="10" width="22.88"/>
    <col customWidth="1" min="11" max="11" width="17.0"/>
    <col customWidth="1" min="12" max="12" width="14.3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5" t="s">
        <v>90</v>
      </c>
      <c r="E3" s="7" t="s">
        <v>8</v>
      </c>
      <c r="F3" s="7" t="s">
        <v>11</v>
      </c>
      <c r="G3" s="8" t="s">
        <v>13</v>
      </c>
      <c r="H3" s="7" t="s">
        <v>16</v>
      </c>
      <c r="I3" s="7" t="s">
        <v>17</v>
      </c>
      <c r="J3" s="7" t="s">
        <v>18</v>
      </c>
      <c r="K3" s="7" t="s">
        <v>20</v>
      </c>
      <c r="L3" s="7" t="s">
        <v>21</v>
      </c>
      <c r="M3" s="7" t="s">
        <v>23</v>
      </c>
      <c r="N3" s="7" t="s">
        <v>24</v>
      </c>
    </row>
    <row r="4" ht="26.25" customHeight="1">
      <c r="D4" s="10" t="s">
        <v>26</v>
      </c>
      <c r="E4" s="11">
        <v>2000000.0</v>
      </c>
      <c r="F4" s="13">
        <f>SUMIFS(OPI_10[MAF NETO],OPI_10[ESTADO],"Desembolsado")</f>
        <v>2030440</v>
      </c>
      <c r="G4" s="13">
        <f>F4-E4</f>
        <v>30440</v>
      </c>
      <c r="H4" s="15">
        <f>SUMIFS(OPI_10[MAF NETO],OPI_10[ESTADO],H$3)</f>
        <v>0</v>
      </c>
      <c r="I4" s="15">
        <f>SUMIFS(OPI_10[MAF NETO],OPI_10[ESTADO],I$3)</f>
        <v>0</v>
      </c>
      <c r="J4" s="15">
        <f>SUMIFS(OPI_10[MAF NETO],OPI_10[ESTADO],J$3)</f>
        <v>0</v>
      </c>
      <c r="K4" s="15">
        <f>SUMIFS(OPI_10[MAF NETO],OPI_10[ESTADO],K$3)</f>
        <v>65000</v>
      </c>
      <c r="L4" s="15">
        <f>SUMIFS(OPI_10[MAF NETO],OPI_10[ESTADO],L$3)</f>
        <v>0</v>
      </c>
      <c r="M4" s="15">
        <f>SUMIFS(OPI_10[MAF NETO],OPI_10[ESTADO],M$3)</f>
        <v>0</v>
      </c>
      <c r="N4" s="15">
        <f>SUMIFS(OPI_10[MAF NETO],OPI_10[ESTADO],N$3)</f>
        <v>0</v>
      </c>
    </row>
    <row r="5" ht="26.25" customHeight="1">
      <c r="D5" s="17" t="s">
        <v>28</v>
      </c>
      <c r="E5" s="18" t="s">
        <v>29</v>
      </c>
      <c r="F5" s="19">
        <f>COUNTIFS(OPI_10[ESTADO],"Desembolsado")</f>
        <v>33</v>
      </c>
      <c r="G5" s="20">
        <f>IFERROR(F4/E4,"")</f>
        <v>1.01522</v>
      </c>
      <c r="H5" s="19">
        <f>COUNTIFS(OPI_10[ESTADO],H$3)</f>
        <v>0</v>
      </c>
      <c r="I5" s="19">
        <f>COUNTIFS(OPI_10[ESTADO],I$3)</f>
        <v>0</v>
      </c>
      <c r="J5" s="19">
        <f>COUNTIFS(OPI_10[ESTADO],J$3)</f>
        <v>0</v>
      </c>
      <c r="K5" s="19">
        <f>COUNTIFS(OPI_10[ESTADO],K$3)</f>
        <v>1</v>
      </c>
      <c r="L5" s="19">
        <f>COUNTIFS(OPI_10[ESTADO],L$3)</f>
        <v>0</v>
      </c>
      <c r="M5" s="19">
        <f>COUNTIFS(OPI_10[ESTADO],M$3)</f>
        <v>1</v>
      </c>
      <c r="N5" s="19">
        <f>COUNTIFS(OPI_10[ESTADO],N$3)</f>
        <v>3</v>
      </c>
    </row>
    <row r="9" ht="22.5" customHeight="1">
      <c r="A9" s="21"/>
      <c r="B9" s="22" t="s">
        <v>31</v>
      </c>
      <c r="C9" s="22" t="s">
        <v>33</v>
      </c>
      <c r="D9" s="23" t="s">
        <v>34</v>
      </c>
      <c r="E9" s="22" t="s">
        <v>35</v>
      </c>
      <c r="F9" s="22" t="s">
        <v>36</v>
      </c>
      <c r="G9" s="22" t="s">
        <v>37</v>
      </c>
      <c r="H9" s="22" t="s">
        <v>38</v>
      </c>
      <c r="I9" s="22" t="s">
        <v>39</v>
      </c>
      <c r="J9" s="23" t="s">
        <v>40</v>
      </c>
      <c r="K9" s="22" t="s">
        <v>41</v>
      </c>
      <c r="L9" s="22" t="s">
        <v>42</v>
      </c>
      <c r="M9" s="23" t="s">
        <v>44</v>
      </c>
      <c r="N9" s="22" t="s">
        <v>45</v>
      </c>
      <c r="O9" s="23" t="s">
        <v>46</v>
      </c>
      <c r="P9" s="23" t="s">
        <v>47</v>
      </c>
      <c r="Q9" s="22" t="s">
        <v>48</v>
      </c>
    </row>
    <row r="10" ht="22.5" customHeight="1">
      <c r="B10" s="24"/>
      <c r="C10" s="25"/>
      <c r="D10" s="26" t="s">
        <v>58</v>
      </c>
      <c r="E10" s="25">
        <v>46204.0</v>
      </c>
      <c r="F10" s="24" t="s">
        <v>548</v>
      </c>
      <c r="G10" s="27" t="s">
        <v>549</v>
      </c>
      <c r="H10" s="27" t="s">
        <v>550</v>
      </c>
      <c r="I10" s="24" t="s">
        <v>76</v>
      </c>
      <c r="J10" s="26" t="s">
        <v>11</v>
      </c>
      <c r="K10" s="28">
        <v>79530.0</v>
      </c>
      <c r="L10" s="24" t="s">
        <v>551</v>
      </c>
      <c r="M10" s="26"/>
      <c r="N10" s="69"/>
      <c r="O10" s="49"/>
      <c r="P10" s="49"/>
      <c r="Q10" s="32"/>
    </row>
    <row r="11" ht="22.5" customHeight="1">
      <c r="B11" s="24"/>
      <c r="C11" s="25"/>
      <c r="D11" s="26" t="s">
        <v>58</v>
      </c>
      <c r="E11" s="25">
        <v>46206.0</v>
      </c>
      <c r="F11" s="25">
        <v>46206.0</v>
      </c>
      <c r="G11" s="27" t="s">
        <v>554</v>
      </c>
      <c r="H11" s="27" t="s">
        <v>555</v>
      </c>
      <c r="I11" s="24" t="s">
        <v>76</v>
      </c>
      <c r="J11" s="26" t="s">
        <v>11</v>
      </c>
      <c r="K11" s="28">
        <v>50300.0</v>
      </c>
      <c r="L11" s="24" t="s">
        <v>556</v>
      </c>
      <c r="M11" s="26"/>
      <c r="N11" s="173"/>
      <c r="O11" s="49"/>
      <c r="P11" s="49"/>
      <c r="Q11" s="174"/>
    </row>
    <row r="12" ht="22.5" customHeight="1">
      <c r="B12" s="24"/>
      <c r="C12" s="25"/>
      <c r="D12" s="26" t="s">
        <v>58</v>
      </c>
      <c r="E12" s="25">
        <v>46206.0</v>
      </c>
      <c r="F12" s="25"/>
      <c r="G12" s="27" t="s">
        <v>561</v>
      </c>
      <c r="H12" s="27" t="s">
        <v>562</v>
      </c>
      <c r="I12" s="24" t="s">
        <v>76</v>
      </c>
      <c r="J12" s="26" t="s">
        <v>11</v>
      </c>
      <c r="K12" s="28">
        <v>57150.0</v>
      </c>
      <c r="L12" s="24" t="s">
        <v>563</v>
      </c>
      <c r="M12" s="26"/>
      <c r="N12" s="32"/>
      <c r="O12" s="49"/>
      <c r="P12" s="49"/>
      <c r="Q12" s="32"/>
    </row>
    <row r="13" ht="22.5" customHeight="1">
      <c r="B13" s="24"/>
      <c r="C13" s="25"/>
      <c r="D13" s="26" t="s">
        <v>58</v>
      </c>
      <c r="E13" s="25">
        <v>46209.0</v>
      </c>
      <c r="F13" s="25"/>
      <c r="G13" s="27" t="s">
        <v>566</v>
      </c>
      <c r="H13" s="27" t="s">
        <v>567</v>
      </c>
      <c r="I13" s="24" t="s">
        <v>76</v>
      </c>
      <c r="J13" s="26" t="s">
        <v>11</v>
      </c>
      <c r="K13" s="28">
        <v>82250.0</v>
      </c>
      <c r="L13" s="24" t="s">
        <v>568</v>
      </c>
      <c r="M13" s="26"/>
      <c r="N13" s="32"/>
      <c r="O13" s="49"/>
      <c r="P13" s="49"/>
      <c r="Q13" s="32"/>
    </row>
    <row r="14" ht="22.5" customHeight="1">
      <c r="B14" s="24"/>
      <c r="C14" s="25"/>
      <c r="D14" s="26" t="s">
        <v>58</v>
      </c>
      <c r="E14" s="25"/>
      <c r="F14" s="25">
        <v>46218.0</v>
      </c>
      <c r="G14" s="27" t="s">
        <v>569</v>
      </c>
      <c r="H14" s="175" t="s">
        <v>570</v>
      </c>
      <c r="I14" s="24" t="s">
        <v>572</v>
      </c>
      <c r="J14" s="26" t="s">
        <v>11</v>
      </c>
      <c r="K14" s="28">
        <v>71400.0</v>
      </c>
      <c r="L14" s="24" t="s">
        <v>568</v>
      </c>
      <c r="M14" s="26"/>
      <c r="N14" s="32"/>
      <c r="O14" s="49"/>
      <c r="P14" s="49"/>
      <c r="Q14" s="32"/>
    </row>
    <row r="15" ht="22.5" customHeight="1">
      <c r="B15" s="24"/>
      <c r="C15" s="25"/>
      <c r="D15" s="26" t="s">
        <v>58</v>
      </c>
      <c r="E15" s="25">
        <v>46209.0</v>
      </c>
      <c r="F15" s="25"/>
      <c r="G15" s="27" t="s">
        <v>575</v>
      </c>
      <c r="H15" s="27" t="s">
        <v>576</v>
      </c>
      <c r="I15" s="24" t="s">
        <v>577</v>
      </c>
      <c r="J15" s="26" t="s">
        <v>11</v>
      </c>
      <c r="K15" s="28">
        <v>15000.0</v>
      </c>
      <c r="L15" s="24" t="s">
        <v>563</v>
      </c>
      <c r="M15" s="26"/>
      <c r="N15" s="32"/>
      <c r="O15" s="49"/>
      <c r="P15" s="49"/>
      <c r="Q15" s="32"/>
    </row>
    <row r="16" ht="22.5" customHeight="1">
      <c r="B16" s="24"/>
      <c r="C16" s="25"/>
      <c r="D16" s="26" t="s">
        <v>58</v>
      </c>
      <c r="E16" s="25">
        <v>46209.0</v>
      </c>
      <c r="F16" s="25">
        <v>46216.0</v>
      </c>
      <c r="G16" s="27" t="s">
        <v>580</v>
      </c>
      <c r="H16" s="176" t="s">
        <v>581</v>
      </c>
      <c r="I16" s="24" t="s">
        <v>582</v>
      </c>
      <c r="J16" s="26" t="s">
        <v>11</v>
      </c>
      <c r="K16" s="28">
        <v>80000.0</v>
      </c>
      <c r="L16" s="24" t="s">
        <v>568</v>
      </c>
      <c r="M16" s="26"/>
      <c r="N16" s="32"/>
      <c r="O16" s="49"/>
      <c r="P16" s="49"/>
      <c r="Q16" s="32"/>
    </row>
    <row r="17" ht="22.5" customHeight="1">
      <c r="B17" s="24"/>
      <c r="C17" s="25"/>
      <c r="D17" s="26" t="s">
        <v>58</v>
      </c>
      <c r="E17" s="25">
        <v>46206.0</v>
      </c>
      <c r="F17" s="25">
        <v>46209.0</v>
      </c>
      <c r="G17" s="27" t="s">
        <v>585</v>
      </c>
      <c r="H17" s="27" t="s">
        <v>586</v>
      </c>
      <c r="I17" s="24" t="s">
        <v>76</v>
      </c>
      <c r="J17" s="26" t="s">
        <v>11</v>
      </c>
      <c r="K17" s="28">
        <v>35650.0</v>
      </c>
      <c r="L17" s="24" t="s">
        <v>587</v>
      </c>
      <c r="M17" s="26"/>
      <c r="N17" s="32"/>
      <c r="O17" s="49"/>
      <c r="P17" s="49"/>
      <c r="Q17" s="32"/>
    </row>
    <row r="18" ht="22.5" customHeight="1">
      <c r="B18" s="24"/>
      <c r="C18" s="25"/>
      <c r="D18" s="26" t="s">
        <v>58</v>
      </c>
      <c r="E18" s="25">
        <v>46209.0</v>
      </c>
      <c r="F18" s="25">
        <v>46209.0</v>
      </c>
      <c r="G18" s="27" t="s">
        <v>588</v>
      </c>
      <c r="H18" s="27" t="s">
        <v>589</v>
      </c>
      <c r="I18" s="24" t="s">
        <v>76</v>
      </c>
      <c r="J18" s="26" t="s">
        <v>11</v>
      </c>
      <c r="K18" s="28">
        <v>75700.0</v>
      </c>
      <c r="L18" s="24" t="s">
        <v>590</v>
      </c>
      <c r="M18" s="26"/>
      <c r="N18" s="32"/>
      <c r="O18" s="49"/>
      <c r="P18" s="49"/>
      <c r="Q18" s="32"/>
    </row>
    <row r="19" ht="22.5" customHeight="1">
      <c r="B19" s="24"/>
      <c r="C19" s="25"/>
      <c r="D19" s="26" t="s">
        <v>58</v>
      </c>
      <c r="E19" s="25">
        <v>46209.0</v>
      </c>
      <c r="F19" s="25"/>
      <c r="G19" s="27" t="s">
        <v>593</v>
      </c>
      <c r="H19" s="27" t="s">
        <v>594</v>
      </c>
      <c r="I19" s="24" t="s">
        <v>582</v>
      </c>
      <c r="J19" s="26" t="s">
        <v>23</v>
      </c>
      <c r="K19" s="28">
        <v>0.0</v>
      </c>
      <c r="L19" s="24" t="s">
        <v>590</v>
      </c>
      <c r="M19" s="26"/>
      <c r="N19" s="32"/>
      <c r="O19" s="49"/>
      <c r="P19" s="49"/>
      <c r="Q19" s="32"/>
    </row>
    <row r="20" ht="22.5" customHeight="1">
      <c r="B20" s="24"/>
      <c r="C20" s="25"/>
      <c r="D20" s="26" t="s">
        <v>58</v>
      </c>
      <c r="E20" s="25">
        <v>46209.0</v>
      </c>
      <c r="F20" s="25"/>
      <c r="G20" s="27" t="s">
        <v>597</v>
      </c>
      <c r="H20" s="27" t="s">
        <v>598</v>
      </c>
      <c r="I20" s="24" t="s">
        <v>76</v>
      </c>
      <c r="J20" s="26" t="s">
        <v>11</v>
      </c>
      <c r="K20" s="28">
        <v>73580.0</v>
      </c>
      <c r="L20" s="24" t="s">
        <v>590</v>
      </c>
      <c r="M20" s="26"/>
      <c r="N20" s="32"/>
      <c r="O20" s="49"/>
      <c r="P20" s="49"/>
      <c r="Q20" s="32"/>
    </row>
    <row r="21" ht="22.5" customHeight="1">
      <c r="B21" s="24"/>
      <c r="C21" s="25">
        <v>46209.0</v>
      </c>
      <c r="D21" s="26" t="s">
        <v>58</v>
      </c>
      <c r="E21" s="25">
        <v>46210.0</v>
      </c>
      <c r="F21" s="25">
        <v>46212.0</v>
      </c>
      <c r="G21" s="27" t="s">
        <v>600</v>
      </c>
      <c r="H21" s="176" t="s">
        <v>601</v>
      </c>
      <c r="I21" s="24" t="s">
        <v>76</v>
      </c>
      <c r="J21" s="26" t="s">
        <v>11</v>
      </c>
      <c r="K21" s="28">
        <v>82780.0</v>
      </c>
      <c r="L21" s="24" t="s">
        <v>602</v>
      </c>
      <c r="M21" s="26"/>
      <c r="N21" s="32"/>
      <c r="O21" s="49"/>
      <c r="P21" s="49"/>
      <c r="Q21" s="32"/>
    </row>
    <row r="22" ht="22.5" customHeight="1">
      <c r="B22" s="24"/>
      <c r="C22" s="25"/>
      <c r="D22" s="26" t="s">
        <v>58</v>
      </c>
      <c r="E22" s="25">
        <v>46209.0</v>
      </c>
      <c r="F22" s="24"/>
      <c r="G22" s="27" t="s">
        <v>605</v>
      </c>
      <c r="H22" s="27" t="s">
        <v>606</v>
      </c>
      <c r="I22" s="24" t="s">
        <v>76</v>
      </c>
      <c r="J22" s="26" t="s">
        <v>11</v>
      </c>
      <c r="K22" s="28">
        <v>83300.0</v>
      </c>
      <c r="L22" s="24" t="s">
        <v>568</v>
      </c>
      <c r="M22" s="26"/>
      <c r="N22" s="32"/>
      <c r="O22" s="49"/>
      <c r="P22" s="49"/>
      <c r="Q22" s="32"/>
    </row>
    <row r="23" ht="22.5" customHeight="1">
      <c r="B23" s="32"/>
      <c r="C23" s="25">
        <v>46210.0</v>
      </c>
      <c r="D23" s="26" t="s">
        <v>58</v>
      </c>
      <c r="E23" s="25">
        <v>46211.0</v>
      </c>
      <c r="F23" s="25"/>
      <c r="G23" s="27" t="s">
        <v>611</v>
      </c>
      <c r="H23" s="176" t="s">
        <v>612</v>
      </c>
      <c r="I23" s="24" t="s">
        <v>124</v>
      </c>
      <c r="J23" s="26" t="s">
        <v>11</v>
      </c>
      <c r="K23" s="28">
        <v>85250.0</v>
      </c>
      <c r="L23" s="24" t="s">
        <v>568</v>
      </c>
      <c r="M23" s="26"/>
      <c r="N23" s="32"/>
      <c r="O23" s="49"/>
      <c r="P23" s="49"/>
      <c r="Q23" s="32"/>
    </row>
    <row r="24" ht="22.5" customHeight="1">
      <c r="B24" s="32"/>
      <c r="C24" s="25"/>
      <c r="D24" s="26" t="s">
        <v>58</v>
      </c>
      <c r="E24" s="75"/>
      <c r="F24" s="75"/>
      <c r="G24" s="27" t="s">
        <v>615</v>
      </c>
      <c r="H24" s="176" t="s">
        <v>617</v>
      </c>
      <c r="I24" s="24" t="s">
        <v>577</v>
      </c>
      <c r="J24" s="26" t="s">
        <v>11</v>
      </c>
      <c r="K24" s="28">
        <v>39850.0</v>
      </c>
      <c r="L24" s="24" t="s">
        <v>563</v>
      </c>
      <c r="M24" s="26"/>
      <c r="N24" s="32"/>
      <c r="O24" s="49"/>
      <c r="P24" s="49"/>
      <c r="Q24" s="32"/>
    </row>
    <row r="25" ht="22.5" customHeight="1">
      <c r="B25" s="32"/>
      <c r="C25" s="25">
        <v>46211.0</v>
      </c>
      <c r="D25" s="26" t="s">
        <v>58</v>
      </c>
      <c r="E25" s="25">
        <v>46211.0</v>
      </c>
      <c r="F25" s="25">
        <v>46212.0</v>
      </c>
      <c r="G25" s="27" t="s">
        <v>621</v>
      </c>
      <c r="H25" s="177" t="s">
        <v>622</v>
      </c>
      <c r="I25" s="24" t="s">
        <v>76</v>
      </c>
      <c r="J25" s="26" t="s">
        <v>11</v>
      </c>
      <c r="K25" s="28">
        <v>30000.0</v>
      </c>
      <c r="L25" s="24" t="s">
        <v>568</v>
      </c>
      <c r="M25" s="26"/>
      <c r="N25" s="32"/>
      <c r="O25" s="49"/>
      <c r="P25" s="49"/>
      <c r="Q25" s="32"/>
    </row>
    <row r="26" ht="22.5" customHeight="1">
      <c r="B26" s="32"/>
      <c r="C26" s="25">
        <v>46212.0</v>
      </c>
      <c r="D26" s="26" t="s">
        <v>58</v>
      </c>
      <c r="E26" s="25"/>
      <c r="F26" s="25">
        <v>46219.0</v>
      </c>
      <c r="G26" s="27" t="s">
        <v>625</v>
      </c>
      <c r="H26" s="27" t="s">
        <v>626</v>
      </c>
      <c r="I26" s="24" t="s">
        <v>627</v>
      </c>
      <c r="J26" s="26" t="s">
        <v>11</v>
      </c>
      <c r="K26" s="28">
        <v>138100.0</v>
      </c>
      <c r="L26" s="24" t="s">
        <v>568</v>
      </c>
      <c r="M26" s="49"/>
      <c r="N26" s="32"/>
      <c r="O26" s="49"/>
      <c r="P26" s="49"/>
      <c r="Q26" s="32"/>
    </row>
    <row r="27" ht="22.5" customHeight="1">
      <c r="B27" s="32"/>
      <c r="C27" s="25"/>
      <c r="D27" s="26" t="s">
        <v>58</v>
      </c>
      <c r="E27" s="25"/>
      <c r="F27" s="75"/>
      <c r="G27" s="27" t="s">
        <v>631</v>
      </c>
      <c r="H27" s="27" t="s">
        <v>632</v>
      </c>
      <c r="I27" s="24" t="s">
        <v>76</v>
      </c>
      <c r="J27" s="26" t="s">
        <v>11</v>
      </c>
      <c r="K27" s="28">
        <v>80850.0</v>
      </c>
      <c r="L27" s="24" t="s">
        <v>587</v>
      </c>
      <c r="M27" s="49"/>
      <c r="N27" s="32"/>
      <c r="O27" s="49"/>
      <c r="P27" s="49"/>
      <c r="Q27" s="32"/>
    </row>
    <row r="28" ht="22.5" customHeight="1">
      <c r="B28" s="32"/>
      <c r="C28" s="75"/>
      <c r="D28" s="26" t="s">
        <v>58</v>
      </c>
      <c r="E28" s="75"/>
      <c r="F28" s="25"/>
      <c r="G28" s="27" t="s">
        <v>637</v>
      </c>
      <c r="H28" s="27" t="s">
        <v>638</v>
      </c>
      <c r="I28" s="24" t="s">
        <v>76</v>
      </c>
      <c r="J28" s="26" t="s">
        <v>11</v>
      </c>
      <c r="K28" s="28">
        <v>50000.0</v>
      </c>
      <c r="L28" s="24" t="s">
        <v>590</v>
      </c>
      <c r="M28" s="49"/>
      <c r="N28" s="32"/>
      <c r="O28" s="49"/>
      <c r="P28" s="49"/>
      <c r="Q28" s="32"/>
    </row>
    <row r="29" ht="22.5" customHeight="1">
      <c r="B29" s="32"/>
      <c r="C29" s="75"/>
      <c r="D29" s="26" t="s">
        <v>58</v>
      </c>
      <c r="E29" s="75"/>
      <c r="F29" s="75"/>
      <c r="G29" s="27" t="s">
        <v>640</v>
      </c>
      <c r="H29" s="176" t="s">
        <v>641</v>
      </c>
      <c r="I29" s="24" t="s">
        <v>577</v>
      </c>
      <c r="J29" s="26" t="s">
        <v>11</v>
      </c>
      <c r="K29" s="28">
        <v>7500.0</v>
      </c>
      <c r="L29" s="24" t="s">
        <v>563</v>
      </c>
      <c r="M29" s="49"/>
      <c r="N29" s="32"/>
      <c r="O29" s="49"/>
      <c r="P29" s="49"/>
      <c r="Q29" s="32"/>
    </row>
    <row r="30" ht="22.5" customHeight="1">
      <c r="B30" s="32"/>
      <c r="C30" s="25"/>
      <c r="D30" s="26" t="s">
        <v>58</v>
      </c>
      <c r="E30" s="75"/>
      <c r="F30" s="75"/>
      <c r="G30" s="27" t="s">
        <v>645</v>
      </c>
      <c r="H30" s="27" t="s">
        <v>646</v>
      </c>
      <c r="I30" s="24" t="s">
        <v>76</v>
      </c>
      <c r="J30" s="26" t="s">
        <v>11</v>
      </c>
      <c r="K30" s="28">
        <v>25000.0</v>
      </c>
      <c r="L30" s="24" t="s">
        <v>563</v>
      </c>
      <c r="M30" s="49"/>
      <c r="N30" s="32"/>
      <c r="O30" s="49"/>
      <c r="P30" s="49"/>
      <c r="Q30" s="32"/>
    </row>
    <row r="31" ht="22.5" customHeight="1">
      <c r="B31" s="32"/>
      <c r="C31" s="25"/>
      <c r="D31" s="26" t="s">
        <v>58</v>
      </c>
      <c r="E31" s="75"/>
      <c r="F31" s="75"/>
      <c r="G31" s="27" t="s">
        <v>647</v>
      </c>
      <c r="H31" s="27" t="s">
        <v>648</v>
      </c>
      <c r="I31" s="24" t="s">
        <v>76</v>
      </c>
      <c r="J31" s="26" t="s">
        <v>11</v>
      </c>
      <c r="K31" s="28">
        <v>23900.0</v>
      </c>
      <c r="L31" s="24" t="s">
        <v>568</v>
      </c>
      <c r="M31" s="49"/>
      <c r="N31" s="32"/>
      <c r="O31" s="49"/>
      <c r="P31" s="49"/>
      <c r="Q31" s="32"/>
    </row>
    <row r="32" ht="22.5" customHeight="1">
      <c r="B32" s="32"/>
      <c r="C32" s="25"/>
      <c r="D32" s="26" t="s">
        <v>58</v>
      </c>
      <c r="E32" s="75"/>
      <c r="F32" s="75"/>
      <c r="G32" s="27" t="s">
        <v>649</v>
      </c>
      <c r="H32" s="176" t="s">
        <v>650</v>
      </c>
      <c r="I32" s="24" t="s">
        <v>76</v>
      </c>
      <c r="J32" s="26" t="s">
        <v>11</v>
      </c>
      <c r="K32" s="28">
        <v>83300.0</v>
      </c>
      <c r="L32" s="24" t="s">
        <v>590</v>
      </c>
      <c r="M32" s="49"/>
      <c r="N32" s="32"/>
      <c r="O32" s="49"/>
      <c r="P32" s="49"/>
      <c r="Q32" s="32"/>
    </row>
    <row r="33" ht="22.5" customHeight="1">
      <c r="B33" s="32"/>
      <c r="C33" s="75"/>
      <c r="D33" s="26" t="s">
        <v>58</v>
      </c>
      <c r="E33" s="75"/>
      <c r="F33" s="75"/>
      <c r="G33" s="27" t="s">
        <v>651</v>
      </c>
      <c r="H33" s="27" t="s">
        <v>652</v>
      </c>
      <c r="I33" s="24" t="s">
        <v>76</v>
      </c>
      <c r="J33" s="26" t="s">
        <v>11</v>
      </c>
      <c r="K33" s="28">
        <v>89250.0</v>
      </c>
      <c r="L33" s="24" t="s">
        <v>590</v>
      </c>
      <c r="M33" s="49"/>
      <c r="N33" s="32"/>
      <c r="O33" s="49"/>
      <c r="P33" s="49"/>
      <c r="Q33" s="32"/>
    </row>
    <row r="34" ht="22.5" customHeight="1">
      <c r="B34" s="32"/>
      <c r="C34" s="75"/>
      <c r="D34" s="26" t="s">
        <v>58</v>
      </c>
      <c r="E34" s="75"/>
      <c r="F34" s="75"/>
      <c r="G34" s="27" t="s">
        <v>653</v>
      </c>
      <c r="H34" s="27" t="s">
        <v>654</v>
      </c>
      <c r="I34" s="24" t="s">
        <v>572</v>
      </c>
      <c r="J34" s="26" t="s">
        <v>11</v>
      </c>
      <c r="K34" s="28">
        <v>25000.0</v>
      </c>
      <c r="L34" s="24" t="s">
        <v>568</v>
      </c>
      <c r="M34" s="49"/>
      <c r="N34" s="32"/>
      <c r="O34" s="49"/>
      <c r="P34" s="49"/>
      <c r="Q34" s="32"/>
    </row>
    <row r="35" ht="22.5" customHeight="1">
      <c r="B35" s="32"/>
      <c r="C35" s="75"/>
      <c r="D35" s="26"/>
      <c r="E35" s="75"/>
      <c r="F35" s="75"/>
      <c r="G35" s="27" t="s">
        <v>655</v>
      </c>
      <c r="H35" s="27" t="s">
        <v>656</v>
      </c>
      <c r="I35" s="24" t="s">
        <v>124</v>
      </c>
      <c r="J35" s="26" t="s">
        <v>24</v>
      </c>
      <c r="K35" s="28">
        <v>0.0</v>
      </c>
      <c r="L35" s="24" t="s">
        <v>563</v>
      </c>
      <c r="M35" s="49"/>
      <c r="N35" s="32"/>
      <c r="O35" s="49"/>
      <c r="P35" s="49"/>
      <c r="Q35" s="32"/>
    </row>
    <row r="36" ht="22.5" customHeight="1">
      <c r="B36" s="32"/>
      <c r="C36" s="25"/>
      <c r="D36" s="26" t="s">
        <v>58</v>
      </c>
      <c r="E36" s="75"/>
      <c r="F36" s="75"/>
      <c r="G36" s="27" t="s">
        <v>657</v>
      </c>
      <c r="H36" s="176" t="s">
        <v>658</v>
      </c>
      <c r="I36" s="24" t="s">
        <v>76</v>
      </c>
      <c r="J36" s="26" t="s">
        <v>11</v>
      </c>
      <c r="K36" s="28">
        <v>50000.0</v>
      </c>
      <c r="L36" s="24" t="s">
        <v>568</v>
      </c>
      <c r="M36" s="49"/>
      <c r="N36" s="32"/>
      <c r="O36" s="49"/>
      <c r="P36" s="49"/>
      <c r="Q36" s="32"/>
    </row>
    <row r="37" ht="22.5" customHeight="1">
      <c r="B37" s="32"/>
      <c r="C37" s="75"/>
      <c r="D37" s="26" t="s">
        <v>49</v>
      </c>
      <c r="E37" s="75"/>
      <c r="F37" s="75"/>
      <c r="G37" s="27" t="s">
        <v>659</v>
      </c>
      <c r="H37" s="27"/>
      <c r="I37" s="24" t="s">
        <v>76</v>
      </c>
      <c r="J37" s="26" t="s">
        <v>24</v>
      </c>
      <c r="K37" s="28">
        <v>0.0</v>
      </c>
      <c r="L37" s="24" t="s">
        <v>568</v>
      </c>
      <c r="M37" s="49"/>
      <c r="N37" s="32"/>
      <c r="O37" s="49"/>
      <c r="P37" s="49"/>
      <c r="Q37" s="32"/>
    </row>
    <row r="38" ht="22.5" customHeight="1">
      <c r="B38" s="32"/>
      <c r="C38" s="25"/>
      <c r="D38" s="26" t="s">
        <v>49</v>
      </c>
      <c r="E38" s="75"/>
      <c r="F38" s="75"/>
      <c r="G38" s="27" t="s">
        <v>660</v>
      </c>
      <c r="H38" s="179" t="s">
        <v>661</v>
      </c>
      <c r="I38" s="24" t="s">
        <v>662</v>
      </c>
      <c r="J38" s="26" t="s">
        <v>24</v>
      </c>
      <c r="K38" s="28">
        <v>0.0</v>
      </c>
      <c r="L38" s="24" t="s">
        <v>563</v>
      </c>
      <c r="M38" s="49"/>
      <c r="N38" s="32"/>
      <c r="O38" s="49"/>
      <c r="P38" s="49"/>
      <c r="Q38" s="32"/>
    </row>
    <row r="39" ht="22.5" customHeight="1">
      <c r="B39" s="32"/>
      <c r="C39" s="25"/>
      <c r="D39" s="26" t="s">
        <v>58</v>
      </c>
      <c r="E39" s="75"/>
      <c r="F39" s="75"/>
      <c r="G39" s="27" t="s">
        <v>663</v>
      </c>
      <c r="H39" s="176" t="s">
        <v>664</v>
      </c>
      <c r="I39" s="24" t="s">
        <v>665</v>
      </c>
      <c r="J39" s="26" t="s">
        <v>11</v>
      </c>
      <c r="K39" s="28">
        <v>49000.0</v>
      </c>
      <c r="L39" s="24" t="s">
        <v>602</v>
      </c>
      <c r="M39" s="49"/>
      <c r="N39" s="32"/>
      <c r="O39" s="49"/>
      <c r="P39" s="49"/>
      <c r="Q39" s="32"/>
    </row>
    <row r="40" ht="22.5" customHeight="1">
      <c r="B40" s="32"/>
      <c r="C40" s="24">
        <v>0.0</v>
      </c>
      <c r="D40" s="26" t="s">
        <v>58</v>
      </c>
      <c r="E40" s="75"/>
      <c r="F40" s="75"/>
      <c r="G40" s="27" t="s">
        <v>666</v>
      </c>
      <c r="H40" s="176" t="s">
        <v>667</v>
      </c>
      <c r="I40" s="24" t="s">
        <v>76</v>
      </c>
      <c r="J40" s="26" t="s">
        <v>11</v>
      </c>
      <c r="K40" s="28">
        <v>83000.0</v>
      </c>
      <c r="L40" s="24" t="s">
        <v>556</v>
      </c>
      <c r="M40" s="49"/>
      <c r="N40" s="32"/>
      <c r="O40" s="49"/>
      <c r="P40" s="49"/>
      <c r="Q40" s="32"/>
    </row>
    <row r="41" ht="22.5" customHeight="1">
      <c r="B41" s="32"/>
      <c r="C41" s="75"/>
      <c r="D41" s="26" t="s">
        <v>58</v>
      </c>
      <c r="E41" s="75"/>
      <c r="F41" s="75"/>
      <c r="G41" s="27" t="s">
        <v>668</v>
      </c>
      <c r="H41" s="180" t="s">
        <v>669</v>
      </c>
      <c r="I41" s="24" t="s">
        <v>76</v>
      </c>
      <c r="J41" s="26" t="s">
        <v>11</v>
      </c>
      <c r="K41" s="28">
        <v>71000.0</v>
      </c>
      <c r="L41" s="24" t="s">
        <v>590</v>
      </c>
      <c r="M41" s="49"/>
      <c r="N41" s="32"/>
      <c r="O41" s="49"/>
      <c r="P41" s="49"/>
      <c r="Q41" s="32"/>
    </row>
    <row r="42" ht="22.5" customHeight="1">
      <c r="B42" s="32"/>
      <c r="C42" s="75"/>
      <c r="D42" s="26" t="s">
        <v>58</v>
      </c>
      <c r="E42" s="75"/>
      <c r="F42" s="75"/>
      <c r="G42" s="27" t="s">
        <v>670</v>
      </c>
      <c r="H42" s="27" t="s">
        <v>671</v>
      </c>
      <c r="I42" s="24" t="s">
        <v>76</v>
      </c>
      <c r="J42" s="26" t="s">
        <v>11</v>
      </c>
      <c r="K42" s="28">
        <v>31300.0</v>
      </c>
      <c r="L42" s="24" t="s">
        <v>590</v>
      </c>
      <c r="M42" s="49"/>
      <c r="N42" s="32"/>
      <c r="O42" s="49"/>
      <c r="P42" s="49"/>
      <c r="Q42" s="32"/>
    </row>
    <row r="43" ht="22.5" customHeight="1">
      <c r="B43" s="32"/>
      <c r="C43" s="75"/>
      <c r="D43" s="26" t="s">
        <v>58</v>
      </c>
      <c r="E43" s="75"/>
      <c r="F43" s="75"/>
      <c r="G43" s="27" t="s">
        <v>672</v>
      </c>
      <c r="H43" s="27" t="s">
        <v>673</v>
      </c>
      <c r="I43" s="24" t="s">
        <v>76</v>
      </c>
      <c r="J43" s="26" t="s">
        <v>11</v>
      </c>
      <c r="K43" s="28">
        <v>41000.0</v>
      </c>
      <c r="L43" s="24" t="s">
        <v>590</v>
      </c>
      <c r="M43" s="49"/>
      <c r="N43" s="32"/>
      <c r="O43" s="49"/>
      <c r="P43" s="49"/>
      <c r="Q43" s="32"/>
    </row>
    <row r="44" ht="22.5" customHeight="1">
      <c r="B44" s="32"/>
      <c r="C44" s="75"/>
      <c r="D44" s="26" t="s">
        <v>58</v>
      </c>
      <c r="E44" s="75"/>
      <c r="F44" s="75"/>
      <c r="G44" s="27" t="s">
        <v>674</v>
      </c>
      <c r="H44" s="175" t="s">
        <v>675</v>
      </c>
      <c r="I44" s="24" t="s">
        <v>76</v>
      </c>
      <c r="J44" s="26" t="s">
        <v>20</v>
      </c>
      <c r="K44" s="28">
        <v>65000.0</v>
      </c>
      <c r="L44" s="24" t="s">
        <v>563</v>
      </c>
      <c r="M44" s="49"/>
      <c r="N44" s="32"/>
      <c r="O44" s="49"/>
      <c r="P44" s="49"/>
      <c r="Q44" s="32"/>
    </row>
    <row r="45" ht="22.5" customHeight="1">
      <c r="B45" s="32"/>
      <c r="C45" s="75"/>
      <c r="D45" s="26" t="s">
        <v>58</v>
      </c>
      <c r="E45" s="75"/>
      <c r="F45" s="75"/>
      <c r="G45" s="27" t="s">
        <v>676</v>
      </c>
      <c r="H45" s="175" t="s">
        <v>677</v>
      </c>
      <c r="I45" s="24" t="s">
        <v>662</v>
      </c>
      <c r="J45" s="26" t="s">
        <v>11</v>
      </c>
      <c r="K45" s="28">
        <v>89000.0</v>
      </c>
      <c r="L45" s="24" t="s">
        <v>590</v>
      </c>
      <c r="M45" s="49"/>
      <c r="N45" s="32"/>
      <c r="O45" s="49"/>
      <c r="P45" s="49"/>
      <c r="Q45" s="32"/>
    </row>
    <row r="46" ht="22.5" customHeight="1">
      <c r="B46" s="32"/>
      <c r="C46" s="75"/>
      <c r="D46" s="26" t="s">
        <v>58</v>
      </c>
      <c r="E46" s="75"/>
      <c r="F46" s="75"/>
      <c r="G46" s="27" t="s">
        <v>678</v>
      </c>
      <c r="H46" s="176" t="s">
        <v>679</v>
      </c>
      <c r="I46" s="24" t="s">
        <v>76</v>
      </c>
      <c r="J46" s="26" t="s">
        <v>11</v>
      </c>
      <c r="K46" s="28">
        <v>72500.0</v>
      </c>
      <c r="L46" s="24" t="s">
        <v>568</v>
      </c>
      <c r="M46" s="49"/>
      <c r="N46" s="32"/>
      <c r="O46" s="49"/>
      <c r="P46" s="49"/>
      <c r="Q46" s="32"/>
    </row>
    <row r="47" ht="22.5" customHeight="1">
      <c r="B47" s="32"/>
      <c r="C47" s="75"/>
      <c r="D47" s="26" t="s">
        <v>58</v>
      </c>
      <c r="E47" s="75"/>
      <c r="F47" s="75"/>
      <c r="G47" s="27" t="s">
        <v>680</v>
      </c>
      <c r="H47" s="175" t="s">
        <v>681</v>
      </c>
      <c r="I47" s="24" t="s">
        <v>76</v>
      </c>
      <c r="J47" s="26" t="s">
        <v>11</v>
      </c>
      <c r="K47" s="28">
        <v>79000.0</v>
      </c>
      <c r="L47" s="24" t="s">
        <v>556</v>
      </c>
      <c r="M47" s="49"/>
      <c r="N47" s="32"/>
      <c r="O47" s="49"/>
      <c r="P47" s="49"/>
      <c r="Q47" s="32"/>
    </row>
    <row r="48" ht="22.5" customHeight="1">
      <c r="B48" s="32"/>
      <c r="C48" s="75"/>
      <c r="D48" s="26"/>
      <c r="E48" s="75"/>
      <c r="F48" s="75"/>
      <c r="G48" s="27"/>
      <c r="H48" s="176"/>
      <c r="I48" s="24"/>
      <c r="J48" s="26"/>
      <c r="K48" s="28"/>
      <c r="L48" s="24"/>
      <c r="M48" s="49"/>
      <c r="N48" s="32"/>
      <c r="O48" s="49"/>
      <c r="P48" s="49"/>
      <c r="Q48" s="32"/>
    </row>
    <row r="49" ht="22.5" customHeight="1">
      <c r="B49" s="32"/>
      <c r="C49" s="75"/>
      <c r="D49" s="113"/>
      <c r="E49" s="75"/>
      <c r="F49" s="75"/>
      <c r="G49" s="114"/>
      <c r="H49" s="114"/>
      <c r="I49" s="32"/>
      <c r="J49" s="49"/>
      <c r="K49" s="115"/>
      <c r="L49" s="32"/>
      <c r="M49" s="49"/>
      <c r="N49" s="32"/>
      <c r="O49" s="49"/>
      <c r="P49" s="49"/>
      <c r="Q49" s="32"/>
    </row>
    <row r="50" ht="22.5" customHeight="1">
      <c r="B50" s="32"/>
      <c r="C50" s="75"/>
      <c r="D50" s="113"/>
      <c r="E50" s="75"/>
      <c r="F50" s="75"/>
      <c r="G50" s="114"/>
      <c r="H50" s="114"/>
      <c r="I50" s="32"/>
      <c r="J50" s="49"/>
      <c r="K50" s="115"/>
      <c r="L50" s="32"/>
      <c r="M50" s="49"/>
      <c r="N50" s="32"/>
      <c r="O50" s="49"/>
      <c r="P50" s="49"/>
      <c r="Q50" s="32"/>
    </row>
    <row r="51" ht="22.5" customHeight="1">
      <c r="B51" s="32"/>
      <c r="C51" s="75"/>
      <c r="D51" s="113"/>
      <c r="E51" s="75"/>
      <c r="F51" s="75"/>
      <c r="G51" s="114"/>
      <c r="H51" s="114"/>
      <c r="I51" s="32"/>
      <c r="J51" s="49"/>
      <c r="K51" s="115"/>
      <c r="L51" s="32"/>
      <c r="M51" s="49"/>
      <c r="N51" s="32"/>
      <c r="O51" s="49"/>
      <c r="P51" s="49"/>
      <c r="Q51" s="32"/>
    </row>
    <row r="52" ht="22.5" customHeight="1">
      <c r="B52" s="32"/>
      <c r="C52" s="75"/>
      <c r="D52" s="113"/>
      <c r="E52" s="75"/>
      <c r="F52" s="75"/>
      <c r="G52" s="114"/>
      <c r="H52" s="114"/>
      <c r="I52" s="32"/>
      <c r="J52" s="49"/>
      <c r="K52" s="115"/>
      <c r="L52" s="32"/>
      <c r="M52" s="49"/>
      <c r="N52" s="32"/>
      <c r="O52" s="49"/>
      <c r="P52" s="49"/>
      <c r="Q52" s="3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22.63"/>
    <col customWidth="1" min="9" max="9" width="19.25"/>
    <col customWidth="1" min="10" max="10" width="22.88"/>
    <col customWidth="1" min="11" max="11" width="17.0"/>
    <col customWidth="1" min="12" max="12" width="14.25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5" t="s">
        <v>90</v>
      </c>
      <c r="E3" s="7" t="s">
        <v>8</v>
      </c>
      <c r="F3" s="7" t="s">
        <v>11</v>
      </c>
      <c r="G3" s="8" t="s">
        <v>13</v>
      </c>
      <c r="H3" s="7" t="s">
        <v>16</v>
      </c>
      <c r="I3" s="7" t="s">
        <v>17</v>
      </c>
      <c r="J3" s="7" t="s">
        <v>18</v>
      </c>
      <c r="K3" s="7" t="s">
        <v>20</v>
      </c>
      <c r="L3" s="7" t="s">
        <v>21</v>
      </c>
      <c r="M3" s="7" t="s">
        <v>23</v>
      </c>
      <c r="N3" s="7" t="s">
        <v>24</v>
      </c>
    </row>
    <row r="4" ht="26.25" customHeight="1">
      <c r="D4" s="10" t="s">
        <v>26</v>
      </c>
      <c r="E4" s="11">
        <v>1000000.0</v>
      </c>
      <c r="F4" s="13">
        <f>SUMIFS(OPI_8[MAF NETO],OPI_8[ESTADO],"Desembolsado")</f>
        <v>721466.1</v>
      </c>
      <c r="G4" s="13">
        <f>F4-E4</f>
        <v>-278533.9</v>
      </c>
      <c r="H4" s="15">
        <f>SUMIFS(OPI_8[MAF NETO],OPI_8[ESTADO],H$3)</f>
        <v>0</v>
      </c>
      <c r="I4" s="15">
        <f>SUMIFS(OPI_8[MAF NETO],OPI_8[ESTADO],I$3)</f>
        <v>162500</v>
      </c>
      <c r="J4" s="15">
        <f>SUMIFS(OPI_8[MAF NETO],OPI_8[ESTADO],J$3)</f>
        <v>72900</v>
      </c>
      <c r="K4" s="15">
        <f>SUMIFS(OPI_8[MAF NETO],OPI_8[ESTADO],K$3)</f>
        <v>93800</v>
      </c>
      <c r="L4" s="15">
        <f>SUMIFS(OPI_8[MAF NETO],OPI_8[ESTADO],L$3)</f>
        <v>0</v>
      </c>
      <c r="M4" s="15">
        <f>SUMIFS(OPI_8[MAF NETO],OPI_8[ESTADO],M$3)</f>
        <v>128170</v>
      </c>
      <c r="N4" s="15">
        <f>SUMIFS(OPI_8[MAF NETO],OPI_8[ESTADO],N$3)</f>
        <v>0</v>
      </c>
    </row>
    <row r="5" ht="26.25" customHeight="1">
      <c r="D5" s="17" t="s">
        <v>28</v>
      </c>
      <c r="E5" s="18" t="s">
        <v>29</v>
      </c>
      <c r="F5" s="19">
        <f>COUNTIFS(OPI_8[ESTADO],"Desembolsado")</f>
        <v>10</v>
      </c>
      <c r="G5" s="20">
        <f>IFERROR(F4/E4,"")</f>
        <v>0.7214661</v>
      </c>
      <c r="H5" s="19">
        <f>COUNTIFS(OPI_8[ESTADO],H$3)</f>
        <v>0</v>
      </c>
      <c r="I5" s="19">
        <f>COUNTIFS(OPI_8[ESTADO],I$3)</f>
        <v>2</v>
      </c>
      <c r="J5" s="19">
        <f>COUNTIFS(OPI_8[ESTADO],J$3)</f>
        <v>1</v>
      </c>
      <c r="K5" s="19">
        <f>COUNTIFS(OPI_8[ESTADO],K$3)</f>
        <v>1</v>
      </c>
      <c r="L5" s="19">
        <f>COUNTIFS(OPI_8[ESTADO],L$3)</f>
        <v>0</v>
      </c>
      <c r="M5" s="19">
        <f>COUNTIFS(OPI_8[ESTADO],M$3)</f>
        <v>2</v>
      </c>
      <c r="N5" s="19">
        <f>COUNTIFS(OPI_8[ESTADO],N$3)</f>
        <v>6</v>
      </c>
    </row>
    <row r="9" ht="22.5" customHeight="1">
      <c r="A9" s="21"/>
      <c r="B9" s="22" t="s">
        <v>31</v>
      </c>
      <c r="C9" s="22" t="s">
        <v>33</v>
      </c>
      <c r="D9" s="23" t="s">
        <v>34</v>
      </c>
      <c r="E9" s="22" t="s">
        <v>35</v>
      </c>
      <c r="F9" s="22" t="s">
        <v>36</v>
      </c>
      <c r="G9" s="22" t="s">
        <v>37</v>
      </c>
      <c r="H9" s="181" t="s">
        <v>682</v>
      </c>
      <c r="I9" s="22" t="s">
        <v>39</v>
      </c>
      <c r="J9" s="23" t="s">
        <v>40</v>
      </c>
      <c r="K9" s="22" t="s">
        <v>41</v>
      </c>
      <c r="L9" s="22" t="s">
        <v>42</v>
      </c>
      <c r="M9" s="23" t="s">
        <v>44</v>
      </c>
      <c r="N9" s="22" t="s">
        <v>45</v>
      </c>
      <c r="O9" s="23" t="s">
        <v>46</v>
      </c>
      <c r="P9" s="23" t="s">
        <v>47</v>
      </c>
      <c r="Q9" s="22" t="s">
        <v>48</v>
      </c>
    </row>
    <row r="10" ht="22.5" customHeight="1">
      <c r="B10" s="24"/>
      <c r="C10" s="25">
        <v>46205.0</v>
      </c>
      <c r="D10" s="26" t="s">
        <v>58</v>
      </c>
      <c r="E10" s="25"/>
      <c r="F10" s="25"/>
      <c r="G10" s="27" t="s">
        <v>683</v>
      </c>
      <c r="H10" s="27" t="s">
        <v>682</v>
      </c>
      <c r="I10" s="27" t="s">
        <v>665</v>
      </c>
      <c r="J10" s="26" t="s">
        <v>11</v>
      </c>
      <c r="K10" s="28">
        <v>40000.0</v>
      </c>
      <c r="L10" s="24" t="s">
        <v>684</v>
      </c>
      <c r="M10" s="49"/>
      <c r="N10" s="32"/>
      <c r="O10" s="49"/>
      <c r="P10" s="49"/>
      <c r="Q10" s="32"/>
    </row>
    <row r="11" ht="22.5" hidden="1" customHeight="1">
      <c r="B11" s="32"/>
      <c r="C11" s="25">
        <v>46235.0</v>
      </c>
      <c r="D11" s="26" t="s">
        <v>247</v>
      </c>
      <c r="E11" s="24" t="s">
        <v>633</v>
      </c>
      <c r="F11" s="75"/>
      <c r="G11" s="27" t="s">
        <v>685</v>
      </c>
      <c r="H11" s="27" t="s">
        <v>686</v>
      </c>
      <c r="I11" s="27" t="s">
        <v>687</v>
      </c>
      <c r="J11" s="26" t="s">
        <v>17</v>
      </c>
      <c r="K11" s="28">
        <v>116200.0</v>
      </c>
      <c r="L11" s="24" t="s">
        <v>684</v>
      </c>
      <c r="M11" s="49"/>
      <c r="N11" s="32"/>
      <c r="O11" s="49"/>
      <c r="P11" s="49"/>
      <c r="Q11" s="32"/>
    </row>
    <row r="12" ht="22.5" customHeight="1">
      <c r="B12" s="32"/>
      <c r="C12" s="25">
        <v>46209.0</v>
      </c>
      <c r="D12" s="26" t="s">
        <v>58</v>
      </c>
      <c r="E12" s="75"/>
      <c r="F12" s="75"/>
      <c r="G12" s="27" t="s">
        <v>688</v>
      </c>
      <c r="H12" s="27" t="s">
        <v>689</v>
      </c>
      <c r="I12" s="27" t="s">
        <v>245</v>
      </c>
      <c r="J12" s="26" t="s">
        <v>24</v>
      </c>
      <c r="K12" s="28">
        <v>0.0</v>
      </c>
      <c r="L12" s="24" t="s">
        <v>690</v>
      </c>
      <c r="M12" s="49"/>
      <c r="N12" s="32"/>
      <c r="O12" s="49"/>
      <c r="P12" s="49"/>
      <c r="Q12" s="32"/>
    </row>
    <row r="13" ht="22.5" customHeight="1">
      <c r="B13" s="32"/>
      <c r="C13" s="25">
        <v>46209.0</v>
      </c>
      <c r="D13" s="26" t="s">
        <v>58</v>
      </c>
      <c r="E13" s="75"/>
      <c r="F13" s="75"/>
      <c r="G13" s="27" t="s">
        <v>691</v>
      </c>
      <c r="H13" s="27" t="s">
        <v>692</v>
      </c>
      <c r="I13" s="27" t="s">
        <v>64</v>
      </c>
      <c r="J13" s="26" t="s">
        <v>11</v>
      </c>
      <c r="K13" s="28">
        <v>81500.0</v>
      </c>
      <c r="L13" s="24" t="s">
        <v>693</v>
      </c>
      <c r="M13" s="49"/>
      <c r="N13" s="32"/>
      <c r="O13" s="49"/>
      <c r="P13" s="49"/>
      <c r="Q13" s="32"/>
    </row>
    <row r="14" ht="22.5" customHeight="1">
      <c r="B14" s="32"/>
      <c r="C14" s="25">
        <v>46210.0</v>
      </c>
      <c r="D14" s="26" t="s">
        <v>58</v>
      </c>
      <c r="E14" s="75"/>
      <c r="F14" s="75"/>
      <c r="G14" s="27" t="s">
        <v>694</v>
      </c>
      <c r="H14" s="27" t="s">
        <v>695</v>
      </c>
      <c r="I14" s="27" t="s">
        <v>64</v>
      </c>
      <c r="J14" s="26" t="s">
        <v>11</v>
      </c>
      <c r="K14" s="28">
        <v>89346.1</v>
      </c>
      <c r="L14" s="24" t="s">
        <v>696</v>
      </c>
      <c r="M14" s="49"/>
      <c r="N14" s="32"/>
      <c r="O14" s="49"/>
      <c r="P14" s="49"/>
      <c r="Q14" s="32"/>
    </row>
    <row r="15" ht="22.5" customHeight="1">
      <c r="B15" s="32"/>
      <c r="C15" s="25">
        <v>46210.0</v>
      </c>
      <c r="D15" s="26" t="s">
        <v>58</v>
      </c>
      <c r="E15" s="75"/>
      <c r="F15" s="75"/>
      <c r="G15" s="27" t="s">
        <v>697</v>
      </c>
      <c r="H15" s="27" t="s">
        <v>698</v>
      </c>
      <c r="I15" s="27" t="s">
        <v>64</v>
      </c>
      <c r="J15" s="26" t="s">
        <v>11</v>
      </c>
      <c r="K15" s="28">
        <v>110000.0</v>
      </c>
      <c r="L15" s="24" t="s">
        <v>690</v>
      </c>
      <c r="M15" s="49"/>
      <c r="N15" s="32"/>
      <c r="O15" s="49"/>
      <c r="P15" s="49"/>
      <c r="Q15" s="32"/>
    </row>
    <row r="16" ht="22.5" customHeight="1">
      <c r="B16" s="32"/>
      <c r="C16" s="25">
        <v>46211.0</v>
      </c>
      <c r="D16" s="26" t="s">
        <v>58</v>
      </c>
      <c r="E16" s="75"/>
      <c r="F16" s="75"/>
      <c r="G16" s="27" t="s">
        <v>701</v>
      </c>
      <c r="H16" s="27" t="s">
        <v>702</v>
      </c>
      <c r="I16" s="27" t="s">
        <v>265</v>
      </c>
      <c r="J16" s="26" t="s">
        <v>11</v>
      </c>
      <c r="K16" s="28">
        <v>60200.0</v>
      </c>
      <c r="L16" s="24" t="s">
        <v>696</v>
      </c>
      <c r="M16" s="49"/>
      <c r="N16" s="32"/>
      <c r="O16" s="49"/>
      <c r="P16" s="49"/>
      <c r="Q16" s="32"/>
    </row>
    <row r="17" ht="22.5" customHeight="1">
      <c r="B17" s="32"/>
      <c r="C17" s="25">
        <v>46211.0</v>
      </c>
      <c r="D17" s="26" t="s">
        <v>58</v>
      </c>
      <c r="E17" s="75"/>
      <c r="F17" s="75"/>
      <c r="G17" s="27" t="s">
        <v>706</v>
      </c>
      <c r="H17" s="27" t="s">
        <v>707</v>
      </c>
      <c r="I17" s="27" t="s">
        <v>265</v>
      </c>
      <c r="J17" s="26" t="s">
        <v>23</v>
      </c>
      <c r="K17" s="28">
        <v>54170.0</v>
      </c>
      <c r="L17" s="24" t="s">
        <v>696</v>
      </c>
      <c r="M17" s="49"/>
      <c r="N17" s="32"/>
      <c r="O17" s="49"/>
      <c r="P17" s="49"/>
      <c r="Q17" s="32"/>
    </row>
    <row r="18" ht="22.5" customHeight="1">
      <c r="B18" s="32"/>
      <c r="C18" s="25">
        <v>46212.0</v>
      </c>
      <c r="D18" s="26" t="s">
        <v>58</v>
      </c>
      <c r="E18" s="75"/>
      <c r="F18" s="75"/>
      <c r="G18" s="27" t="s">
        <v>710</v>
      </c>
      <c r="H18" s="27" t="s">
        <v>711</v>
      </c>
      <c r="I18" s="24" t="s">
        <v>124</v>
      </c>
      <c r="J18" s="182" t="s">
        <v>11</v>
      </c>
      <c r="K18" s="28">
        <v>56900.0</v>
      </c>
      <c r="L18" s="24" t="s">
        <v>714</v>
      </c>
      <c r="M18" s="49"/>
      <c r="N18" s="32"/>
      <c r="O18" s="49"/>
      <c r="P18" s="49"/>
      <c r="Q18" s="32"/>
    </row>
    <row r="19" ht="22.5" customHeight="1">
      <c r="B19" s="32"/>
      <c r="C19" s="25">
        <v>46218.0</v>
      </c>
      <c r="D19" s="26" t="s">
        <v>49</v>
      </c>
      <c r="E19" s="75"/>
      <c r="F19" s="75"/>
      <c r="G19" s="27" t="s">
        <v>715</v>
      </c>
      <c r="H19" s="27" t="s">
        <v>716</v>
      </c>
      <c r="I19" s="24" t="s">
        <v>64</v>
      </c>
      <c r="J19" s="26" t="s">
        <v>24</v>
      </c>
      <c r="K19" s="28">
        <v>0.0</v>
      </c>
      <c r="L19" s="24" t="s">
        <v>719</v>
      </c>
      <c r="M19" s="49"/>
      <c r="N19" s="32"/>
      <c r="O19" s="49"/>
      <c r="P19" s="49"/>
      <c r="Q19" s="32"/>
    </row>
    <row r="20" ht="22.5" customHeight="1">
      <c r="B20" s="32"/>
      <c r="C20" s="25">
        <v>46218.0</v>
      </c>
      <c r="D20" s="26" t="s">
        <v>58</v>
      </c>
      <c r="E20" s="75"/>
      <c r="F20" s="75"/>
      <c r="G20" s="27" t="s">
        <v>721</v>
      </c>
      <c r="H20" s="27" t="s">
        <v>723</v>
      </c>
      <c r="I20" s="24" t="s">
        <v>265</v>
      </c>
      <c r="J20" s="26" t="s">
        <v>11</v>
      </c>
      <c r="K20" s="28">
        <v>67220.0</v>
      </c>
      <c r="L20" s="24" t="s">
        <v>696</v>
      </c>
      <c r="M20" s="49"/>
      <c r="N20" s="32"/>
      <c r="O20" s="49"/>
      <c r="P20" s="49"/>
      <c r="Q20" s="32"/>
    </row>
    <row r="21" ht="22.5" customHeight="1">
      <c r="B21" s="32"/>
      <c r="C21" s="25">
        <v>46219.0</v>
      </c>
      <c r="D21" s="26" t="s">
        <v>58</v>
      </c>
      <c r="E21" s="24" t="s">
        <v>726</v>
      </c>
      <c r="F21" s="75"/>
      <c r="G21" s="27" t="s">
        <v>729</v>
      </c>
      <c r="H21" s="27" t="s">
        <v>730</v>
      </c>
      <c r="I21" s="24" t="s">
        <v>64</v>
      </c>
      <c r="J21" s="26" t="s">
        <v>11</v>
      </c>
      <c r="K21" s="28">
        <v>70000.0</v>
      </c>
      <c r="L21" s="24" t="s">
        <v>719</v>
      </c>
      <c r="M21" s="49"/>
      <c r="N21" s="32"/>
      <c r="O21" s="49"/>
      <c r="P21" s="49"/>
      <c r="Q21" s="32"/>
    </row>
    <row r="22" ht="22.5" customHeight="1">
      <c r="B22" s="32"/>
      <c r="C22" s="25">
        <v>46219.0</v>
      </c>
      <c r="D22" s="26" t="s">
        <v>49</v>
      </c>
      <c r="E22" s="75"/>
      <c r="F22" s="75"/>
      <c r="G22" s="27" t="s">
        <v>731</v>
      </c>
      <c r="H22" s="27" t="s">
        <v>732</v>
      </c>
      <c r="I22" s="24" t="s">
        <v>124</v>
      </c>
      <c r="J22" s="26" t="s">
        <v>24</v>
      </c>
      <c r="K22" s="28">
        <v>0.0</v>
      </c>
      <c r="L22" s="24" t="s">
        <v>693</v>
      </c>
      <c r="M22" s="49"/>
      <c r="N22" s="32"/>
      <c r="O22" s="49"/>
      <c r="P22" s="49"/>
      <c r="Q22" s="32"/>
    </row>
    <row r="23" ht="22.5" customHeight="1">
      <c r="B23" s="32"/>
      <c r="C23" s="25">
        <v>46219.0</v>
      </c>
      <c r="D23" s="26" t="s">
        <v>58</v>
      </c>
      <c r="E23" s="75"/>
      <c r="F23" s="75"/>
      <c r="G23" s="27" t="s">
        <v>735</v>
      </c>
      <c r="H23" s="27" t="s">
        <v>736</v>
      </c>
      <c r="I23" s="24" t="s">
        <v>124</v>
      </c>
      <c r="J23" s="26" t="s">
        <v>11</v>
      </c>
      <c r="K23" s="28">
        <v>80300.0</v>
      </c>
      <c r="L23" s="24" t="s">
        <v>693</v>
      </c>
      <c r="M23" s="49"/>
      <c r="N23" s="32"/>
      <c r="O23" s="49"/>
      <c r="P23" s="49"/>
      <c r="Q23" s="32"/>
    </row>
    <row r="24" ht="22.5" customHeight="1">
      <c r="B24" s="32"/>
      <c r="C24" s="25">
        <v>46219.0</v>
      </c>
      <c r="D24" s="26" t="s">
        <v>58</v>
      </c>
      <c r="E24" s="75"/>
      <c r="F24" s="75"/>
      <c r="G24" s="27" t="s">
        <v>739</v>
      </c>
      <c r="H24" s="27" t="s">
        <v>740</v>
      </c>
      <c r="I24" s="24" t="s">
        <v>124</v>
      </c>
      <c r="J24" s="26" t="s">
        <v>11</v>
      </c>
      <c r="K24" s="28">
        <v>66000.0</v>
      </c>
      <c r="L24" s="24" t="s">
        <v>693</v>
      </c>
      <c r="M24" s="49"/>
      <c r="N24" s="32"/>
      <c r="O24" s="49"/>
      <c r="P24" s="49"/>
      <c r="Q24" s="32"/>
    </row>
    <row r="25" ht="22.5" customHeight="1">
      <c r="B25" s="32"/>
      <c r="C25" s="25">
        <v>46225.0</v>
      </c>
      <c r="D25" s="26" t="s">
        <v>58</v>
      </c>
      <c r="E25" s="24" t="s">
        <v>742</v>
      </c>
      <c r="F25" s="75"/>
      <c r="G25" s="27" t="s">
        <v>743</v>
      </c>
      <c r="H25" s="27" t="s">
        <v>744</v>
      </c>
      <c r="I25" s="24" t="s">
        <v>745</v>
      </c>
      <c r="J25" s="26" t="s">
        <v>24</v>
      </c>
      <c r="K25" s="28">
        <v>0.0</v>
      </c>
      <c r="L25" s="24" t="s">
        <v>684</v>
      </c>
      <c r="M25" s="49"/>
      <c r="N25" s="32"/>
      <c r="O25" s="49"/>
      <c r="P25" s="49"/>
      <c r="Q25" s="32"/>
    </row>
    <row r="26" ht="22.5" customHeight="1">
      <c r="B26" s="32"/>
      <c r="C26" s="25">
        <v>46227.0</v>
      </c>
      <c r="D26" s="26" t="s">
        <v>58</v>
      </c>
      <c r="E26" s="75"/>
      <c r="F26" s="75"/>
      <c r="G26" s="27" t="s">
        <v>748</v>
      </c>
      <c r="H26" s="27" t="s">
        <v>749</v>
      </c>
      <c r="I26" s="24" t="s">
        <v>245</v>
      </c>
      <c r="J26" s="26" t="s">
        <v>23</v>
      </c>
      <c r="K26" s="28">
        <v>74000.0</v>
      </c>
      <c r="L26" s="24" t="s">
        <v>719</v>
      </c>
      <c r="M26" s="49"/>
      <c r="N26" s="32"/>
      <c r="O26" s="49"/>
      <c r="P26" s="49"/>
      <c r="Q26" s="32"/>
    </row>
    <row r="27" ht="22.5" customHeight="1">
      <c r="B27" s="32"/>
      <c r="C27" s="25">
        <v>46233.0</v>
      </c>
      <c r="D27" s="26" t="s">
        <v>49</v>
      </c>
      <c r="E27" s="24" t="s">
        <v>633</v>
      </c>
      <c r="F27" s="75"/>
      <c r="G27" s="27" t="s">
        <v>750</v>
      </c>
      <c r="H27" s="27" t="s">
        <v>751</v>
      </c>
      <c r="I27" s="24" t="s">
        <v>54</v>
      </c>
      <c r="J27" s="26" t="s">
        <v>24</v>
      </c>
      <c r="K27" s="28">
        <v>0.0</v>
      </c>
      <c r="L27" s="24" t="s">
        <v>719</v>
      </c>
      <c r="M27" s="49"/>
      <c r="N27" s="32"/>
      <c r="O27" s="49"/>
      <c r="P27" s="49"/>
      <c r="Q27" s="32"/>
    </row>
    <row r="28" ht="22.5" customHeight="1">
      <c r="B28" s="32"/>
      <c r="C28" s="25">
        <v>46228.0</v>
      </c>
      <c r="D28" s="26" t="s">
        <v>49</v>
      </c>
      <c r="E28" s="24" t="s">
        <v>633</v>
      </c>
      <c r="F28" s="75"/>
      <c r="G28" s="27" t="s">
        <v>754</v>
      </c>
      <c r="H28" s="27" t="s">
        <v>755</v>
      </c>
      <c r="I28" s="24" t="s">
        <v>64</v>
      </c>
      <c r="J28" s="26" t="s">
        <v>24</v>
      </c>
      <c r="K28" s="28">
        <v>0.0</v>
      </c>
      <c r="L28" s="24" t="s">
        <v>719</v>
      </c>
      <c r="M28" s="49"/>
      <c r="N28" s="32"/>
      <c r="O28" s="49"/>
      <c r="P28" s="49"/>
      <c r="Q28" s="32"/>
    </row>
    <row r="29" ht="22.5" customHeight="1">
      <c r="B29" s="32"/>
      <c r="C29" s="25">
        <v>46233.0</v>
      </c>
      <c r="D29" s="26" t="s">
        <v>58</v>
      </c>
      <c r="E29" s="75"/>
      <c r="F29" s="75"/>
      <c r="G29" s="27" t="s">
        <v>758</v>
      </c>
      <c r="H29" s="27" t="s">
        <v>759</v>
      </c>
      <c r="I29" s="24" t="s">
        <v>109</v>
      </c>
      <c r="J29" s="26" t="s">
        <v>20</v>
      </c>
      <c r="K29" s="28">
        <v>93800.0</v>
      </c>
      <c r="L29" s="24" t="s">
        <v>693</v>
      </c>
      <c r="M29" s="49"/>
      <c r="N29" s="32"/>
      <c r="O29" s="49"/>
      <c r="P29" s="49"/>
      <c r="Q29" s="32"/>
    </row>
    <row r="30" ht="22.5" hidden="1" customHeight="1">
      <c r="B30" s="32"/>
      <c r="C30" s="25">
        <v>46230.0</v>
      </c>
      <c r="D30" s="26" t="s">
        <v>58</v>
      </c>
      <c r="E30" s="75"/>
      <c r="F30" s="75"/>
      <c r="G30" s="27" t="s">
        <v>762</v>
      </c>
      <c r="H30" s="183" t="s">
        <v>763</v>
      </c>
      <c r="I30" s="24" t="s">
        <v>109</v>
      </c>
      <c r="J30" s="26" t="s">
        <v>764</v>
      </c>
      <c r="K30" s="28">
        <v>72900.0</v>
      </c>
      <c r="L30" s="24" t="s">
        <v>693</v>
      </c>
      <c r="M30" s="49"/>
      <c r="N30" s="32"/>
      <c r="O30" s="49"/>
      <c r="P30" s="49"/>
      <c r="Q30" s="32"/>
    </row>
    <row r="31" ht="22.5" hidden="1" customHeight="1">
      <c r="B31" s="32"/>
      <c r="C31" s="25">
        <v>46234.0</v>
      </c>
      <c r="D31" s="26" t="s">
        <v>247</v>
      </c>
      <c r="E31" s="75"/>
      <c r="F31" s="75"/>
      <c r="G31" s="27" t="s">
        <v>767</v>
      </c>
      <c r="H31" s="27" t="s">
        <v>770</v>
      </c>
      <c r="I31" s="24" t="s">
        <v>265</v>
      </c>
      <c r="J31" s="26" t="s">
        <v>17</v>
      </c>
      <c r="K31" s="28">
        <v>46300.0</v>
      </c>
      <c r="L31" s="24" t="s">
        <v>772</v>
      </c>
      <c r="M31" s="49"/>
      <c r="N31" s="32"/>
      <c r="O31" s="49"/>
      <c r="P31" s="49"/>
      <c r="Q31" s="32"/>
    </row>
    <row r="32" ht="22.5" customHeight="1">
      <c r="B32" s="32"/>
      <c r="C32" s="75"/>
      <c r="D32" s="113"/>
      <c r="E32" s="75"/>
      <c r="F32" s="75"/>
      <c r="G32" s="114"/>
      <c r="H32" s="114"/>
      <c r="I32" s="32"/>
      <c r="J32" s="49"/>
      <c r="K32" s="115"/>
      <c r="L32" s="32"/>
      <c r="M32" s="49"/>
      <c r="N32" s="32"/>
      <c r="O32" s="49"/>
      <c r="P32" s="49"/>
      <c r="Q32" s="32"/>
    </row>
    <row r="33" ht="22.5" customHeight="1">
      <c r="B33" s="32"/>
      <c r="C33" s="75"/>
      <c r="D33" s="113"/>
      <c r="E33" s="75"/>
      <c r="F33" s="75"/>
      <c r="G33" s="114"/>
      <c r="H33" s="114"/>
      <c r="I33" s="32"/>
      <c r="J33" s="49"/>
      <c r="K33" s="115"/>
      <c r="L33" s="32"/>
      <c r="M33" s="49"/>
      <c r="N33" s="32"/>
      <c r="O33" s="49"/>
      <c r="P33" s="49"/>
      <c r="Q33" s="32"/>
    </row>
    <row r="34" ht="22.5" customHeight="1">
      <c r="B34" s="32"/>
      <c r="C34" s="75"/>
      <c r="D34" s="113"/>
      <c r="E34" s="75"/>
      <c r="F34" s="75"/>
      <c r="G34" s="114"/>
      <c r="H34" s="114"/>
      <c r="I34" s="32"/>
      <c r="J34" s="49"/>
      <c r="K34" s="115"/>
      <c r="L34" s="32"/>
      <c r="M34" s="49"/>
      <c r="N34" s="32"/>
      <c r="O34" s="49"/>
      <c r="P34" s="49"/>
      <c r="Q34" s="32"/>
    </row>
    <row r="35" ht="22.5" customHeight="1">
      <c r="B35" s="32"/>
      <c r="C35" s="75"/>
      <c r="D35" s="113"/>
      <c r="E35" s="75"/>
      <c r="F35" s="75"/>
      <c r="G35" s="114"/>
      <c r="H35" s="114"/>
      <c r="I35" s="32"/>
      <c r="J35" s="49"/>
      <c r="K35" s="115"/>
      <c r="L35" s="32"/>
      <c r="M35" s="49"/>
      <c r="N35" s="32"/>
      <c r="O35" s="49"/>
      <c r="P35" s="49"/>
      <c r="Q35" s="32"/>
    </row>
    <row r="36" ht="22.5" customHeight="1">
      <c r="B36" s="32"/>
      <c r="C36" s="75"/>
      <c r="D36" s="113"/>
      <c r="E36" s="75"/>
      <c r="F36" s="75"/>
      <c r="G36" s="114"/>
      <c r="H36" s="114"/>
      <c r="I36" s="32"/>
      <c r="J36" s="49"/>
      <c r="K36" s="115"/>
      <c r="L36" s="32"/>
      <c r="M36" s="49"/>
      <c r="N36" s="32"/>
      <c r="O36" s="49"/>
      <c r="P36" s="49"/>
      <c r="Q36" s="32"/>
    </row>
    <row r="37" ht="22.5" customHeight="1">
      <c r="B37" s="32"/>
      <c r="C37" s="75"/>
      <c r="D37" s="113"/>
      <c r="E37" s="75"/>
      <c r="F37" s="75"/>
      <c r="G37" s="114"/>
      <c r="H37" s="114"/>
      <c r="I37" s="32"/>
      <c r="J37" s="49"/>
      <c r="K37" s="115"/>
      <c r="L37" s="32"/>
      <c r="M37" s="49"/>
      <c r="N37" s="32"/>
      <c r="O37" s="49"/>
      <c r="P37" s="49"/>
      <c r="Q37" s="32"/>
    </row>
    <row r="38" ht="22.5" customHeight="1">
      <c r="B38" s="32"/>
      <c r="C38" s="75"/>
      <c r="D38" s="113"/>
      <c r="E38" s="75"/>
      <c r="F38" s="75"/>
      <c r="G38" s="114"/>
      <c r="H38" s="114"/>
      <c r="I38" s="32"/>
      <c r="J38" s="49"/>
      <c r="K38" s="115"/>
      <c r="L38" s="32"/>
      <c r="M38" s="49"/>
      <c r="N38" s="32"/>
      <c r="O38" s="49"/>
      <c r="P38" s="49"/>
      <c r="Q38" s="32"/>
    </row>
    <row r="39" ht="22.5" customHeight="1">
      <c r="B39" s="32"/>
      <c r="C39" s="75"/>
      <c r="D39" s="113"/>
      <c r="E39" s="75"/>
      <c r="F39" s="75"/>
      <c r="G39" s="114"/>
      <c r="H39" s="114"/>
      <c r="I39" s="32"/>
      <c r="J39" s="49"/>
      <c r="K39" s="115"/>
      <c r="L39" s="32"/>
      <c r="M39" s="49"/>
      <c r="N39" s="32"/>
      <c r="O39" s="49"/>
      <c r="P39" s="49"/>
      <c r="Q39" s="32"/>
    </row>
    <row r="40" ht="22.5" customHeight="1">
      <c r="B40" s="32"/>
      <c r="C40" s="75"/>
      <c r="D40" s="113"/>
      <c r="E40" s="75"/>
      <c r="F40" s="75"/>
      <c r="G40" s="114"/>
      <c r="H40" s="114"/>
      <c r="I40" s="32"/>
      <c r="J40" s="49"/>
      <c r="K40" s="115"/>
      <c r="L40" s="32"/>
      <c r="M40" s="49"/>
      <c r="N40" s="32"/>
      <c r="O40" s="49"/>
      <c r="P40" s="49"/>
      <c r="Q40" s="32"/>
    </row>
    <row r="41" ht="22.5" customHeight="1">
      <c r="B41" s="32"/>
      <c r="C41" s="75"/>
      <c r="D41" s="113"/>
      <c r="E41" s="75"/>
      <c r="F41" s="75"/>
      <c r="G41" s="114"/>
      <c r="H41" s="114"/>
      <c r="I41" s="32"/>
      <c r="J41" s="49"/>
      <c r="K41" s="115"/>
      <c r="L41" s="32"/>
      <c r="M41" s="49"/>
      <c r="N41" s="32"/>
      <c r="O41" s="49"/>
      <c r="P41" s="49"/>
      <c r="Q41" s="32"/>
    </row>
    <row r="42" ht="22.5" customHeight="1">
      <c r="B42" s="32"/>
      <c r="C42" s="75"/>
      <c r="D42" s="113"/>
      <c r="E42" s="75"/>
      <c r="F42" s="75"/>
      <c r="G42" s="114"/>
      <c r="H42" s="114"/>
      <c r="I42" s="32"/>
      <c r="J42" s="49"/>
      <c r="K42" s="115"/>
      <c r="L42" s="32"/>
      <c r="M42" s="49"/>
      <c r="N42" s="32"/>
      <c r="O42" s="49"/>
      <c r="P42" s="49"/>
      <c r="Q42" s="32"/>
    </row>
    <row r="43" ht="22.5" customHeight="1">
      <c r="B43" s="32"/>
      <c r="C43" s="75"/>
      <c r="D43" s="113"/>
      <c r="E43" s="75"/>
      <c r="F43" s="75"/>
      <c r="G43" s="114"/>
      <c r="H43" s="114"/>
      <c r="I43" s="32"/>
      <c r="J43" s="49"/>
      <c r="K43" s="115"/>
      <c r="L43" s="32"/>
      <c r="M43" s="49"/>
      <c r="N43" s="32"/>
      <c r="O43" s="49"/>
      <c r="P43" s="49"/>
      <c r="Q43" s="32"/>
    </row>
    <row r="44" ht="22.5" customHeight="1">
      <c r="B44" s="32"/>
      <c r="C44" s="75"/>
      <c r="D44" s="113"/>
      <c r="E44" s="75"/>
      <c r="F44" s="75"/>
      <c r="G44" s="114"/>
      <c r="H44" s="114"/>
      <c r="I44" s="32"/>
      <c r="J44" s="49"/>
      <c r="K44" s="115"/>
      <c r="L44" s="32"/>
      <c r="M44" s="49"/>
      <c r="N44" s="32"/>
      <c r="O44" s="49"/>
      <c r="P44" s="49"/>
      <c r="Q44" s="32"/>
    </row>
    <row r="45" ht="22.5" customHeight="1">
      <c r="B45" s="32"/>
      <c r="C45" s="75"/>
      <c r="D45" s="113"/>
      <c r="E45" s="75"/>
      <c r="F45" s="75"/>
      <c r="G45" s="114"/>
      <c r="H45" s="114"/>
      <c r="I45" s="32"/>
      <c r="J45" s="49"/>
      <c r="K45" s="115"/>
      <c r="L45" s="32"/>
      <c r="M45" s="49"/>
      <c r="N45" s="32"/>
      <c r="O45" s="49"/>
      <c r="P45" s="49"/>
      <c r="Q45" s="32"/>
    </row>
    <row r="46" ht="22.5" customHeight="1">
      <c r="B46" s="32"/>
      <c r="C46" s="75"/>
      <c r="D46" s="113"/>
      <c r="E46" s="75"/>
      <c r="F46" s="75"/>
      <c r="G46" s="114"/>
      <c r="H46" s="114"/>
      <c r="I46" s="32"/>
      <c r="J46" s="49"/>
      <c r="K46" s="115"/>
      <c r="L46" s="32"/>
      <c r="M46" s="49"/>
      <c r="N46" s="32"/>
      <c r="O46" s="49"/>
      <c r="P46" s="49"/>
      <c r="Q46" s="32"/>
    </row>
    <row r="47" ht="22.5" customHeight="1">
      <c r="B47" s="32"/>
      <c r="C47" s="75"/>
      <c r="D47" s="113"/>
      <c r="E47" s="75"/>
      <c r="F47" s="75"/>
      <c r="G47" s="114"/>
      <c r="H47" s="114"/>
      <c r="I47" s="32"/>
      <c r="J47" s="49"/>
      <c r="K47" s="115"/>
      <c r="L47" s="32"/>
      <c r="M47" s="49"/>
      <c r="N47" s="32"/>
      <c r="O47" s="49"/>
      <c r="P47" s="49"/>
      <c r="Q47" s="32"/>
    </row>
    <row r="48" ht="22.5" customHeight="1">
      <c r="B48" s="32"/>
      <c r="C48" s="75"/>
      <c r="D48" s="113"/>
      <c r="E48" s="75"/>
      <c r="F48" s="75"/>
      <c r="G48" s="114"/>
      <c r="H48" s="114"/>
      <c r="I48" s="32"/>
      <c r="J48" s="49"/>
      <c r="K48" s="115"/>
      <c r="L48" s="32"/>
      <c r="M48" s="49"/>
      <c r="N48" s="32"/>
      <c r="O48" s="49"/>
      <c r="P48" s="49"/>
      <c r="Q48" s="32"/>
    </row>
    <row r="49" ht="22.5" customHeight="1">
      <c r="B49" s="32"/>
      <c r="C49" s="75"/>
      <c r="D49" s="113"/>
      <c r="E49" s="75"/>
      <c r="F49" s="75"/>
      <c r="G49" s="114"/>
      <c r="H49" s="114"/>
      <c r="I49" s="32"/>
      <c r="J49" s="49"/>
      <c r="K49" s="115"/>
      <c r="L49" s="32"/>
      <c r="M49" s="49"/>
      <c r="N49" s="32"/>
      <c r="O49" s="49"/>
      <c r="P49" s="49"/>
      <c r="Q49" s="32"/>
    </row>
    <row r="50" ht="22.5" customHeight="1">
      <c r="B50" s="32"/>
      <c r="C50" s="75"/>
      <c r="D50" s="113"/>
      <c r="E50" s="75"/>
      <c r="F50" s="75"/>
      <c r="G50" s="114"/>
      <c r="H50" s="114"/>
      <c r="I50" s="32"/>
      <c r="J50" s="49"/>
      <c r="K50" s="115"/>
      <c r="L50" s="32"/>
      <c r="M50" s="49"/>
      <c r="N50" s="32"/>
      <c r="O50" s="49"/>
      <c r="P50" s="49"/>
      <c r="Q50" s="32"/>
    </row>
    <row r="51" ht="22.5" customHeight="1">
      <c r="B51" s="32"/>
      <c r="C51" s="75"/>
      <c r="D51" s="113"/>
      <c r="E51" s="75"/>
      <c r="F51" s="75"/>
      <c r="G51" s="114"/>
      <c r="H51" s="114"/>
      <c r="I51" s="32"/>
      <c r="J51" s="49"/>
      <c r="K51" s="115"/>
      <c r="L51" s="32"/>
      <c r="M51" s="49"/>
      <c r="N51" s="32"/>
      <c r="O51" s="49"/>
      <c r="P51" s="49"/>
      <c r="Q51" s="32"/>
    </row>
    <row r="52" ht="22.5" customHeight="1">
      <c r="B52" s="32"/>
      <c r="C52" s="75"/>
      <c r="D52" s="113"/>
      <c r="E52" s="75"/>
      <c r="F52" s="75"/>
      <c r="G52" s="114"/>
      <c r="H52" s="114"/>
      <c r="I52" s="32"/>
      <c r="J52" s="49"/>
      <c r="K52" s="115"/>
      <c r="L52" s="32"/>
      <c r="M52" s="49"/>
      <c r="N52" s="32"/>
      <c r="O52" s="49"/>
      <c r="P52" s="49"/>
      <c r="Q52" s="3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29.5"/>
    <col customWidth="1" min="9" max="9" width="19.25"/>
    <col customWidth="1" min="10" max="10" width="22.88"/>
    <col customWidth="1" min="11" max="11" width="17.0"/>
    <col customWidth="1" min="12" max="12" width="14.25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5" t="s">
        <v>168</v>
      </c>
      <c r="E3" s="7" t="s">
        <v>8</v>
      </c>
      <c r="F3" s="7" t="s">
        <v>11</v>
      </c>
      <c r="G3" s="8" t="s">
        <v>13</v>
      </c>
      <c r="H3" s="7" t="s">
        <v>16</v>
      </c>
      <c r="I3" s="7" t="s">
        <v>17</v>
      </c>
      <c r="J3" s="7" t="s">
        <v>18</v>
      </c>
      <c r="K3" s="7" t="s">
        <v>20</v>
      </c>
      <c r="L3" s="7" t="s">
        <v>21</v>
      </c>
      <c r="M3" s="7" t="s">
        <v>23</v>
      </c>
      <c r="N3" s="7" t="s">
        <v>24</v>
      </c>
    </row>
    <row r="4" ht="26.25" customHeight="1">
      <c r="D4" s="10" t="s">
        <v>26</v>
      </c>
      <c r="E4" s="11">
        <v>800000.0</v>
      </c>
      <c r="F4" s="13">
        <f>SUMIFS(OPI_9[Columna 10],OPI_9[ESTADO],"Desembolsado")</f>
        <v>845150</v>
      </c>
      <c r="G4" s="13">
        <f>F4-E4</f>
        <v>45150</v>
      </c>
      <c r="H4" s="15">
        <f>SUMIFS(OPI_9[Columna 10],OPI_9[ESTADO],H$3)</f>
        <v>0</v>
      </c>
      <c r="I4" s="15">
        <f>SUMIFS(OPI_9[Columna 10],OPI_9[ESTADO],I$3)</f>
        <v>0</v>
      </c>
      <c r="J4" s="15">
        <f>SUMIFS(OPI_9[Columna 10],OPI_9[ESTADO],J$3)</f>
        <v>70000</v>
      </c>
      <c r="K4" s="15">
        <f>SUMIFS(OPI_9[Columna 10],OPI_9[ESTADO],K$3)</f>
        <v>225800</v>
      </c>
      <c r="L4" s="15">
        <f>SUMIFS(OPI_9[Columna 10],OPI_9[ESTADO],L$3)</f>
        <v>0</v>
      </c>
      <c r="M4" s="15">
        <f>SUMIFS(OPI_9[Columna 10],OPI_9[ESTADO],M$3)</f>
        <v>0</v>
      </c>
      <c r="N4" s="15">
        <f>SUMIFS(OPI_9[Columna 10],OPI_9[ESTADO],N$3)</f>
        <v>0</v>
      </c>
    </row>
    <row r="5" ht="26.25" customHeight="1">
      <c r="D5" s="17" t="s">
        <v>28</v>
      </c>
      <c r="E5" s="18" t="s">
        <v>29</v>
      </c>
      <c r="F5" s="19">
        <f>COUNTIFS(OPI_9[ESTADO],"Desembolsado")</f>
        <v>13</v>
      </c>
      <c r="G5" s="20">
        <f>IFERROR(F4/E4,"")</f>
        <v>1.0564375</v>
      </c>
      <c r="H5" s="19">
        <f>COUNTIFS(OPI_9[ESTADO],H$3)</f>
        <v>0</v>
      </c>
      <c r="I5" s="19">
        <f>COUNTIFS(OPI_9[ESTADO],I$3)</f>
        <v>0</v>
      </c>
      <c r="J5" s="19">
        <f>COUNTIFS(OPI_9[ESTADO],J$3)</f>
        <v>1</v>
      </c>
      <c r="K5" s="19">
        <f>COUNTIFS(OPI_9[ESTADO],K$3)</f>
        <v>3</v>
      </c>
      <c r="L5" s="19">
        <f>COUNTIFS(OPI_9[ESTADO],L$3)</f>
        <v>0</v>
      </c>
      <c r="M5" s="19">
        <f>COUNTIFS(OPI_9[ESTADO],M$3)</f>
        <v>0</v>
      </c>
      <c r="N5" s="19">
        <f>COUNTIFS(OPI_9[ESTADO],N$3)</f>
        <v>3</v>
      </c>
    </row>
    <row r="9" ht="22.5" customHeight="1">
      <c r="A9" s="21"/>
      <c r="B9" s="22" t="s">
        <v>31</v>
      </c>
      <c r="C9" s="22" t="s">
        <v>33</v>
      </c>
      <c r="D9" s="23" t="s">
        <v>34</v>
      </c>
      <c r="E9" s="22" t="s">
        <v>35</v>
      </c>
      <c r="F9" s="22" t="s">
        <v>36</v>
      </c>
      <c r="G9" s="22" t="s">
        <v>37</v>
      </c>
      <c r="H9" s="22" t="s">
        <v>38</v>
      </c>
      <c r="I9" s="22" t="s">
        <v>39</v>
      </c>
      <c r="J9" s="23" t="s">
        <v>40</v>
      </c>
      <c r="K9" s="22" t="s">
        <v>699</v>
      </c>
      <c r="L9" s="22" t="s">
        <v>42</v>
      </c>
      <c r="M9" s="23" t="s">
        <v>44</v>
      </c>
      <c r="N9" s="22" t="s">
        <v>45</v>
      </c>
      <c r="O9" s="23" t="s">
        <v>46</v>
      </c>
      <c r="P9" s="23" t="s">
        <v>47</v>
      </c>
      <c r="Q9" s="22" t="s">
        <v>48</v>
      </c>
    </row>
    <row r="10" ht="22.5" customHeight="1">
      <c r="B10" s="24"/>
      <c r="C10" s="25"/>
      <c r="D10" s="26" t="s">
        <v>58</v>
      </c>
      <c r="E10" s="25">
        <v>46204.0</v>
      </c>
      <c r="F10" s="25"/>
      <c r="G10" s="27" t="s">
        <v>703</v>
      </c>
      <c r="H10" s="27" t="s">
        <v>704</v>
      </c>
      <c r="I10" s="24" t="s">
        <v>64</v>
      </c>
      <c r="J10" s="26" t="s">
        <v>11</v>
      </c>
      <c r="K10" s="28">
        <v>20000.0</v>
      </c>
      <c r="L10" s="24" t="s">
        <v>705</v>
      </c>
      <c r="M10" s="26" t="s">
        <v>73</v>
      </c>
      <c r="N10" s="32"/>
      <c r="O10" s="26"/>
      <c r="P10" s="49"/>
      <c r="Q10" s="32"/>
    </row>
    <row r="11" ht="22.5" customHeight="1">
      <c r="B11" s="24"/>
      <c r="C11" s="25"/>
      <c r="D11" s="26" t="s">
        <v>58</v>
      </c>
      <c r="E11" s="25">
        <v>46205.0</v>
      </c>
      <c r="F11" s="75"/>
      <c r="G11" s="27" t="s">
        <v>708</v>
      </c>
      <c r="H11" s="27" t="s">
        <v>709</v>
      </c>
      <c r="I11" s="24" t="s">
        <v>64</v>
      </c>
      <c r="J11" s="26" t="s">
        <v>11</v>
      </c>
      <c r="K11" s="28">
        <v>81000.0</v>
      </c>
      <c r="L11" s="24" t="s">
        <v>705</v>
      </c>
      <c r="M11" s="26" t="s">
        <v>73</v>
      </c>
      <c r="N11" s="32"/>
      <c r="O11" s="49"/>
      <c r="P11" s="49"/>
      <c r="Q11" s="32"/>
    </row>
    <row r="12" ht="22.5" customHeight="1">
      <c r="B12" s="24"/>
      <c r="C12" s="25"/>
      <c r="D12" s="26" t="s">
        <v>58</v>
      </c>
      <c r="E12" s="25"/>
      <c r="F12" s="25"/>
      <c r="G12" s="27" t="s">
        <v>712</v>
      </c>
      <c r="H12" s="27" t="s">
        <v>713</v>
      </c>
      <c r="I12" s="24" t="s">
        <v>64</v>
      </c>
      <c r="J12" s="26" t="s">
        <v>11</v>
      </c>
      <c r="K12" s="28">
        <v>26000.0</v>
      </c>
      <c r="L12" s="24" t="s">
        <v>705</v>
      </c>
      <c r="M12" s="26" t="s">
        <v>73</v>
      </c>
      <c r="N12" s="32"/>
      <c r="O12" s="26"/>
      <c r="P12" s="49"/>
      <c r="Q12" s="32"/>
    </row>
    <row r="13" ht="22.5" customHeight="1">
      <c r="B13" s="24"/>
      <c r="C13" s="25"/>
      <c r="D13" s="26" t="s">
        <v>58</v>
      </c>
      <c r="E13" s="25"/>
      <c r="F13" s="75"/>
      <c r="G13" s="27" t="s">
        <v>717</v>
      </c>
      <c r="H13" s="27" t="s">
        <v>718</v>
      </c>
      <c r="I13" s="24" t="s">
        <v>64</v>
      </c>
      <c r="J13" s="26" t="s">
        <v>11</v>
      </c>
      <c r="K13" s="28">
        <v>72300.0</v>
      </c>
      <c r="L13" s="24" t="s">
        <v>720</v>
      </c>
      <c r="M13" s="26" t="s">
        <v>73</v>
      </c>
      <c r="N13" s="32"/>
      <c r="O13" s="26"/>
      <c r="P13" s="49"/>
      <c r="Q13" s="32"/>
    </row>
    <row r="14" ht="22.5" customHeight="1">
      <c r="B14" s="24"/>
      <c r="C14" s="25"/>
      <c r="D14" s="26" t="s">
        <v>58</v>
      </c>
      <c r="E14" s="75"/>
      <c r="F14" s="75"/>
      <c r="G14" s="27" t="s">
        <v>722</v>
      </c>
      <c r="H14" s="27" t="s">
        <v>724</v>
      </c>
      <c r="I14" s="24" t="s">
        <v>64</v>
      </c>
      <c r="J14" s="26" t="s">
        <v>11</v>
      </c>
      <c r="K14" s="28">
        <v>88350.0</v>
      </c>
      <c r="L14" s="24" t="s">
        <v>725</v>
      </c>
      <c r="M14" s="26"/>
      <c r="N14" s="32"/>
      <c r="O14" s="26"/>
      <c r="P14" s="49"/>
      <c r="Q14" s="32"/>
    </row>
    <row r="15" ht="22.5" customHeight="1">
      <c r="B15" s="24"/>
      <c r="C15" s="25"/>
      <c r="D15" s="26" t="s">
        <v>58</v>
      </c>
      <c r="E15" s="25"/>
      <c r="F15" s="75"/>
      <c r="G15" s="27" t="s">
        <v>727</v>
      </c>
      <c r="H15" s="27" t="s">
        <v>728</v>
      </c>
      <c r="I15" s="24" t="s">
        <v>64</v>
      </c>
      <c r="J15" s="26" t="s">
        <v>11</v>
      </c>
      <c r="K15" s="28">
        <v>80000.0</v>
      </c>
      <c r="L15" s="24" t="s">
        <v>705</v>
      </c>
      <c r="M15" s="26"/>
      <c r="N15" s="32"/>
      <c r="O15" s="26"/>
      <c r="P15" s="49"/>
      <c r="Q15" s="32"/>
    </row>
    <row r="16" ht="22.5" customHeight="1">
      <c r="B16" s="32"/>
      <c r="C16" s="75"/>
      <c r="D16" s="26" t="s">
        <v>58</v>
      </c>
      <c r="E16" s="75"/>
      <c r="F16" s="75"/>
      <c r="G16" s="27" t="s">
        <v>733</v>
      </c>
      <c r="H16" s="27" t="s">
        <v>734</v>
      </c>
      <c r="I16" s="24" t="s">
        <v>64</v>
      </c>
      <c r="J16" s="26" t="s">
        <v>11</v>
      </c>
      <c r="K16" s="28">
        <v>55200.0</v>
      </c>
      <c r="L16" s="24" t="s">
        <v>720</v>
      </c>
      <c r="M16" s="26" t="s">
        <v>73</v>
      </c>
      <c r="N16" s="32"/>
      <c r="O16" s="49"/>
      <c r="P16" s="49"/>
      <c r="Q16" s="32"/>
    </row>
    <row r="17" ht="22.5" customHeight="1">
      <c r="B17" s="32"/>
      <c r="C17" s="75"/>
      <c r="D17" s="26" t="s">
        <v>58</v>
      </c>
      <c r="E17" s="75"/>
      <c r="F17" s="75"/>
      <c r="G17" s="27" t="s">
        <v>737</v>
      </c>
      <c r="H17" s="27" t="s">
        <v>738</v>
      </c>
      <c r="I17" s="24" t="s">
        <v>64</v>
      </c>
      <c r="J17" s="26" t="s">
        <v>11</v>
      </c>
      <c r="K17" s="28">
        <v>67900.0</v>
      </c>
      <c r="L17" s="24" t="s">
        <v>741</v>
      </c>
      <c r="M17" s="49"/>
      <c r="N17" s="32"/>
      <c r="O17" s="49"/>
      <c r="P17" s="49"/>
      <c r="Q17" s="32"/>
    </row>
    <row r="18" ht="22.5" customHeight="1">
      <c r="B18" s="32"/>
      <c r="C18" s="75"/>
      <c r="D18" s="26" t="s">
        <v>58</v>
      </c>
      <c r="E18" s="75"/>
      <c r="F18" s="75"/>
      <c r="G18" s="27" t="s">
        <v>746</v>
      </c>
      <c r="H18" s="27" t="s">
        <v>747</v>
      </c>
      <c r="I18" s="24" t="s">
        <v>124</v>
      </c>
      <c r="J18" s="26" t="s">
        <v>11</v>
      </c>
      <c r="K18" s="28">
        <v>98100.0</v>
      </c>
      <c r="L18" s="24" t="s">
        <v>741</v>
      </c>
      <c r="M18" s="49"/>
      <c r="N18" s="32"/>
      <c r="O18" s="49"/>
      <c r="P18" s="49"/>
      <c r="Q18" s="32"/>
    </row>
    <row r="19" ht="22.5" customHeight="1">
      <c r="B19" s="32"/>
      <c r="C19" s="75"/>
      <c r="D19" s="26" t="s">
        <v>58</v>
      </c>
      <c r="E19" s="75"/>
      <c r="F19" s="24" t="s">
        <v>726</v>
      </c>
      <c r="G19" s="27" t="s">
        <v>752</v>
      </c>
      <c r="H19" s="27" t="s">
        <v>753</v>
      </c>
      <c r="I19" s="24" t="s">
        <v>64</v>
      </c>
      <c r="J19" s="26" t="s">
        <v>24</v>
      </c>
      <c r="K19" s="28">
        <v>0.0</v>
      </c>
      <c r="L19" s="24" t="s">
        <v>720</v>
      </c>
      <c r="M19" s="49"/>
      <c r="N19" s="32"/>
      <c r="O19" s="49"/>
      <c r="P19" s="49"/>
      <c r="Q19" s="32"/>
    </row>
    <row r="20" ht="22.5" customHeight="1">
      <c r="B20" s="32"/>
      <c r="C20" s="75"/>
      <c r="D20" s="26" t="s">
        <v>58</v>
      </c>
      <c r="E20" s="75"/>
      <c r="F20" s="75"/>
      <c r="G20" s="27" t="s">
        <v>756</v>
      </c>
      <c r="H20" s="27" t="s">
        <v>757</v>
      </c>
      <c r="I20" s="24" t="s">
        <v>64</v>
      </c>
      <c r="J20" s="26" t="s">
        <v>11</v>
      </c>
      <c r="K20" s="28">
        <v>92300.0</v>
      </c>
      <c r="L20" s="24" t="s">
        <v>741</v>
      </c>
      <c r="M20" s="49"/>
      <c r="N20" s="32"/>
      <c r="O20" s="49"/>
      <c r="P20" s="49"/>
      <c r="Q20" s="32"/>
    </row>
    <row r="21" ht="22.5" customHeight="1">
      <c r="B21" s="32"/>
      <c r="C21" s="25"/>
      <c r="D21" s="26" t="s">
        <v>58</v>
      </c>
      <c r="E21" s="75"/>
      <c r="F21" s="75"/>
      <c r="G21" s="27" t="s">
        <v>760</v>
      </c>
      <c r="H21" s="27" t="s">
        <v>761</v>
      </c>
      <c r="I21" s="24" t="s">
        <v>54</v>
      </c>
      <c r="J21" s="26" t="s">
        <v>11</v>
      </c>
      <c r="K21" s="28">
        <v>30000.0</v>
      </c>
      <c r="L21" s="24" t="s">
        <v>741</v>
      </c>
      <c r="M21" s="49"/>
      <c r="N21" s="32"/>
      <c r="O21" s="49"/>
      <c r="P21" s="49"/>
      <c r="Q21" s="32"/>
    </row>
    <row r="22" ht="22.5" customHeight="1">
      <c r="B22" s="32"/>
      <c r="C22" s="75"/>
      <c r="D22" s="26" t="s">
        <v>58</v>
      </c>
      <c r="E22" s="75"/>
      <c r="F22" s="75"/>
      <c r="G22" s="27" t="s">
        <v>765</v>
      </c>
      <c r="H22" s="27" t="s">
        <v>766</v>
      </c>
      <c r="I22" s="24" t="s">
        <v>64</v>
      </c>
      <c r="J22" s="26" t="s">
        <v>11</v>
      </c>
      <c r="K22" s="28">
        <v>68000.0</v>
      </c>
      <c r="L22" s="24" t="s">
        <v>705</v>
      </c>
      <c r="M22" s="49"/>
      <c r="N22" s="32"/>
      <c r="O22" s="49"/>
      <c r="P22" s="49"/>
      <c r="Q22" s="32"/>
    </row>
    <row r="23" ht="22.5" customHeight="1">
      <c r="B23" s="32"/>
      <c r="C23" s="25"/>
      <c r="D23" s="26" t="s">
        <v>58</v>
      </c>
      <c r="E23" s="75"/>
      <c r="F23" s="24" t="s">
        <v>768</v>
      </c>
      <c r="G23" s="27" t="s">
        <v>769</v>
      </c>
      <c r="H23" s="27" t="s">
        <v>771</v>
      </c>
      <c r="I23" s="24" t="s">
        <v>64</v>
      </c>
      <c r="J23" s="26" t="s">
        <v>11</v>
      </c>
      <c r="K23" s="28">
        <v>66000.0</v>
      </c>
      <c r="L23" s="24" t="s">
        <v>705</v>
      </c>
      <c r="M23" s="49"/>
      <c r="N23" s="32"/>
      <c r="O23" s="49"/>
      <c r="P23" s="49"/>
      <c r="Q23" s="32"/>
    </row>
    <row r="24" ht="22.5" customHeight="1">
      <c r="B24" s="32"/>
      <c r="C24" s="25"/>
      <c r="D24" s="26"/>
      <c r="E24" s="75"/>
      <c r="F24" s="24" t="s">
        <v>768</v>
      </c>
      <c r="G24" s="27" t="s">
        <v>776</v>
      </c>
      <c r="H24" s="27" t="s">
        <v>777</v>
      </c>
      <c r="I24" s="24" t="s">
        <v>64</v>
      </c>
      <c r="J24" s="26" t="s">
        <v>24</v>
      </c>
      <c r="K24" s="28">
        <v>0.0</v>
      </c>
      <c r="L24" s="24" t="s">
        <v>705</v>
      </c>
      <c r="M24" s="49"/>
      <c r="N24" s="32"/>
      <c r="O24" s="49"/>
      <c r="P24" s="49"/>
      <c r="Q24" s="32"/>
    </row>
    <row r="25" ht="22.5" customHeight="1">
      <c r="B25" s="32"/>
      <c r="C25" s="75"/>
      <c r="D25" s="26" t="s">
        <v>58</v>
      </c>
      <c r="E25" s="75"/>
      <c r="F25" s="75"/>
      <c r="G25" s="27"/>
      <c r="H25" s="27" t="s">
        <v>594</v>
      </c>
      <c r="I25" s="24" t="s">
        <v>124</v>
      </c>
      <c r="J25" s="26" t="s">
        <v>24</v>
      </c>
      <c r="K25" s="28">
        <v>0.0</v>
      </c>
      <c r="L25" s="24" t="s">
        <v>741</v>
      </c>
      <c r="M25" s="49"/>
      <c r="N25" s="32"/>
      <c r="O25" s="49"/>
      <c r="P25" s="49"/>
      <c r="Q25" s="32"/>
    </row>
    <row r="26" ht="22.5" customHeight="1">
      <c r="B26" s="32"/>
      <c r="C26" s="75"/>
      <c r="D26" s="26" t="s">
        <v>58</v>
      </c>
      <c r="E26" s="75"/>
      <c r="F26" s="75"/>
      <c r="G26" s="27" t="s">
        <v>784</v>
      </c>
      <c r="H26" s="27" t="s">
        <v>785</v>
      </c>
      <c r="I26" s="24" t="s">
        <v>64</v>
      </c>
      <c r="J26" s="26" t="s">
        <v>20</v>
      </c>
      <c r="K26" s="28">
        <v>61300.0</v>
      </c>
      <c r="L26" s="24" t="s">
        <v>705</v>
      </c>
      <c r="M26" s="49"/>
      <c r="N26" s="32"/>
      <c r="O26" s="49"/>
      <c r="P26" s="49"/>
      <c r="Q26" s="32"/>
    </row>
    <row r="27" ht="22.5" customHeight="1">
      <c r="B27" s="32"/>
      <c r="C27" s="75"/>
      <c r="D27" s="26" t="s">
        <v>58</v>
      </c>
      <c r="E27" s="75"/>
      <c r="F27" s="75"/>
      <c r="G27" s="27" t="s">
        <v>787</v>
      </c>
      <c r="H27" s="27" t="s">
        <v>788</v>
      </c>
      <c r="I27" s="24" t="s">
        <v>64</v>
      </c>
      <c r="J27" s="26" t="s">
        <v>20</v>
      </c>
      <c r="K27" s="28">
        <v>73000.0</v>
      </c>
      <c r="L27" s="24" t="s">
        <v>705</v>
      </c>
      <c r="M27" s="49"/>
      <c r="N27" s="32"/>
      <c r="O27" s="49"/>
      <c r="P27" s="49"/>
      <c r="Q27" s="32"/>
    </row>
    <row r="28" ht="22.5" customHeight="1">
      <c r="B28" s="32"/>
      <c r="C28" s="75"/>
      <c r="D28" s="26" t="s">
        <v>58</v>
      </c>
      <c r="E28" s="75"/>
      <c r="F28" s="75"/>
      <c r="G28" s="27" t="s">
        <v>792</v>
      </c>
      <c r="H28" s="27" t="s">
        <v>793</v>
      </c>
      <c r="I28" s="24" t="s">
        <v>64</v>
      </c>
      <c r="J28" s="26" t="s">
        <v>20</v>
      </c>
      <c r="K28" s="28">
        <v>91500.0</v>
      </c>
      <c r="L28" s="24" t="s">
        <v>705</v>
      </c>
      <c r="M28" s="49"/>
      <c r="N28" s="32"/>
      <c r="O28" s="49"/>
      <c r="P28" s="49"/>
      <c r="Q28" s="32"/>
    </row>
    <row r="29" ht="22.5" customHeight="1">
      <c r="B29" s="32"/>
      <c r="C29" s="75"/>
      <c r="D29" s="26" t="s">
        <v>58</v>
      </c>
      <c r="E29" s="75"/>
      <c r="F29" s="75"/>
      <c r="G29" s="27" t="s">
        <v>797</v>
      </c>
      <c r="H29" s="27" t="s">
        <v>798</v>
      </c>
      <c r="I29" s="24" t="s">
        <v>64</v>
      </c>
      <c r="J29" s="26" t="s">
        <v>764</v>
      </c>
      <c r="K29" s="28">
        <v>70000.0</v>
      </c>
      <c r="L29" s="24" t="s">
        <v>741</v>
      </c>
      <c r="M29" s="49"/>
      <c r="N29" s="32"/>
      <c r="O29" s="49"/>
      <c r="P29" s="49"/>
      <c r="Q29" s="32"/>
    </row>
    <row r="30" ht="22.5" customHeight="1">
      <c r="B30" s="32"/>
      <c r="C30" s="75"/>
      <c r="D30" s="113"/>
      <c r="E30" s="75"/>
      <c r="F30" s="75"/>
      <c r="G30" s="114"/>
      <c r="H30" s="114"/>
      <c r="I30" s="32"/>
      <c r="J30" s="49"/>
      <c r="K30" s="115"/>
      <c r="L30" s="32"/>
      <c r="M30" s="49"/>
      <c r="N30" s="32"/>
      <c r="O30" s="49"/>
      <c r="P30" s="49"/>
      <c r="Q30" s="32"/>
    </row>
    <row r="31" ht="22.5" customHeight="1">
      <c r="B31" s="32"/>
      <c r="C31" s="75"/>
      <c r="D31" s="113"/>
      <c r="E31" s="75"/>
      <c r="F31" s="75"/>
      <c r="G31" s="114"/>
      <c r="H31" s="114"/>
      <c r="I31" s="32"/>
      <c r="J31" s="49"/>
      <c r="K31" s="115"/>
      <c r="L31" s="32"/>
      <c r="M31" s="49"/>
      <c r="N31" s="32"/>
      <c r="O31" s="49"/>
      <c r="P31" s="49"/>
      <c r="Q31" s="32"/>
    </row>
    <row r="32" ht="22.5" customHeight="1">
      <c r="B32" s="32"/>
      <c r="C32" s="75"/>
      <c r="D32" s="113"/>
      <c r="E32" s="75"/>
      <c r="F32" s="75"/>
      <c r="G32" s="114"/>
      <c r="H32" s="114"/>
      <c r="I32" s="32"/>
      <c r="J32" s="49"/>
      <c r="K32" s="115"/>
      <c r="L32" s="32"/>
      <c r="M32" s="49"/>
      <c r="N32" s="32"/>
      <c r="O32" s="49"/>
      <c r="P32" s="49"/>
      <c r="Q32" s="32"/>
    </row>
    <row r="33" ht="22.5" customHeight="1">
      <c r="B33" s="32"/>
      <c r="C33" s="75"/>
      <c r="D33" s="113"/>
      <c r="E33" s="75"/>
      <c r="F33" s="75"/>
      <c r="G33" s="114"/>
      <c r="H33" s="114"/>
      <c r="I33" s="32"/>
      <c r="J33" s="49"/>
      <c r="K33" s="115"/>
      <c r="L33" s="32"/>
      <c r="M33" s="49"/>
      <c r="N33" s="32"/>
      <c r="O33" s="49"/>
      <c r="P33" s="49"/>
      <c r="Q33" s="32"/>
    </row>
    <row r="34" ht="22.5" customHeight="1">
      <c r="B34" s="32"/>
      <c r="C34" s="75"/>
      <c r="D34" s="113"/>
      <c r="E34" s="75"/>
      <c r="F34" s="75"/>
      <c r="G34" s="114"/>
      <c r="H34" s="114"/>
      <c r="I34" s="32"/>
      <c r="J34" s="49"/>
      <c r="K34" s="115"/>
      <c r="L34" s="32"/>
      <c r="M34" s="49"/>
      <c r="N34" s="32"/>
      <c r="O34" s="49"/>
      <c r="P34" s="49"/>
      <c r="Q34" s="32"/>
    </row>
    <row r="35" ht="22.5" customHeight="1">
      <c r="B35" s="32"/>
      <c r="C35" s="75"/>
      <c r="D35" s="113"/>
      <c r="E35" s="75"/>
      <c r="F35" s="75"/>
      <c r="G35" s="114"/>
      <c r="H35" s="114"/>
      <c r="I35" s="32"/>
      <c r="J35" s="49"/>
      <c r="K35" s="115"/>
      <c r="L35" s="32"/>
      <c r="M35" s="49"/>
      <c r="N35" s="32"/>
      <c r="O35" s="49"/>
      <c r="P35" s="49"/>
      <c r="Q35" s="32"/>
    </row>
    <row r="36" ht="22.5" customHeight="1">
      <c r="B36" s="32"/>
      <c r="C36" s="75"/>
      <c r="D36" s="113"/>
      <c r="E36" s="75"/>
      <c r="F36" s="75"/>
      <c r="G36" s="114"/>
      <c r="H36" s="114"/>
      <c r="I36" s="32"/>
      <c r="J36" s="49"/>
      <c r="K36" s="115"/>
      <c r="L36" s="32"/>
      <c r="M36" s="49"/>
      <c r="N36" s="32"/>
      <c r="O36" s="49"/>
      <c r="P36" s="49"/>
      <c r="Q36" s="32"/>
    </row>
    <row r="37" ht="22.5" customHeight="1">
      <c r="B37" s="32"/>
      <c r="C37" s="75"/>
      <c r="D37" s="113"/>
      <c r="E37" s="75"/>
      <c r="F37" s="75"/>
      <c r="G37" s="114"/>
      <c r="H37" s="114"/>
      <c r="I37" s="32"/>
      <c r="J37" s="49"/>
      <c r="K37" s="115"/>
      <c r="L37" s="32"/>
      <c r="M37" s="49"/>
      <c r="N37" s="32"/>
      <c r="O37" s="49"/>
      <c r="P37" s="49"/>
      <c r="Q37" s="32"/>
    </row>
    <row r="38" ht="22.5" customHeight="1">
      <c r="B38" s="32"/>
      <c r="C38" s="75"/>
      <c r="D38" s="113"/>
      <c r="E38" s="75"/>
      <c r="F38" s="75"/>
      <c r="G38" s="114"/>
      <c r="H38" s="114"/>
      <c r="I38" s="32"/>
      <c r="J38" s="49"/>
      <c r="K38" s="115"/>
      <c r="L38" s="32"/>
      <c r="M38" s="49"/>
      <c r="N38" s="32"/>
      <c r="O38" s="49"/>
      <c r="P38" s="49"/>
      <c r="Q38" s="32"/>
    </row>
    <row r="39" ht="22.5" customHeight="1">
      <c r="B39" s="32"/>
      <c r="C39" s="75"/>
      <c r="D39" s="113"/>
      <c r="E39" s="75"/>
      <c r="F39" s="75"/>
      <c r="G39" s="114"/>
      <c r="H39" s="114"/>
      <c r="I39" s="32"/>
      <c r="J39" s="49"/>
      <c r="K39" s="115"/>
      <c r="L39" s="32"/>
      <c r="M39" s="49"/>
      <c r="N39" s="32"/>
      <c r="O39" s="49"/>
      <c r="P39" s="49"/>
      <c r="Q39" s="32"/>
    </row>
    <row r="40" ht="22.5" customHeight="1">
      <c r="B40" s="32"/>
      <c r="C40" s="75"/>
      <c r="D40" s="113"/>
      <c r="E40" s="75"/>
      <c r="F40" s="75"/>
      <c r="G40" s="114"/>
      <c r="H40" s="114"/>
      <c r="I40" s="32"/>
      <c r="J40" s="49"/>
      <c r="K40" s="115"/>
      <c r="L40" s="32"/>
      <c r="M40" s="49"/>
      <c r="N40" s="32"/>
      <c r="O40" s="49"/>
      <c r="P40" s="49"/>
      <c r="Q40" s="32"/>
    </row>
    <row r="41" ht="22.5" customHeight="1">
      <c r="B41" s="32"/>
      <c r="C41" s="75"/>
      <c r="D41" s="113"/>
      <c r="E41" s="75"/>
      <c r="F41" s="75"/>
      <c r="G41" s="114"/>
      <c r="H41" s="114"/>
      <c r="I41" s="32"/>
      <c r="J41" s="49"/>
      <c r="K41" s="115"/>
      <c r="L41" s="32"/>
      <c r="M41" s="49"/>
      <c r="N41" s="32"/>
      <c r="O41" s="49"/>
      <c r="P41" s="49"/>
      <c r="Q41" s="32"/>
    </row>
    <row r="42" ht="22.5" customHeight="1">
      <c r="B42" s="32"/>
      <c r="C42" s="75"/>
      <c r="D42" s="113"/>
      <c r="E42" s="75"/>
      <c r="F42" s="75"/>
      <c r="G42" s="114"/>
      <c r="H42" s="114"/>
      <c r="I42" s="32"/>
      <c r="J42" s="49"/>
      <c r="K42" s="115"/>
      <c r="L42" s="32"/>
      <c r="M42" s="49"/>
      <c r="N42" s="32"/>
      <c r="O42" s="49"/>
      <c r="P42" s="49"/>
      <c r="Q42" s="32"/>
    </row>
    <row r="43" ht="22.5" customHeight="1">
      <c r="B43" s="32"/>
      <c r="C43" s="75"/>
      <c r="D43" s="113"/>
      <c r="E43" s="75"/>
      <c r="F43" s="75"/>
      <c r="G43" s="114"/>
      <c r="H43" s="114"/>
      <c r="I43" s="32"/>
      <c r="J43" s="49"/>
      <c r="K43" s="115"/>
      <c r="L43" s="32"/>
      <c r="M43" s="49"/>
      <c r="N43" s="32"/>
      <c r="O43" s="49"/>
      <c r="P43" s="49"/>
      <c r="Q43" s="32"/>
    </row>
    <row r="44" ht="22.5" customHeight="1">
      <c r="B44" s="32"/>
      <c r="C44" s="75"/>
      <c r="D44" s="113"/>
      <c r="E44" s="75"/>
      <c r="F44" s="75"/>
      <c r="G44" s="114"/>
      <c r="H44" s="114"/>
      <c r="I44" s="32"/>
      <c r="J44" s="49"/>
      <c r="K44" s="115"/>
      <c r="L44" s="32"/>
      <c r="M44" s="49"/>
      <c r="N44" s="32"/>
      <c r="O44" s="49"/>
      <c r="P44" s="49"/>
      <c r="Q44" s="32"/>
    </row>
    <row r="45" ht="22.5" customHeight="1">
      <c r="B45" s="32"/>
      <c r="C45" s="75"/>
      <c r="D45" s="113"/>
      <c r="E45" s="75"/>
      <c r="F45" s="75"/>
      <c r="G45" s="114"/>
      <c r="H45" s="114"/>
      <c r="I45" s="32"/>
      <c r="J45" s="49"/>
      <c r="K45" s="115"/>
      <c r="L45" s="32"/>
      <c r="M45" s="49"/>
      <c r="N45" s="32"/>
      <c r="O45" s="49"/>
      <c r="P45" s="49"/>
      <c r="Q45" s="32"/>
    </row>
    <row r="46" ht="22.5" customHeight="1">
      <c r="B46" s="32"/>
      <c r="C46" s="75"/>
      <c r="D46" s="113"/>
      <c r="E46" s="75"/>
      <c r="F46" s="75"/>
      <c r="G46" s="114"/>
      <c r="H46" s="114"/>
      <c r="I46" s="32"/>
      <c r="J46" s="49"/>
      <c r="K46" s="115"/>
      <c r="L46" s="32"/>
      <c r="M46" s="49"/>
      <c r="N46" s="32"/>
      <c r="O46" s="49"/>
      <c r="P46" s="49"/>
      <c r="Q46" s="32"/>
    </row>
    <row r="47" ht="22.5" customHeight="1">
      <c r="B47" s="32"/>
      <c r="C47" s="75"/>
      <c r="D47" s="113"/>
      <c r="E47" s="75"/>
      <c r="F47" s="75"/>
      <c r="G47" s="114"/>
      <c r="H47" s="114"/>
      <c r="I47" s="32"/>
      <c r="J47" s="49"/>
      <c r="K47" s="115"/>
      <c r="L47" s="32"/>
      <c r="M47" s="49"/>
      <c r="N47" s="32"/>
      <c r="O47" s="49"/>
      <c r="P47" s="49"/>
      <c r="Q47" s="32"/>
    </row>
    <row r="48" ht="22.5" customHeight="1">
      <c r="B48" s="32"/>
      <c r="C48" s="75"/>
      <c r="D48" s="113"/>
      <c r="E48" s="75"/>
      <c r="F48" s="75"/>
      <c r="G48" s="114"/>
      <c r="H48" s="114"/>
      <c r="I48" s="32"/>
      <c r="J48" s="49"/>
      <c r="K48" s="115"/>
      <c r="L48" s="32"/>
      <c r="M48" s="49"/>
      <c r="N48" s="32"/>
      <c r="O48" s="49"/>
      <c r="P48" s="49"/>
      <c r="Q48" s="32"/>
    </row>
    <row r="49" ht="22.5" customHeight="1">
      <c r="B49" s="32"/>
      <c r="C49" s="75"/>
      <c r="D49" s="113"/>
      <c r="E49" s="75"/>
      <c r="F49" s="75"/>
      <c r="G49" s="114"/>
      <c r="H49" s="114"/>
      <c r="I49" s="32"/>
      <c r="J49" s="49"/>
      <c r="K49" s="115"/>
      <c r="L49" s="32"/>
      <c r="M49" s="49"/>
      <c r="N49" s="32"/>
      <c r="O49" s="49"/>
      <c r="P49" s="49"/>
      <c r="Q49" s="32"/>
    </row>
    <row r="50" ht="22.5" customHeight="1">
      <c r="B50" s="32"/>
      <c r="C50" s="75"/>
      <c r="D50" s="113"/>
      <c r="E50" s="75"/>
      <c r="F50" s="75"/>
      <c r="G50" s="114"/>
      <c r="H50" s="114"/>
      <c r="I50" s="32"/>
      <c r="J50" s="49"/>
      <c r="K50" s="115"/>
      <c r="L50" s="32"/>
      <c r="M50" s="49"/>
      <c r="N50" s="32"/>
      <c r="O50" s="49"/>
      <c r="P50" s="49"/>
      <c r="Q50" s="32"/>
    </row>
    <row r="51" ht="22.5" customHeight="1">
      <c r="B51" s="32"/>
      <c r="C51" s="75"/>
      <c r="D51" s="113"/>
      <c r="E51" s="75"/>
      <c r="F51" s="75"/>
      <c r="G51" s="114"/>
      <c r="H51" s="114"/>
      <c r="I51" s="32"/>
      <c r="J51" s="49"/>
      <c r="K51" s="115"/>
      <c r="L51" s="32"/>
      <c r="M51" s="49"/>
      <c r="N51" s="32"/>
      <c r="O51" s="49"/>
      <c r="P51" s="49"/>
      <c r="Q51" s="32"/>
    </row>
    <row r="52" ht="22.5" customHeight="1">
      <c r="B52" s="32"/>
      <c r="C52" s="75"/>
      <c r="D52" s="113"/>
      <c r="E52" s="75"/>
      <c r="F52" s="75"/>
      <c r="G52" s="114"/>
      <c r="H52" s="114"/>
      <c r="I52" s="32"/>
      <c r="J52" s="49"/>
      <c r="K52" s="115"/>
      <c r="L52" s="32"/>
      <c r="M52" s="49"/>
      <c r="N52" s="32"/>
      <c r="O52" s="49"/>
      <c r="P52" s="49"/>
      <c r="Q52" s="3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22.63"/>
    <col customWidth="1" min="9" max="9" width="19.25"/>
    <col customWidth="1" min="10" max="10" width="22.88"/>
    <col customWidth="1" min="11" max="11" width="17.0"/>
    <col customWidth="1" min="12" max="12" width="14.25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5" t="s">
        <v>700</v>
      </c>
      <c r="E3" s="7" t="s">
        <v>8</v>
      </c>
      <c r="F3" s="7" t="s">
        <v>11</v>
      </c>
      <c r="G3" s="8" t="s">
        <v>13</v>
      </c>
      <c r="H3" s="7" t="s">
        <v>16</v>
      </c>
      <c r="I3" s="7" t="s">
        <v>17</v>
      </c>
      <c r="J3" s="7" t="s">
        <v>18</v>
      </c>
      <c r="K3" s="7" t="s">
        <v>20</v>
      </c>
      <c r="L3" s="7" t="s">
        <v>21</v>
      </c>
      <c r="M3" s="7" t="s">
        <v>23</v>
      </c>
      <c r="N3" s="7" t="s">
        <v>24</v>
      </c>
    </row>
    <row r="4" ht="26.25" customHeight="1">
      <c r="D4" s="10" t="s">
        <v>26</v>
      </c>
      <c r="E4" s="11">
        <v>1000000.0</v>
      </c>
      <c r="F4" s="13">
        <f>SUMIFS(OPI_15[MAF NETO],OPI_15[ESTADO],"Desembolsado")</f>
        <v>0</v>
      </c>
      <c r="G4" s="13">
        <f>F4-E4</f>
        <v>-1000000</v>
      </c>
      <c r="H4" s="15">
        <f>SUMIFS(OPI_15[MAF NETO],OPI_15[ESTADO],H$3)</f>
        <v>0</v>
      </c>
      <c r="I4" s="15">
        <f>SUMIFS(OPI_15[MAF NETO],OPI_15[ESTADO],I$3)</f>
        <v>0</v>
      </c>
      <c r="J4" s="15">
        <f>SUMIFS(OPI_15[MAF NETO],OPI_15[ESTADO],J$3)</f>
        <v>0</v>
      </c>
      <c r="K4" s="15">
        <f>SUMIFS(OPI_15[MAF NETO],OPI_15[ESTADO],K$3)</f>
        <v>0</v>
      </c>
      <c r="L4" s="15">
        <f>SUMIFS(OPI_15[MAF NETO],OPI_15[ESTADO],L$3)</f>
        <v>0</v>
      </c>
      <c r="M4" s="15">
        <f>SUMIFS(OPI_15[MAF NETO],OPI_15[ESTADO],M$3)</f>
        <v>0</v>
      </c>
      <c r="N4" s="15">
        <f>SUMIFS(OPI_15[MAF NETO],OPI_15[ESTADO],N$3)</f>
        <v>0</v>
      </c>
    </row>
    <row r="5" ht="26.25" customHeight="1">
      <c r="D5" s="17" t="s">
        <v>28</v>
      </c>
      <c r="E5" s="18" t="s">
        <v>29</v>
      </c>
      <c r="F5" s="19">
        <f>COUNTIFS(OPI_15[ESTADO],"Desembolsado")</f>
        <v>0</v>
      </c>
      <c r="G5" s="20">
        <f>IFERROR(F4/E4,"")</f>
        <v>0</v>
      </c>
      <c r="H5" s="19">
        <f>COUNTIFS(OPI_15[ESTADO],H$3)</f>
        <v>0</v>
      </c>
      <c r="I5" s="19">
        <f>COUNTIFS(OPI_15[ESTADO],I$3)</f>
        <v>0</v>
      </c>
      <c r="J5" s="19">
        <f>COUNTIFS(OPI_15[ESTADO],J$3)</f>
        <v>0</v>
      </c>
      <c r="K5" s="19">
        <f>COUNTIFS(OPI_15[ESTADO],K$3)</f>
        <v>0</v>
      </c>
      <c r="L5" s="19">
        <f>COUNTIFS(OPI_15[ESTADO],L$3)</f>
        <v>0</v>
      </c>
      <c r="M5" s="19">
        <f>COUNTIFS(OPI_15[ESTADO],M$3)</f>
        <v>0</v>
      </c>
      <c r="N5" s="19">
        <f>COUNTIFS(OPI_15[ESTADO],N$3)</f>
        <v>0</v>
      </c>
    </row>
    <row r="9" ht="22.5" customHeight="1">
      <c r="A9" s="21"/>
      <c r="B9" s="22" t="s">
        <v>31</v>
      </c>
      <c r="C9" s="22" t="s">
        <v>33</v>
      </c>
      <c r="D9" s="23" t="s">
        <v>34</v>
      </c>
      <c r="E9" s="22" t="s">
        <v>35</v>
      </c>
      <c r="F9" s="22" t="s">
        <v>36</v>
      </c>
      <c r="G9" s="22" t="s">
        <v>37</v>
      </c>
      <c r="H9" s="22" t="s">
        <v>38</v>
      </c>
      <c r="I9" s="22" t="s">
        <v>39</v>
      </c>
      <c r="J9" s="23" t="s">
        <v>40</v>
      </c>
      <c r="K9" s="22" t="s">
        <v>41</v>
      </c>
      <c r="L9" s="22" t="s">
        <v>42</v>
      </c>
      <c r="M9" s="23" t="s">
        <v>44</v>
      </c>
      <c r="N9" s="22" t="s">
        <v>45</v>
      </c>
      <c r="O9" s="23" t="s">
        <v>46</v>
      </c>
      <c r="P9" s="23" t="s">
        <v>47</v>
      </c>
      <c r="Q9" s="22" t="s">
        <v>48</v>
      </c>
    </row>
    <row r="10" ht="22.5" customHeight="1">
      <c r="B10" s="24"/>
      <c r="C10" s="25"/>
      <c r="D10" s="26"/>
      <c r="E10" s="75"/>
      <c r="F10" s="75"/>
      <c r="G10" s="27"/>
      <c r="H10" s="27"/>
      <c r="I10" s="24"/>
      <c r="J10" s="26"/>
      <c r="K10" s="28"/>
      <c r="L10" s="24"/>
      <c r="M10" s="26"/>
      <c r="N10" s="32"/>
      <c r="O10" s="113"/>
      <c r="P10" s="49"/>
      <c r="Q10" s="24"/>
    </row>
    <row r="11" ht="22.5" customHeight="1">
      <c r="B11" s="24"/>
      <c r="C11" s="25"/>
      <c r="D11" s="113"/>
      <c r="E11" s="75"/>
      <c r="F11" s="75"/>
      <c r="G11" s="27"/>
      <c r="H11" s="27"/>
      <c r="I11" s="24"/>
      <c r="J11" s="113"/>
      <c r="K11" s="28"/>
      <c r="L11" s="24"/>
      <c r="M11" s="113"/>
      <c r="N11" s="32"/>
      <c r="O11" s="113"/>
      <c r="P11" s="49"/>
      <c r="Q11" s="32"/>
    </row>
    <row r="12" ht="22.5" customHeight="1">
      <c r="B12" s="24"/>
      <c r="C12" s="25"/>
      <c r="D12" s="113"/>
      <c r="E12" s="75"/>
      <c r="F12" s="75"/>
      <c r="G12" s="27"/>
      <c r="H12" s="27"/>
      <c r="I12" s="24"/>
      <c r="J12" s="113"/>
      <c r="K12" s="28"/>
      <c r="L12" s="24"/>
      <c r="M12" s="113"/>
      <c r="N12" s="32"/>
      <c r="O12" s="113"/>
      <c r="P12" s="49"/>
      <c r="Q12" s="32"/>
    </row>
    <row r="13" ht="22.5" customHeight="1">
      <c r="B13" s="24"/>
      <c r="C13" s="25"/>
      <c r="D13" s="113"/>
      <c r="E13" s="75"/>
      <c r="F13" s="75"/>
      <c r="G13" s="27"/>
      <c r="H13" s="27"/>
      <c r="I13" s="24"/>
      <c r="J13" s="113"/>
      <c r="K13" s="28"/>
      <c r="L13" s="24"/>
      <c r="M13" s="113"/>
      <c r="N13" s="32"/>
      <c r="O13" s="113"/>
      <c r="P13" s="49"/>
      <c r="Q13" s="32"/>
    </row>
    <row r="14" ht="22.5" customHeight="1">
      <c r="B14" s="24"/>
      <c r="C14" s="25"/>
      <c r="D14" s="113"/>
      <c r="E14" s="75"/>
      <c r="F14" s="75"/>
      <c r="G14" s="27"/>
      <c r="H14" s="27"/>
      <c r="I14" s="32"/>
      <c r="J14" s="49"/>
      <c r="K14" s="115"/>
      <c r="L14" s="32"/>
      <c r="M14" s="49"/>
      <c r="N14" s="32"/>
      <c r="O14" s="49"/>
      <c r="P14" s="49"/>
      <c r="Q14" s="32"/>
    </row>
    <row r="15" ht="22.5" customHeight="1">
      <c r="B15" s="32"/>
      <c r="C15" s="75"/>
      <c r="D15" s="113"/>
      <c r="E15" s="75"/>
      <c r="F15" s="75"/>
      <c r="G15" s="114"/>
      <c r="H15" s="114"/>
      <c r="I15" s="32"/>
      <c r="J15" s="49"/>
      <c r="K15" s="115"/>
      <c r="L15" s="32"/>
      <c r="M15" s="49"/>
      <c r="N15" s="32"/>
      <c r="O15" s="49"/>
      <c r="P15" s="49"/>
      <c r="Q15" s="32"/>
    </row>
    <row r="16" ht="22.5" customHeight="1">
      <c r="B16" s="32"/>
      <c r="C16" s="75"/>
      <c r="D16" s="113"/>
      <c r="E16" s="75"/>
      <c r="F16" s="75"/>
      <c r="G16" s="114"/>
      <c r="H16" s="114"/>
      <c r="I16" s="32"/>
      <c r="J16" s="49"/>
      <c r="K16" s="115"/>
      <c r="L16" s="32"/>
      <c r="M16" s="49"/>
      <c r="N16" s="32"/>
      <c r="O16" s="49"/>
      <c r="P16" s="49"/>
      <c r="Q16" s="32"/>
    </row>
    <row r="17" ht="22.5" customHeight="1">
      <c r="B17" s="32"/>
      <c r="C17" s="75"/>
      <c r="D17" s="113"/>
      <c r="E17" s="75"/>
      <c r="F17" s="75"/>
      <c r="G17" s="114"/>
      <c r="H17" s="114"/>
      <c r="I17" s="32"/>
      <c r="J17" s="49"/>
      <c r="K17" s="115"/>
      <c r="L17" s="32"/>
      <c r="M17" s="49"/>
      <c r="N17" s="32"/>
      <c r="O17" s="49"/>
      <c r="P17" s="49"/>
      <c r="Q17" s="32"/>
    </row>
    <row r="18" ht="22.5" customHeight="1">
      <c r="B18" s="32"/>
      <c r="C18" s="75"/>
      <c r="D18" s="113"/>
      <c r="E18" s="75"/>
      <c r="F18" s="75"/>
      <c r="G18" s="114"/>
      <c r="H18" s="114"/>
      <c r="I18" s="32"/>
      <c r="J18" s="49"/>
      <c r="K18" s="115"/>
      <c r="L18" s="32"/>
      <c r="M18" s="49"/>
      <c r="N18" s="32"/>
      <c r="O18" s="49"/>
      <c r="P18" s="49"/>
      <c r="Q18" s="32"/>
    </row>
    <row r="19" ht="22.5" customHeight="1">
      <c r="B19" s="32"/>
      <c r="C19" s="75"/>
      <c r="D19" s="113"/>
      <c r="E19" s="75"/>
      <c r="F19" s="75"/>
      <c r="G19" s="114"/>
      <c r="H19" s="114"/>
      <c r="I19" s="32"/>
      <c r="J19" s="49"/>
      <c r="K19" s="115"/>
      <c r="L19" s="32"/>
      <c r="M19" s="49"/>
      <c r="N19" s="32"/>
      <c r="O19" s="49"/>
      <c r="P19" s="49"/>
      <c r="Q19" s="32"/>
    </row>
    <row r="20" ht="22.5" customHeight="1">
      <c r="B20" s="32"/>
      <c r="C20" s="75"/>
      <c r="D20" s="113"/>
      <c r="E20" s="75"/>
      <c r="F20" s="75"/>
      <c r="G20" s="114"/>
      <c r="H20" s="114"/>
      <c r="I20" s="32"/>
      <c r="J20" s="49"/>
      <c r="K20" s="115"/>
      <c r="L20" s="32"/>
      <c r="M20" s="49"/>
      <c r="N20" s="32"/>
      <c r="O20" s="49"/>
      <c r="P20" s="49"/>
      <c r="Q20" s="32"/>
    </row>
    <row r="21" ht="22.5" customHeight="1">
      <c r="B21" s="32"/>
      <c r="C21" s="75"/>
      <c r="D21" s="113"/>
      <c r="E21" s="75"/>
      <c r="F21" s="75"/>
      <c r="G21" s="114"/>
      <c r="H21" s="114"/>
      <c r="I21" s="32"/>
      <c r="J21" s="49"/>
      <c r="K21" s="115"/>
      <c r="L21" s="32"/>
      <c r="M21" s="49"/>
      <c r="N21" s="32"/>
      <c r="O21" s="49"/>
      <c r="P21" s="49"/>
      <c r="Q21" s="32"/>
    </row>
    <row r="22" ht="22.5" customHeight="1">
      <c r="B22" s="32"/>
      <c r="C22" s="75"/>
      <c r="D22" s="113"/>
      <c r="E22" s="75"/>
      <c r="F22" s="75"/>
      <c r="G22" s="114"/>
      <c r="H22" s="114"/>
      <c r="I22" s="32"/>
      <c r="J22" s="49"/>
      <c r="K22" s="115"/>
      <c r="L22" s="32"/>
      <c r="M22" s="49"/>
      <c r="N22" s="32"/>
      <c r="O22" s="49"/>
      <c r="P22" s="49"/>
      <c r="Q22" s="32"/>
    </row>
    <row r="23" ht="22.5" customHeight="1">
      <c r="B23" s="32"/>
      <c r="C23" s="75"/>
      <c r="D23" s="113"/>
      <c r="E23" s="75"/>
      <c r="F23" s="75"/>
      <c r="G23" s="114"/>
      <c r="H23" s="114"/>
      <c r="I23" s="32"/>
      <c r="J23" s="49"/>
      <c r="K23" s="115"/>
      <c r="L23" s="32"/>
      <c r="M23" s="49"/>
      <c r="N23" s="32"/>
      <c r="O23" s="49"/>
      <c r="P23" s="49"/>
      <c r="Q23" s="32"/>
    </row>
    <row r="24" ht="22.5" customHeight="1">
      <c r="B24" s="32"/>
      <c r="C24" s="75"/>
      <c r="D24" s="113"/>
      <c r="E24" s="75"/>
      <c r="F24" s="75"/>
      <c r="G24" s="114"/>
      <c r="H24" s="114"/>
      <c r="I24" s="32"/>
      <c r="J24" s="49"/>
      <c r="K24" s="115"/>
      <c r="L24" s="32"/>
      <c r="M24" s="49"/>
      <c r="N24" s="32"/>
      <c r="O24" s="49"/>
      <c r="P24" s="49"/>
      <c r="Q24" s="32"/>
    </row>
    <row r="25" ht="22.5" customHeight="1">
      <c r="B25" s="32"/>
      <c r="C25" s="75"/>
      <c r="D25" s="113"/>
      <c r="E25" s="75"/>
      <c r="F25" s="75"/>
      <c r="G25" s="114"/>
      <c r="H25" s="114"/>
      <c r="I25" s="32"/>
      <c r="J25" s="49"/>
      <c r="K25" s="115"/>
      <c r="L25" s="32"/>
      <c r="M25" s="49"/>
      <c r="N25" s="32"/>
      <c r="O25" s="49"/>
      <c r="P25" s="49"/>
      <c r="Q25" s="32"/>
    </row>
    <row r="26" ht="22.5" customHeight="1">
      <c r="B26" s="32"/>
      <c r="C26" s="75"/>
      <c r="D26" s="113"/>
      <c r="E26" s="75"/>
      <c r="F26" s="75"/>
      <c r="G26" s="114"/>
      <c r="H26" s="114"/>
      <c r="I26" s="32"/>
      <c r="J26" s="49"/>
      <c r="K26" s="115"/>
      <c r="L26" s="32"/>
      <c r="M26" s="49"/>
      <c r="N26" s="32"/>
      <c r="O26" s="49"/>
      <c r="P26" s="49"/>
      <c r="Q26" s="32"/>
    </row>
    <row r="27" ht="22.5" customHeight="1">
      <c r="B27" s="32"/>
      <c r="C27" s="75"/>
      <c r="D27" s="113"/>
      <c r="E27" s="75"/>
      <c r="F27" s="75"/>
      <c r="G27" s="114"/>
      <c r="H27" s="114"/>
      <c r="I27" s="32"/>
      <c r="J27" s="49"/>
      <c r="K27" s="115"/>
      <c r="L27" s="32"/>
      <c r="M27" s="49"/>
      <c r="N27" s="32"/>
      <c r="O27" s="49"/>
      <c r="P27" s="49"/>
      <c r="Q27" s="32"/>
    </row>
    <row r="28" ht="22.5" customHeight="1">
      <c r="B28" s="32"/>
      <c r="C28" s="75"/>
      <c r="D28" s="113"/>
      <c r="E28" s="75"/>
      <c r="F28" s="75"/>
      <c r="G28" s="114"/>
      <c r="H28" s="114"/>
      <c r="I28" s="32"/>
      <c r="J28" s="49"/>
      <c r="K28" s="115"/>
      <c r="L28" s="32"/>
      <c r="M28" s="49"/>
      <c r="N28" s="32"/>
      <c r="O28" s="49"/>
      <c r="P28" s="49"/>
      <c r="Q28" s="32"/>
    </row>
    <row r="29" ht="22.5" customHeight="1">
      <c r="B29" s="32"/>
      <c r="C29" s="75"/>
      <c r="D29" s="113"/>
      <c r="E29" s="75"/>
      <c r="F29" s="75"/>
      <c r="G29" s="114"/>
      <c r="H29" s="114"/>
      <c r="I29" s="32"/>
      <c r="J29" s="49"/>
      <c r="K29" s="115"/>
      <c r="L29" s="32"/>
      <c r="M29" s="49"/>
      <c r="N29" s="32"/>
      <c r="O29" s="49"/>
      <c r="P29" s="49"/>
      <c r="Q29" s="32"/>
    </row>
    <row r="30" ht="22.5" customHeight="1">
      <c r="B30" s="32"/>
      <c r="C30" s="75"/>
      <c r="D30" s="113"/>
      <c r="E30" s="75"/>
      <c r="F30" s="75"/>
      <c r="G30" s="114"/>
      <c r="H30" s="114"/>
      <c r="I30" s="32"/>
      <c r="J30" s="49"/>
      <c r="K30" s="115"/>
      <c r="L30" s="32"/>
      <c r="M30" s="49"/>
      <c r="N30" s="32"/>
      <c r="O30" s="49"/>
      <c r="P30" s="49"/>
      <c r="Q30" s="32"/>
    </row>
    <row r="31" ht="22.5" customHeight="1">
      <c r="B31" s="32"/>
      <c r="C31" s="75"/>
      <c r="D31" s="113"/>
      <c r="E31" s="75"/>
      <c r="F31" s="75"/>
      <c r="G31" s="114"/>
      <c r="H31" s="114"/>
      <c r="I31" s="32"/>
      <c r="J31" s="49"/>
      <c r="K31" s="115"/>
      <c r="L31" s="32"/>
      <c r="M31" s="49"/>
      <c r="N31" s="32"/>
      <c r="O31" s="49"/>
      <c r="P31" s="49"/>
      <c r="Q31" s="32"/>
    </row>
    <row r="32" ht="22.5" customHeight="1">
      <c r="B32" s="32"/>
      <c r="C32" s="75"/>
      <c r="D32" s="113"/>
      <c r="E32" s="75"/>
      <c r="F32" s="75"/>
      <c r="G32" s="114"/>
      <c r="H32" s="114"/>
      <c r="I32" s="32"/>
      <c r="J32" s="49"/>
      <c r="K32" s="115"/>
      <c r="L32" s="32"/>
      <c r="M32" s="49"/>
      <c r="N32" s="32"/>
      <c r="O32" s="49"/>
      <c r="P32" s="49"/>
      <c r="Q32" s="32"/>
    </row>
    <row r="33" ht="22.5" customHeight="1">
      <c r="B33" s="32"/>
      <c r="C33" s="75"/>
      <c r="D33" s="113"/>
      <c r="E33" s="75"/>
      <c r="F33" s="75"/>
      <c r="G33" s="114"/>
      <c r="H33" s="114"/>
      <c r="I33" s="32"/>
      <c r="J33" s="49"/>
      <c r="K33" s="115"/>
      <c r="L33" s="32"/>
      <c r="M33" s="49"/>
      <c r="N33" s="32"/>
      <c r="O33" s="49"/>
      <c r="P33" s="49"/>
      <c r="Q33" s="32"/>
    </row>
    <row r="34" ht="22.5" customHeight="1">
      <c r="B34" s="32"/>
      <c r="C34" s="75"/>
      <c r="D34" s="113"/>
      <c r="E34" s="75"/>
      <c r="F34" s="75"/>
      <c r="G34" s="114"/>
      <c r="H34" s="114"/>
      <c r="I34" s="32"/>
      <c r="J34" s="49"/>
      <c r="K34" s="115"/>
      <c r="L34" s="32"/>
      <c r="M34" s="49"/>
      <c r="N34" s="32"/>
      <c r="O34" s="49"/>
      <c r="P34" s="49"/>
      <c r="Q34" s="32"/>
    </row>
    <row r="35" ht="22.5" customHeight="1">
      <c r="B35" s="32"/>
      <c r="C35" s="75"/>
      <c r="D35" s="113"/>
      <c r="E35" s="75"/>
      <c r="F35" s="75"/>
      <c r="G35" s="114"/>
      <c r="H35" s="114"/>
      <c r="I35" s="32"/>
      <c r="J35" s="49"/>
      <c r="K35" s="115"/>
      <c r="L35" s="32"/>
      <c r="M35" s="49"/>
      <c r="N35" s="32"/>
      <c r="O35" s="49"/>
      <c r="P35" s="49"/>
      <c r="Q35" s="32"/>
    </row>
    <row r="36" ht="22.5" customHeight="1">
      <c r="B36" s="32"/>
      <c r="C36" s="75"/>
      <c r="D36" s="113"/>
      <c r="E36" s="75"/>
      <c r="F36" s="75"/>
      <c r="G36" s="114"/>
      <c r="H36" s="114"/>
      <c r="I36" s="32"/>
      <c r="J36" s="49"/>
      <c r="K36" s="115"/>
      <c r="L36" s="32"/>
      <c r="M36" s="49"/>
      <c r="N36" s="32"/>
      <c r="O36" s="49"/>
      <c r="P36" s="49"/>
      <c r="Q36" s="32"/>
    </row>
    <row r="37" ht="22.5" customHeight="1">
      <c r="B37" s="32"/>
      <c r="C37" s="75"/>
      <c r="D37" s="113"/>
      <c r="E37" s="75"/>
      <c r="F37" s="75"/>
      <c r="G37" s="114"/>
      <c r="H37" s="114"/>
      <c r="I37" s="32"/>
      <c r="J37" s="49"/>
      <c r="K37" s="115"/>
      <c r="L37" s="32"/>
      <c r="M37" s="49"/>
      <c r="N37" s="32"/>
      <c r="O37" s="49"/>
      <c r="P37" s="49"/>
      <c r="Q37" s="32"/>
    </row>
    <row r="38" ht="22.5" customHeight="1">
      <c r="B38" s="32"/>
      <c r="C38" s="75"/>
      <c r="D38" s="113"/>
      <c r="E38" s="75"/>
      <c r="F38" s="75"/>
      <c r="G38" s="114"/>
      <c r="H38" s="114"/>
      <c r="I38" s="32"/>
      <c r="J38" s="49"/>
      <c r="K38" s="115"/>
      <c r="L38" s="32"/>
      <c r="M38" s="49"/>
      <c r="N38" s="32"/>
      <c r="O38" s="49"/>
      <c r="P38" s="49"/>
      <c r="Q38" s="32"/>
    </row>
    <row r="39" ht="22.5" customHeight="1">
      <c r="B39" s="32"/>
      <c r="C39" s="75"/>
      <c r="D39" s="113"/>
      <c r="E39" s="75"/>
      <c r="F39" s="75"/>
      <c r="G39" s="114"/>
      <c r="H39" s="114"/>
      <c r="I39" s="32"/>
      <c r="J39" s="49"/>
      <c r="K39" s="115"/>
      <c r="L39" s="32"/>
      <c r="M39" s="49"/>
      <c r="N39" s="32"/>
      <c r="O39" s="49"/>
      <c r="P39" s="49"/>
      <c r="Q39" s="32"/>
    </row>
    <row r="40" ht="22.5" customHeight="1">
      <c r="B40" s="32"/>
      <c r="C40" s="75"/>
      <c r="D40" s="113"/>
      <c r="E40" s="75"/>
      <c r="F40" s="75"/>
      <c r="G40" s="114"/>
      <c r="H40" s="114"/>
      <c r="I40" s="32"/>
      <c r="J40" s="49"/>
      <c r="K40" s="115"/>
      <c r="L40" s="32"/>
      <c r="M40" s="49"/>
      <c r="N40" s="32"/>
      <c r="O40" s="49"/>
      <c r="P40" s="49"/>
      <c r="Q40" s="32"/>
    </row>
    <row r="41" ht="22.5" customHeight="1">
      <c r="B41" s="32"/>
      <c r="C41" s="75"/>
      <c r="D41" s="113"/>
      <c r="E41" s="75"/>
      <c r="F41" s="75"/>
      <c r="G41" s="114"/>
      <c r="H41" s="114"/>
      <c r="I41" s="32"/>
      <c r="J41" s="49"/>
      <c r="K41" s="115"/>
      <c r="L41" s="32"/>
      <c r="M41" s="49"/>
      <c r="N41" s="32"/>
      <c r="O41" s="49"/>
      <c r="P41" s="49"/>
      <c r="Q41" s="32"/>
    </row>
    <row r="42" ht="22.5" customHeight="1">
      <c r="B42" s="32"/>
      <c r="C42" s="75"/>
      <c r="D42" s="113"/>
      <c r="E42" s="75"/>
      <c r="F42" s="75"/>
      <c r="G42" s="114"/>
      <c r="H42" s="114"/>
      <c r="I42" s="32"/>
      <c r="J42" s="49"/>
      <c r="K42" s="115"/>
      <c r="L42" s="32"/>
      <c r="M42" s="49"/>
      <c r="N42" s="32"/>
      <c r="O42" s="49"/>
      <c r="P42" s="49"/>
      <c r="Q42" s="32"/>
    </row>
    <row r="43" ht="22.5" customHeight="1">
      <c r="B43" s="32"/>
      <c r="C43" s="75"/>
      <c r="D43" s="113"/>
      <c r="E43" s="75"/>
      <c r="F43" s="75"/>
      <c r="G43" s="114"/>
      <c r="H43" s="114"/>
      <c r="I43" s="32"/>
      <c r="J43" s="49"/>
      <c r="K43" s="115"/>
      <c r="L43" s="32"/>
      <c r="M43" s="49"/>
      <c r="N43" s="32"/>
      <c r="O43" s="49"/>
      <c r="P43" s="49"/>
      <c r="Q43" s="32"/>
    </row>
    <row r="44" ht="22.5" customHeight="1">
      <c r="B44" s="32"/>
      <c r="C44" s="75"/>
      <c r="D44" s="113"/>
      <c r="E44" s="75"/>
      <c r="F44" s="75"/>
      <c r="G44" s="114"/>
      <c r="H44" s="114"/>
      <c r="I44" s="32"/>
      <c r="J44" s="49"/>
      <c r="K44" s="115"/>
      <c r="L44" s="32"/>
      <c r="M44" s="49"/>
      <c r="N44" s="32"/>
      <c r="O44" s="49"/>
      <c r="P44" s="49"/>
      <c r="Q44" s="32"/>
    </row>
    <row r="45" ht="22.5" customHeight="1">
      <c r="B45" s="32"/>
      <c r="C45" s="75"/>
      <c r="D45" s="113"/>
      <c r="E45" s="75"/>
      <c r="F45" s="75"/>
      <c r="G45" s="114"/>
      <c r="H45" s="114"/>
      <c r="I45" s="32"/>
      <c r="J45" s="49"/>
      <c r="K45" s="115"/>
      <c r="L45" s="32"/>
      <c r="M45" s="49"/>
      <c r="N45" s="32"/>
      <c r="O45" s="49"/>
      <c r="P45" s="49"/>
      <c r="Q45" s="32"/>
    </row>
    <row r="46" ht="22.5" customHeight="1">
      <c r="B46" s="32"/>
      <c r="C46" s="75"/>
      <c r="D46" s="113"/>
      <c r="E46" s="75"/>
      <c r="F46" s="75"/>
      <c r="G46" s="114"/>
      <c r="H46" s="114"/>
      <c r="I46" s="32"/>
      <c r="J46" s="49"/>
      <c r="K46" s="115"/>
      <c r="L46" s="32"/>
      <c r="M46" s="49"/>
      <c r="N46" s="32"/>
      <c r="O46" s="49"/>
      <c r="P46" s="49"/>
      <c r="Q46" s="32"/>
    </row>
    <row r="47" ht="22.5" customHeight="1">
      <c r="B47" s="32"/>
      <c r="C47" s="75"/>
      <c r="D47" s="113"/>
      <c r="E47" s="75"/>
      <c r="F47" s="75"/>
      <c r="G47" s="114"/>
      <c r="H47" s="114"/>
      <c r="I47" s="32"/>
      <c r="J47" s="49"/>
      <c r="K47" s="115"/>
      <c r="L47" s="32"/>
      <c r="M47" s="49"/>
      <c r="N47" s="32"/>
      <c r="O47" s="49"/>
      <c r="P47" s="49"/>
      <c r="Q47" s="32"/>
    </row>
    <row r="48" ht="22.5" customHeight="1">
      <c r="B48" s="32"/>
      <c r="C48" s="75"/>
      <c r="D48" s="113"/>
      <c r="E48" s="75"/>
      <c r="F48" s="75"/>
      <c r="G48" s="114"/>
      <c r="H48" s="114"/>
      <c r="I48" s="32"/>
      <c r="J48" s="49"/>
      <c r="K48" s="115"/>
      <c r="L48" s="32"/>
      <c r="M48" s="49"/>
      <c r="N48" s="32"/>
      <c r="O48" s="49"/>
      <c r="P48" s="49"/>
      <c r="Q48" s="32"/>
    </row>
    <row r="49" ht="22.5" customHeight="1">
      <c r="B49" s="32"/>
      <c r="C49" s="75"/>
      <c r="D49" s="113"/>
      <c r="E49" s="75"/>
      <c r="F49" s="75"/>
      <c r="G49" s="114"/>
      <c r="H49" s="114"/>
      <c r="I49" s="32"/>
      <c r="J49" s="49"/>
      <c r="K49" s="115"/>
      <c r="L49" s="32"/>
      <c r="M49" s="49"/>
      <c r="N49" s="32"/>
      <c r="O49" s="49"/>
      <c r="P49" s="49"/>
      <c r="Q49" s="32"/>
    </row>
    <row r="50" ht="22.5" customHeight="1">
      <c r="B50" s="32"/>
      <c r="C50" s="75"/>
      <c r="D50" s="113"/>
      <c r="E50" s="75"/>
      <c r="F50" s="75"/>
      <c r="G50" s="114"/>
      <c r="H50" s="114"/>
      <c r="I50" s="32"/>
      <c r="J50" s="49"/>
      <c r="K50" s="115"/>
      <c r="L50" s="32"/>
      <c r="M50" s="49"/>
      <c r="N50" s="32"/>
      <c r="O50" s="49"/>
      <c r="P50" s="49"/>
      <c r="Q50" s="32"/>
    </row>
    <row r="51" ht="22.5" customHeight="1">
      <c r="B51" s="32"/>
      <c r="C51" s="75"/>
      <c r="D51" s="113"/>
      <c r="E51" s="75"/>
      <c r="F51" s="75"/>
      <c r="G51" s="114"/>
      <c r="H51" s="114"/>
      <c r="I51" s="32"/>
      <c r="J51" s="49"/>
      <c r="K51" s="115"/>
      <c r="L51" s="32"/>
      <c r="M51" s="49"/>
      <c r="N51" s="32"/>
      <c r="O51" s="49"/>
      <c r="P51" s="49"/>
      <c r="Q51" s="32"/>
    </row>
    <row r="52" ht="22.5" customHeight="1">
      <c r="B52" s="32"/>
      <c r="C52" s="75"/>
      <c r="D52" s="113"/>
      <c r="E52" s="75"/>
      <c r="F52" s="75"/>
      <c r="G52" s="114"/>
      <c r="H52" s="114"/>
      <c r="I52" s="32"/>
      <c r="J52" s="49"/>
      <c r="K52" s="115"/>
      <c r="L52" s="32"/>
      <c r="M52" s="49"/>
      <c r="N52" s="32"/>
      <c r="O52" s="49"/>
      <c r="P52" s="49"/>
      <c r="Q52" s="3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22.63"/>
    <col customWidth="1" min="9" max="9" width="19.25"/>
    <col customWidth="1" min="10" max="10" width="22.88"/>
    <col customWidth="1" min="11" max="11" width="17.0"/>
    <col customWidth="1" min="12" max="12" width="14.25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5" t="s">
        <v>700</v>
      </c>
      <c r="E3" s="7" t="s">
        <v>8</v>
      </c>
      <c r="F3" s="7" t="s">
        <v>11</v>
      </c>
      <c r="G3" s="8" t="s">
        <v>13</v>
      </c>
      <c r="H3" s="7" t="s">
        <v>16</v>
      </c>
      <c r="I3" s="7" t="s">
        <v>17</v>
      </c>
      <c r="J3" s="7" t="s">
        <v>18</v>
      </c>
      <c r="K3" s="7" t="s">
        <v>20</v>
      </c>
      <c r="L3" s="7" t="s">
        <v>21</v>
      </c>
      <c r="M3" s="7" t="s">
        <v>23</v>
      </c>
      <c r="N3" s="7" t="s">
        <v>24</v>
      </c>
    </row>
    <row r="4" ht="26.25" customHeight="1">
      <c r="D4" s="10" t="s">
        <v>26</v>
      </c>
      <c r="E4" s="11">
        <v>1000000.0</v>
      </c>
      <c r="F4" s="13">
        <f>SUMIFS(OPI_14[MAF NETO],OPI_14[ESTADO],"Desembolsado")</f>
        <v>526400</v>
      </c>
      <c r="G4" s="13">
        <f>F4-E4</f>
        <v>-473600</v>
      </c>
      <c r="H4" s="15">
        <f>SUMIFS(OPI_14[MAF NETO],OPI_14[ESTADO],H$3)</f>
        <v>58000</v>
      </c>
      <c r="I4" s="15">
        <f>SUMIFS(OPI_14[MAF NETO],OPI_14[ESTADO],I$3)</f>
        <v>0</v>
      </c>
      <c r="J4" s="15">
        <f>SUMIFS(OPI_14[MAF NETO],OPI_14[ESTADO],J$3)</f>
        <v>0</v>
      </c>
      <c r="K4" s="15">
        <f>SUMIFS(OPI_14[MAF NETO],OPI_14[ESTADO],K$3)</f>
        <v>40000</v>
      </c>
      <c r="L4" s="15">
        <f>SUMIFS(OPI_14[MAF NETO],OPI_14[ESTADO],L$3)</f>
        <v>0</v>
      </c>
      <c r="M4" s="15">
        <f>SUMIFS(OPI_14[MAF NETO],OPI_14[ESTADO],M$3)</f>
        <v>0</v>
      </c>
      <c r="N4" s="15">
        <f>SUMIFS(OPI_14[MAF NETO],OPI_14[ESTADO],N$3)</f>
        <v>130850</v>
      </c>
    </row>
    <row r="5" ht="26.25" customHeight="1">
      <c r="D5" s="17" t="s">
        <v>28</v>
      </c>
      <c r="E5" s="18" t="s">
        <v>29</v>
      </c>
      <c r="F5" s="19">
        <f>COUNTIFS(OPI_14[ESTADO],"Desembolsado")</f>
        <v>8</v>
      </c>
      <c r="G5" s="20">
        <f>IFERROR(F4/E4,"")</f>
        <v>0.5264</v>
      </c>
      <c r="H5" s="19">
        <f>COUNTIFS(OPI_14[ESTADO],H$3)</f>
        <v>1</v>
      </c>
      <c r="I5" s="19">
        <f>COUNTIFS(OPI_14[ESTADO],I$3)</f>
        <v>0</v>
      </c>
      <c r="J5" s="19">
        <f>COUNTIFS(OPI_14[ESTADO],J$3)</f>
        <v>0</v>
      </c>
      <c r="K5" s="19">
        <f>COUNTIFS(OPI_14[ESTADO],K$3)</f>
        <v>1</v>
      </c>
      <c r="L5" s="19">
        <f>COUNTIFS(OPI_14[ESTADO],L$3)</f>
        <v>0</v>
      </c>
      <c r="M5" s="19">
        <f>COUNTIFS(OPI_14[ESTADO],M$3)</f>
        <v>0</v>
      </c>
      <c r="N5" s="19">
        <f>COUNTIFS(OPI_14[ESTADO],N$3)</f>
        <v>3</v>
      </c>
    </row>
    <row r="9" ht="22.5" customHeight="1">
      <c r="A9" s="21"/>
      <c r="B9" s="22" t="s">
        <v>31</v>
      </c>
      <c r="C9" s="22" t="s">
        <v>33</v>
      </c>
      <c r="D9" s="23" t="s">
        <v>34</v>
      </c>
      <c r="E9" s="22" t="s">
        <v>35</v>
      </c>
      <c r="F9" s="22" t="s">
        <v>36</v>
      </c>
      <c r="G9" s="22" t="s">
        <v>37</v>
      </c>
      <c r="H9" s="22" t="s">
        <v>38</v>
      </c>
      <c r="I9" s="22" t="s">
        <v>39</v>
      </c>
      <c r="J9" s="23" t="s">
        <v>40</v>
      </c>
      <c r="K9" s="22" t="s">
        <v>41</v>
      </c>
      <c r="L9" s="22" t="s">
        <v>42</v>
      </c>
      <c r="M9" s="23" t="s">
        <v>44</v>
      </c>
      <c r="N9" s="22" t="s">
        <v>45</v>
      </c>
      <c r="O9" s="23" t="s">
        <v>46</v>
      </c>
      <c r="P9" s="23" t="s">
        <v>47</v>
      </c>
      <c r="Q9" s="22" t="s">
        <v>48</v>
      </c>
    </row>
    <row r="10" ht="22.5" customHeight="1">
      <c r="B10" s="24" t="s">
        <v>700</v>
      </c>
      <c r="C10" s="25">
        <v>46210.0</v>
      </c>
      <c r="D10" s="26" t="s">
        <v>49</v>
      </c>
      <c r="E10" s="25"/>
      <c r="F10" s="25"/>
      <c r="G10" s="27" t="s">
        <v>773</v>
      </c>
      <c r="H10" s="27" t="s">
        <v>774</v>
      </c>
      <c r="I10" s="24" t="s">
        <v>54</v>
      </c>
      <c r="J10" s="26" t="s">
        <v>24</v>
      </c>
      <c r="K10" s="28">
        <v>0.0</v>
      </c>
      <c r="L10" s="24" t="s">
        <v>775</v>
      </c>
      <c r="M10" s="26" t="s">
        <v>71</v>
      </c>
      <c r="N10" s="32"/>
      <c r="O10" s="26"/>
      <c r="P10" s="49"/>
      <c r="Q10" s="24"/>
    </row>
    <row r="11" ht="22.5" customHeight="1">
      <c r="B11" s="24" t="s">
        <v>700</v>
      </c>
      <c r="C11" s="25">
        <v>46214.0</v>
      </c>
      <c r="D11" s="26" t="s">
        <v>58</v>
      </c>
      <c r="E11" s="25"/>
      <c r="F11" s="75"/>
      <c r="G11" s="27" t="s">
        <v>778</v>
      </c>
      <c r="H11" s="27" t="s">
        <v>779</v>
      </c>
      <c r="I11" s="24" t="s">
        <v>64</v>
      </c>
      <c r="J11" s="26" t="s">
        <v>11</v>
      </c>
      <c r="K11" s="28">
        <v>32400.0</v>
      </c>
      <c r="L11" s="24" t="s">
        <v>780</v>
      </c>
      <c r="M11" s="26" t="s">
        <v>71</v>
      </c>
      <c r="N11" s="32"/>
      <c r="O11" s="26"/>
      <c r="P11" s="49"/>
      <c r="Q11" s="24" t="s">
        <v>781</v>
      </c>
    </row>
    <row r="12" ht="22.5" customHeight="1">
      <c r="B12" s="24" t="s">
        <v>700</v>
      </c>
      <c r="C12" s="25">
        <v>46214.0</v>
      </c>
      <c r="D12" s="26" t="s">
        <v>58</v>
      </c>
      <c r="E12" s="25"/>
      <c r="F12" s="75"/>
      <c r="G12" s="27" t="s">
        <v>782</v>
      </c>
      <c r="H12" s="27" t="s">
        <v>783</v>
      </c>
      <c r="I12" s="24" t="s">
        <v>64</v>
      </c>
      <c r="J12" s="26" t="s">
        <v>11</v>
      </c>
      <c r="K12" s="28">
        <v>83200.0</v>
      </c>
      <c r="L12" s="24" t="s">
        <v>780</v>
      </c>
      <c r="M12" s="26" t="s">
        <v>71</v>
      </c>
      <c r="N12" s="32"/>
      <c r="O12" s="26"/>
      <c r="P12" s="49"/>
      <c r="Q12" s="24" t="s">
        <v>786</v>
      </c>
    </row>
    <row r="13" ht="22.5" customHeight="1">
      <c r="B13" s="24" t="s">
        <v>700</v>
      </c>
      <c r="C13" s="25">
        <v>46214.0</v>
      </c>
      <c r="D13" s="26" t="s">
        <v>58</v>
      </c>
      <c r="E13" s="25"/>
      <c r="F13" s="75"/>
      <c r="G13" s="27" t="s">
        <v>789</v>
      </c>
      <c r="H13" s="27" t="s">
        <v>790</v>
      </c>
      <c r="I13" s="24" t="s">
        <v>64</v>
      </c>
      <c r="J13" s="26" t="s">
        <v>11</v>
      </c>
      <c r="K13" s="28">
        <v>74300.0</v>
      </c>
      <c r="L13" s="24" t="s">
        <v>780</v>
      </c>
      <c r="M13" s="26" t="s">
        <v>71</v>
      </c>
      <c r="N13" s="32"/>
      <c r="O13" s="26"/>
      <c r="P13" s="49"/>
      <c r="Q13" s="24" t="s">
        <v>791</v>
      </c>
    </row>
    <row r="14" ht="22.5" customHeight="1">
      <c r="B14" s="24" t="s">
        <v>700</v>
      </c>
      <c r="C14" s="25">
        <v>46215.0</v>
      </c>
      <c r="D14" s="26" t="s">
        <v>58</v>
      </c>
      <c r="E14" s="25"/>
      <c r="F14" s="75"/>
      <c r="G14" s="27" t="s">
        <v>794</v>
      </c>
      <c r="H14" s="27" t="s">
        <v>795</v>
      </c>
      <c r="I14" s="24" t="s">
        <v>124</v>
      </c>
      <c r="J14" s="26" t="s">
        <v>11</v>
      </c>
      <c r="K14" s="28">
        <v>89500.0</v>
      </c>
      <c r="L14" s="24" t="s">
        <v>780</v>
      </c>
      <c r="M14" s="26" t="s">
        <v>71</v>
      </c>
      <c r="N14" s="32"/>
      <c r="O14" s="49"/>
      <c r="P14" s="49"/>
      <c r="Q14" s="24" t="s">
        <v>796</v>
      </c>
    </row>
    <row r="15" ht="22.5" customHeight="1">
      <c r="B15" s="24" t="s">
        <v>700</v>
      </c>
      <c r="C15" s="25">
        <v>46218.0</v>
      </c>
      <c r="D15" s="26" t="s">
        <v>58</v>
      </c>
      <c r="E15" s="75"/>
      <c r="F15" s="75"/>
      <c r="G15" s="27" t="s">
        <v>799</v>
      </c>
      <c r="H15" s="27" t="s">
        <v>800</v>
      </c>
      <c r="I15" s="24" t="s">
        <v>64</v>
      </c>
      <c r="J15" s="26" t="s">
        <v>11</v>
      </c>
      <c r="K15" s="28">
        <v>50000.0</v>
      </c>
      <c r="L15" s="24" t="s">
        <v>780</v>
      </c>
      <c r="M15" s="26" t="s">
        <v>71</v>
      </c>
      <c r="N15" s="32"/>
      <c r="O15" s="49"/>
      <c r="P15" s="49"/>
      <c r="Q15" s="24" t="s">
        <v>801</v>
      </c>
    </row>
    <row r="16" ht="22.5" customHeight="1">
      <c r="B16" s="24" t="s">
        <v>700</v>
      </c>
      <c r="C16" s="25">
        <v>46219.0</v>
      </c>
      <c r="D16" s="26" t="s">
        <v>58</v>
      </c>
      <c r="E16" s="75"/>
      <c r="F16" s="75"/>
      <c r="G16" s="27" t="s">
        <v>802</v>
      </c>
      <c r="H16" s="27" t="s">
        <v>803</v>
      </c>
      <c r="I16" s="24" t="s">
        <v>64</v>
      </c>
      <c r="J16" s="26" t="s">
        <v>11</v>
      </c>
      <c r="K16" s="28">
        <v>94000.0</v>
      </c>
      <c r="L16" s="24" t="s">
        <v>780</v>
      </c>
      <c r="M16" s="26" t="s">
        <v>71</v>
      </c>
      <c r="N16" s="32"/>
      <c r="O16" s="49"/>
      <c r="P16" s="49"/>
      <c r="Q16" s="24" t="s">
        <v>804</v>
      </c>
    </row>
    <row r="17" ht="22.5" customHeight="1">
      <c r="B17" s="24" t="s">
        <v>700</v>
      </c>
      <c r="C17" s="25">
        <v>46219.0</v>
      </c>
      <c r="D17" s="26" t="s">
        <v>49</v>
      </c>
      <c r="E17" s="75"/>
      <c r="F17" s="75"/>
      <c r="G17" s="27" t="s">
        <v>805</v>
      </c>
      <c r="H17" s="27" t="s">
        <v>806</v>
      </c>
      <c r="I17" s="24" t="s">
        <v>54</v>
      </c>
      <c r="J17" s="26" t="s">
        <v>24</v>
      </c>
      <c r="K17" s="28">
        <v>50450.0</v>
      </c>
      <c r="L17" s="24" t="s">
        <v>775</v>
      </c>
      <c r="M17" s="26" t="s">
        <v>71</v>
      </c>
      <c r="N17" s="32"/>
      <c r="O17" s="49"/>
      <c r="P17" s="49"/>
      <c r="Q17" s="24" t="s">
        <v>807</v>
      </c>
    </row>
    <row r="18" ht="22.5" customHeight="1">
      <c r="B18" s="24" t="s">
        <v>700</v>
      </c>
      <c r="C18" s="25">
        <v>46219.0</v>
      </c>
      <c r="D18" s="26" t="s">
        <v>247</v>
      </c>
      <c r="E18" s="75"/>
      <c r="F18" s="75"/>
      <c r="G18" s="27" t="s">
        <v>808</v>
      </c>
      <c r="H18" s="27" t="s">
        <v>809</v>
      </c>
      <c r="I18" s="24" t="s">
        <v>54</v>
      </c>
      <c r="J18" s="26" t="s">
        <v>16</v>
      </c>
      <c r="K18" s="28">
        <v>58000.0</v>
      </c>
      <c r="L18" s="24" t="s">
        <v>780</v>
      </c>
      <c r="M18" s="26" t="s">
        <v>71</v>
      </c>
      <c r="N18" s="32"/>
      <c r="O18" s="49"/>
      <c r="P18" s="49"/>
      <c r="Q18" s="24" t="s">
        <v>810</v>
      </c>
    </row>
    <row r="19" ht="22.5" customHeight="1">
      <c r="B19" s="24" t="s">
        <v>700</v>
      </c>
      <c r="C19" s="25">
        <v>46224.0</v>
      </c>
      <c r="D19" s="26" t="s">
        <v>58</v>
      </c>
      <c r="E19" s="75"/>
      <c r="F19" s="75"/>
      <c r="G19" s="27" t="s">
        <v>811</v>
      </c>
      <c r="H19" s="27" t="s">
        <v>812</v>
      </c>
      <c r="I19" s="24" t="s">
        <v>64</v>
      </c>
      <c r="J19" s="26" t="s">
        <v>20</v>
      </c>
      <c r="K19" s="28">
        <v>40000.0</v>
      </c>
      <c r="L19" s="24" t="s">
        <v>780</v>
      </c>
      <c r="M19" s="26" t="s">
        <v>71</v>
      </c>
      <c r="N19" s="32"/>
      <c r="O19" s="49"/>
      <c r="P19" s="49"/>
      <c r="Q19" s="24" t="s">
        <v>791</v>
      </c>
    </row>
    <row r="20" ht="22.5" customHeight="1">
      <c r="B20" s="24" t="s">
        <v>700</v>
      </c>
      <c r="C20" s="25">
        <v>46224.0</v>
      </c>
      <c r="D20" s="26" t="s">
        <v>58</v>
      </c>
      <c r="E20" s="75"/>
      <c r="F20" s="75"/>
      <c r="G20" s="27" t="s">
        <v>813</v>
      </c>
      <c r="H20" s="27" t="s">
        <v>814</v>
      </c>
      <c r="I20" s="24" t="s">
        <v>124</v>
      </c>
      <c r="J20" s="26" t="s">
        <v>11</v>
      </c>
      <c r="K20" s="28">
        <v>20000.0</v>
      </c>
      <c r="L20" s="24" t="s">
        <v>780</v>
      </c>
      <c r="M20" s="26" t="s">
        <v>71</v>
      </c>
      <c r="N20" s="32"/>
      <c r="O20" s="49"/>
      <c r="P20" s="49"/>
      <c r="Q20" s="24" t="s">
        <v>815</v>
      </c>
    </row>
    <row r="21" ht="22.5" customHeight="1">
      <c r="B21" s="24" t="s">
        <v>700</v>
      </c>
      <c r="C21" s="25">
        <v>46230.0</v>
      </c>
      <c r="D21" s="26" t="s">
        <v>49</v>
      </c>
      <c r="E21" s="75"/>
      <c r="F21" s="75"/>
      <c r="G21" s="27" t="s">
        <v>816</v>
      </c>
      <c r="H21" s="27" t="s">
        <v>817</v>
      </c>
      <c r="I21" s="24" t="s">
        <v>124</v>
      </c>
      <c r="J21" s="26" t="s">
        <v>24</v>
      </c>
      <c r="K21" s="28">
        <v>80400.0</v>
      </c>
      <c r="L21" s="24" t="s">
        <v>775</v>
      </c>
      <c r="M21" s="26" t="s">
        <v>71</v>
      </c>
      <c r="N21" s="32"/>
      <c r="O21" s="49"/>
      <c r="P21" s="49"/>
      <c r="Q21" s="24" t="s">
        <v>818</v>
      </c>
    </row>
    <row r="22" ht="22.5" customHeight="1">
      <c r="B22" s="24" t="s">
        <v>700</v>
      </c>
      <c r="C22" s="25">
        <v>46230.0</v>
      </c>
      <c r="D22" s="26" t="s">
        <v>58</v>
      </c>
      <c r="E22" s="75"/>
      <c r="F22" s="75"/>
      <c r="G22" s="27" t="s">
        <v>819</v>
      </c>
      <c r="H22" s="27" t="s">
        <v>820</v>
      </c>
      <c r="I22" s="24" t="s">
        <v>124</v>
      </c>
      <c r="J22" s="26" t="s">
        <v>11</v>
      </c>
      <c r="K22" s="28">
        <v>83000.0</v>
      </c>
      <c r="L22" s="24" t="s">
        <v>780</v>
      </c>
      <c r="M22" s="26" t="s">
        <v>71</v>
      </c>
      <c r="N22" s="32"/>
      <c r="O22" s="49"/>
      <c r="P22" s="49"/>
      <c r="Q22" s="24" t="s">
        <v>821</v>
      </c>
    </row>
    <row r="23" ht="22.5" customHeight="1">
      <c r="B23" s="32"/>
      <c r="C23" s="75"/>
      <c r="D23" s="113"/>
      <c r="E23" s="75"/>
      <c r="F23" s="75"/>
      <c r="G23" s="114"/>
      <c r="H23" s="114"/>
      <c r="I23" s="32"/>
      <c r="J23" s="49"/>
      <c r="K23" s="115"/>
      <c r="L23" s="32"/>
      <c r="M23" s="49"/>
      <c r="N23" s="32"/>
      <c r="O23" s="49"/>
      <c r="P23" s="49"/>
      <c r="Q23" s="32"/>
    </row>
    <row r="24" ht="22.5" customHeight="1">
      <c r="B24" s="32"/>
      <c r="C24" s="75"/>
      <c r="D24" s="113"/>
      <c r="E24" s="75"/>
      <c r="F24" s="75"/>
      <c r="G24" s="114"/>
      <c r="H24" s="114"/>
      <c r="I24" s="32"/>
      <c r="J24" s="49"/>
      <c r="K24" s="115"/>
      <c r="L24" s="32"/>
      <c r="M24" s="49"/>
      <c r="N24" s="32"/>
      <c r="O24" s="49"/>
      <c r="P24" s="49"/>
      <c r="Q24" s="32"/>
    </row>
    <row r="25" ht="22.5" customHeight="1">
      <c r="B25" s="32"/>
      <c r="C25" s="75"/>
      <c r="D25" s="113"/>
      <c r="E25" s="75"/>
      <c r="F25" s="75"/>
      <c r="G25" s="114"/>
      <c r="H25" s="114"/>
      <c r="I25" s="32"/>
      <c r="J25" s="49"/>
      <c r="K25" s="115"/>
      <c r="L25" s="32"/>
      <c r="M25" s="49"/>
      <c r="N25" s="32"/>
      <c r="O25" s="49"/>
      <c r="P25" s="49"/>
      <c r="Q25" s="32"/>
    </row>
    <row r="26" ht="22.5" customHeight="1">
      <c r="B26" s="32"/>
      <c r="C26" s="75"/>
      <c r="D26" s="113"/>
      <c r="E26" s="75"/>
      <c r="F26" s="75"/>
      <c r="G26" s="114"/>
      <c r="H26" s="114"/>
      <c r="I26" s="32"/>
      <c r="J26" s="49"/>
      <c r="K26" s="115"/>
      <c r="L26" s="32"/>
      <c r="M26" s="49"/>
      <c r="N26" s="32"/>
      <c r="O26" s="49"/>
      <c r="P26" s="49"/>
      <c r="Q26" s="32"/>
    </row>
    <row r="27" ht="22.5" customHeight="1">
      <c r="B27" s="32"/>
      <c r="C27" s="75"/>
      <c r="D27" s="113"/>
      <c r="E27" s="75"/>
      <c r="F27" s="75"/>
      <c r="G27" s="114"/>
      <c r="H27" s="114"/>
      <c r="I27" s="32"/>
      <c r="J27" s="49"/>
      <c r="K27" s="115"/>
      <c r="L27" s="32"/>
      <c r="M27" s="49"/>
      <c r="N27" s="32"/>
      <c r="O27" s="49"/>
      <c r="P27" s="49"/>
      <c r="Q27" s="32"/>
    </row>
    <row r="28" ht="22.5" customHeight="1">
      <c r="B28" s="32"/>
      <c r="C28" s="75"/>
      <c r="D28" s="113"/>
      <c r="E28" s="75"/>
      <c r="F28" s="75"/>
      <c r="G28" s="114"/>
      <c r="H28" s="114"/>
      <c r="I28" s="32"/>
      <c r="J28" s="49"/>
      <c r="K28" s="115"/>
      <c r="L28" s="32"/>
      <c r="M28" s="49"/>
      <c r="N28" s="32"/>
      <c r="O28" s="49"/>
      <c r="P28" s="49"/>
      <c r="Q28" s="32"/>
    </row>
    <row r="29" ht="22.5" customHeight="1">
      <c r="B29" s="32"/>
      <c r="C29" s="75"/>
      <c r="D29" s="113"/>
      <c r="E29" s="75"/>
      <c r="F29" s="75"/>
      <c r="G29" s="114"/>
      <c r="H29" s="114"/>
      <c r="I29" s="32"/>
      <c r="J29" s="49"/>
      <c r="K29" s="115"/>
      <c r="L29" s="32"/>
      <c r="M29" s="49"/>
      <c r="N29" s="32"/>
      <c r="O29" s="49"/>
      <c r="P29" s="49"/>
      <c r="Q29" s="32"/>
    </row>
    <row r="30" ht="22.5" customHeight="1">
      <c r="B30" s="32"/>
      <c r="C30" s="75"/>
      <c r="D30" s="113"/>
      <c r="E30" s="75"/>
      <c r="F30" s="75"/>
      <c r="G30" s="114"/>
      <c r="H30" s="114"/>
      <c r="I30" s="32"/>
      <c r="J30" s="49"/>
      <c r="K30" s="115"/>
      <c r="L30" s="32"/>
      <c r="M30" s="49"/>
      <c r="N30" s="32"/>
      <c r="O30" s="49"/>
      <c r="P30" s="49"/>
      <c r="Q30" s="32"/>
    </row>
    <row r="31" ht="22.5" customHeight="1">
      <c r="B31" s="32"/>
      <c r="C31" s="75"/>
      <c r="D31" s="113"/>
      <c r="E31" s="75"/>
      <c r="F31" s="75"/>
      <c r="G31" s="114"/>
      <c r="H31" s="114"/>
      <c r="I31" s="32"/>
      <c r="J31" s="49"/>
      <c r="K31" s="115"/>
      <c r="L31" s="32"/>
      <c r="M31" s="49"/>
      <c r="N31" s="32"/>
      <c r="O31" s="49"/>
      <c r="P31" s="49"/>
      <c r="Q31" s="32"/>
    </row>
    <row r="32" ht="22.5" customHeight="1">
      <c r="B32" s="32"/>
      <c r="C32" s="75"/>
      <c r="D32" s="113"/>
      <c r="E32" s="75"/>
      <c r="F32" s="75"/>
      <c r="G32" s="114"/>
      <c r="H32" s="114"/>
      <c r="I32" s="32"/>
      <c r="J32" s="49"/>
      <c r="K32" s="115"/>
      <c r="L32" s="32"/>
      <c r="M32" s="49"/>
      <c r="N32" s="32"/>
      <c r="O32" s="49"/>
      <c r="P32" s="49"/>
      <c r="Q32" s="32"/>
    </row>
    <row r="33" ht="22.5" customHeight="1">
      <c r="B33" s="32"/>
      <c r="C33" s="75"/>
      <c r="D33" s="113"/>
      <c r="E33" s="75"/>
      <c r="F33" s="75"/>
      <c r="G33" s="114"/>
      <c r="H33" s="114"/>
      <c r="I33" s="32"/>
      <c r="J33" s="49"/>
      <c r="K33" s="115"/>
      <c r="L33" s="32"/>
      <c r="M33" s="49"/>
      <c r="N33" s="32"/>
      <c r="O33" s="49"/>
      <c r="P33" s="49"/>
      <c r="Q33" s="32"/>
    </row>
    <row r="34" ht="22.5" customHeight="1">
      <c r="B34" s="32"/>
      <c r="C34" s="75"/>
      <c r="D34" s="113"/>
      <c r="E34" s="75"/>
      <c r="F34" s="75"/>
      <c r="G34" s="114"/>
      <c r="H34" s="114"/>
      <c r="I34" s="32"/>
      <c r="J34" s="49"/>
      <c r="K34" s="115"/>
      <c r="L34" s="32"/>
      <c r="M34" s="49"/>
      <c r="N34" s="32"/>
      <c r="O34" s="49"/>
      <c r="P34" s="49"/>
      <c r="Q34" s="32"/>
    </row>
    <row r="35" ht="22.5" customHeight="1">
      <c r="B35" s="32"/>
      <c r="C35" s="75"/>
      <c r="D35" s="113"/>
      <c r="E35" s="75"/>
      <c r="F35" s="75"/>
      <c r="G35" s="114"/>
      <c r="H35" s="114"/>
      <c r="I35" s="32"/>
      <c r="J35" s="49"/>
      <c r="K35" s="115"/>
      <c r="L35" s="32"/>
      <c r="M35" s="49"/>
      <c r="N35" s="32"/>
      <c r="O35" s="49"/>
      <c r="P35" s="49"/>
      <c r="Q35" s="32"/>
    </row>
    <row r="36" ht="22.5" customHeight="1">
      <c r="B36" s="32"/>
      <c r="C36" s="75"/>
      <c r="D36" s="113"/>
      <c r="E36" s="75"/>
      <c r="F36" s="75"/>
      <c r="G36" s="114"/>
      <c r="H36" s="114"/>
      <c r="I36" s="32"/>
      <c r="J36" s="49"/>
      <c r="K36" s="115"/>
      <c r="L36" s="32"/>
      <c r="M36" s="49"/>
      <c r="N36" s="32"/>
      <c r="O36" s="49"/>
      <c r="P36" s="49"/>
      <c r="Q36" s="32"/>
    </row>
    <row r="37" ht="22.5" customHeight="1">
      <c r="B37" s="32"/>
      <c r="C37" s="75"/>
      <c r="D37" s="113"/>
      <c r="E37" s="75"/>
      <c r="F37" s="75"/>
      <c r="G37" s="114"/>
      <c r="H37" s="114"/>
      <c r="I37" s="32"/>
      <c r="J37" s="49"/>
      <c r="K37" s="115"/>
      <c r="L37" s="32"/>
      <c r="M37" s="49"/>
      <c r="N37" s="32"/>
      <c r="O37" s="49"/>
      <c r="P37" s="49"/>
      <c r="Q37" s="32"/>
    </row>
    <row r="38" ht="22.5" customHeight="1">
      <c r="B38" s="32"/>
      <c r="C38" s="75"/>
      <c r="D38" s="113"/>
      <c r="E38" s="75"/>
      <c r="F38" s="75"/>
      <c r="G38" s="114"/>
      <c r="H38" s="114"/>
      <c r="I38" s="32"/>
      <c r="J38" s="49"/>
      <c r="K38" s="115"/>
      <c r="L38" s="32"/>
      <c r="M38" s="49"/>
      <c r="N38" s="32"/>
      <c r="O38" s="49"/>
      <c r="P38" s="49"/>
      <c r="Q38" s="32"/>
    </row>
    <row r="39" ht="22.5" customHeight="1">
      <c r="B39" s="32"/>
      <c r="C39" s="75"/>
      <c r="D39" s="113"/>
      <c r="E39" s="75"/>
      <c r="F39" s="75"/>
      <c r="G39" s="114"/>
      <c r="H39" s="114"/>
      <c r="I39" s="32"/>
      <c r="J39" s="49"/>
      <c r="K39" s="115"/>
      <c r="L39" s="32"/>
      <c r="M39" s="49"/>
      <c r="N39" s="32"/>
      <c r="O39" s="49"/>
      <c r="P39" s="49"/>
      <c r="Q39" s="32"/>
    </row>
    <row r="40" ht="22.5" customHeight="1">
      <c r="B40" s="32"/>
      <c r="C40" s="75"/>
      <c r="D40" s="113"/>
      <c r="E40" s="75"/>
      <c r="F40" s="75"/>
      <c r="G40" s="114"/>
      <c r="H40" s="114"/>
      <c r="I40" s="32"/>
      <c r="J40" s="49"/>
      <c r="K40" s="115"/>
      <c r="L40" s="32"/>
      <c r="M40" s="49"/>
      <c r="N40" s="32"/>
      <c r="O40" s="49"/>
      <c r="P40" s="49"/>
      <c r="Q40" s="32"/>
    </row>
    <row r="41" ht="22.5" customHeight="1">
      <c r="B41" s="32"/>
      <c r="C41" s="75"/>
      <c r="D41" s="113"/>
      <c r="E41" s="75"/>
      <c r="F41" s="75"/>
      <c r="G41" s="114"/>
      <c r="H41" s="114"/>
      <c r="I41" s="32"/>
      <c r="J41" s="49"/>
      <c r="K41" s="115"/>
      <c r="L41" s="32"/>
      <c r="M41" s="49"/>
      <c r="N41" s="32"/>
      <c r="O41" s="49"/>
      <c r="P41" s="49"/>
      <c r="Q41" s="32"/>
    </row>
    <row r="42" ht="22.5" customHeight="1">
      <c r="B42" s="32"/>
      <c r="C42" s="75"/>
      <c r="D42" s="113"/>
      <c r="E42" s="75"/>
      <c r="F42" s="75"/>
      <c r="G42" s="114"/>
      <c r="H42" s="114"/>
      <c r="I42" s="32"/>
      <c r="J42" s="49"/>
      <c r="K42" s="115"/>
      <c r="L42" s="32"/>
      <c r="M42" s="49"/>
      <c r="N42" s="32"/>
      <c r="O42" s="49"/>
      <c r="P42" s="49"/>
      <c r="Q42" s="32"/>
    </row>
    <row r="43" ht="22.5" customHeight="1">
      <c r="B43" s="32"/>
      <c r="C43" s="75"/>
      <c r="D43" s="113"/>
      <c r="E43" s="75"/>
      <c r="F43" s="75"/>
      <c r="G43" s="114"/>
      <c r="H43" s="114"/>
      <c r="I43" s="32"/>
      <c r="J43" s="49"/>
      <c r="K43" s="115"/>
      <c r="L43" s="32"/>
      <c r="M43" s="49"/>
      <c r="N43" s="32"/>
      <c r="O43" s="49"/>
      <c r="P43" s="49"/>
      <c r="Q43" s="32"/>
    </row>
    <row r="44" ht="22.5" customHeight="1">
      <c r="B44" s="32"/>
      <c r="C44" s="75"/>
      <c r="D44" s="113"/>
      <c r="E44" s="75"/>
      <c r="F44" s="75"/>
      <c r="G44" s="114"/>
      <c r="H44" s="114"/>
      <c r="I44" s="32"/>
      <c r="J44" s="49"/>
      <c r="K44" s="115"/>
      <c r="L44" s="32"/>
      <c r="M44" s="49"/>
      <c r="N44" s="32"/>
      <c r="O44" s="49"/>
      <c r="P44" s="49"/>
      <c r="Q44" s="32"/>
    </row>
    <row r="45" ht="22.5" customHeight="1">
      <c r="B45" s="32"/>
      <c r="C45" s="75"/>
      <c r="D45" s="113"/>
      <c r="E45" s="75"/>
      <c r="F45" s="75"/>
      <c r="G45" s="114"/>
      <c r="H45" s="114"/>
      <c r="I45" s="32"/>
      <c r="J45" s="49"/>
      <c r="K45" s="115"/>
      <c r="L45" s="32"/>
      <c r="M45" s="49"/>
      <c r="N45" s="32"/>
      <c r="O45" s="49"/>
      <c r="P45" s="49"/>
      <c r="Q45" s="32"/>
    </row>
    <row r="46" ht="22.5" customHeight="1">
      <c r="B46" s="32"/>
      <c r="C46" s="75"/>
      <c r="D46" s="113"/>
      <c r="E46" s="75"/>
      <c r="F46" s="75"/>
      <c r="G46" s="114"/>
      <c r="H46" s="114"/>
      <c r="I46" s="32"/>
      <c r="J46" s="49"/>
      <c r="K46" s="115"/>
      <c r="L46" s="32"/>
      <c r="M46" s="49"/>
      <c r="N46" s="32"/>
      <c r="O46" s="49"/>
      <c r="P46" s="49"/>
      <c r="Q46" s="32"/>
    </row>
    <row r="47" ht="22.5" customHeight="1">
      <c r="B47" s="32"/>
      <c r="C47" s="75"/>
      <c r="D47" s="113"/>
      <c r="E47" s="75"/>
      <c r="F47" s="75"/>
      <c r="G47" s="114"/>
      <c r="H47" s="114"/>
      <c r="I47" s="32"/>
      <c r="J47" s="49"/>
      <c r="K47" s="115"/>
      <c r="L47" s="32"/>
      <c r="M47" s="49"/>
      <c r="N47" s="32"/>
      <c r="O47" s="49"/>
      <c r="P47" s="49"/>
      <c r="Q47" s="32"/>
    </row>
    <row r="48" ht="22.5" customHeight="1">
      <c r="B48" s="32"/>
      <c r="C48" s="75"/>
      <c r="D48" s="113"/>
      <c r="E48" s="75"/>
      <c r="F48" s="75"/>
      <c r="G48" s="114"/>
      <c r="H48" s="114"/>
      <c r="I48" s="32"/>
      <c r="J48" s="49"/>
      <c r="K48" s="115"/>
      <c r="L48" s="32"/>
      <c r="M48" s="49"/>
      <c r="N48" s="32"/>
      <c r="O48" s="49"/>
      <c r="P48" s="49"/>
      <c r="Q48" s="32"/>
    </row>
    <row r="49" ht="22.5" customHeight="1">
      <c r="B49" s="32"/>
      <c r="C49" s="75"/>
      <c r="D49" s="113"/>
      <c r="E49" s="75"/>
      <c r="F49" s="75"/>
      <c r="G49" s="114"/>
      <c r="H49" s="114"/>
      <c r="I49" s="32"/>
      <c r="J49" s="49"/>
      <c r="K49" s="115"/>
      <c r="L49" s="32"/>
      <c r="M49" s="49"/>
      <c r="N49" s="32"/>
      <c r="O49" s="49"/>
      <c r="P49" s="49"/>
      <c r="Q49" s="32"/>
    </row>
    <row r="50" ht="22.5" customHeight="1">
      <c r="B50" s="32"/>
      <c r="C50" s="75"/>
      <c r="D50" s="113"/>
      <c r="E50" s="75"/>
      <c r="F50" s="75"/>
      <c r="G50" s="114"/>
      <c r="H50" s="114"/>
      <c r="I50" s="32"/>
      <c r="J50" s="49"/>
      <c r="K50" s="115"/>
      <c r="L50" s="32"/>
      <c r="M50" s="49"/>
      <c r="N50" s="32"/>
      <c r="O50" s="49"/>
      <c r="P50" s="49"/>
      <c r="Q50" s="32"/>
    </row>
    <row r="51" ht="22.5" customHeight="1">
      <c r="B51" s="32"/>
      <c r="C51" s="75"/>
      <c r="D51" s="113"/>
      <c r="E51" s="75"/>
      <c r="F51" s="75"/>
      <c r="G51" s="114"/>
      <c r="H51" s="114"/>
      <c r="I51" s="32"/>
      <c r="J51" s="49"/>
      <c r="K51" s="115"/>
      <c r="L51" s="32"/>
      <c r="M51" s="49"/>
      <c r="N51" s="32"/>
      <c r="O51" s="49"/>
      <c r="P51" s="49"/>
      <c r="Q51" s="32"/>
    </row>
    <row r="52" ht="22.5" customHeight="1">
      <c r="B52" s="32"/>
      <c r="C52" s="75"/>
      <c r="D52" s="113"/>
      <c r="E52" s="75"/>
      <c r="F52" s="75"/>
      <c r="G52" s="114"/>
      <c r="H52" s="114"/>
      <c r="I52" s="32"/>
      <c r="J52" s="49"/>
      <c r="K52" s="115"/>
      <c r="L52" s="32"/>
      <c r="M52" s="49"/>
      <c r="N52" s="32"/>
      <c r="O52" s="49"/>
      <c r="P52" s="49"/>
      <c r="Q52" s="3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22.63"/>
    <col customWidth="1" min="9" max="9" width="19.25"/>
    <col customWidth="1" min="10" max="10" width="22.88"/>
    <col customWidth="1" min="11" max="11" width="17.0"/>
    <col customWidth="1" min="12" max="12" width="14.25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5" t="s">
        <v>700</v>
      </c>
      <c r="E3" s="7" t="s">
        <v>8</v>
      </c>
      <c r="F3" s="7" t="s">
        <v>11</v>
      </c>
      <c r="G3" s="8" t="s">
        <v>13</v>
      </c>
      <c r="H3" s="7" t="s">
        <v>16</v>
      </c>
      <c r="I3" s="7" t="s">
        <v>17</v>
      </c>
      <c r="J3" s="7" t="s">
        <v>18</v>
      </c>
      <c r="K3" s="7" t="s">
        <v>20</v>
      </c>
      <c r="L3" s="7" t="s">
        <v>21</v>
      </c>
      <c r="M3" s="7" t="s">
        <v>23</v>
      </c>
      <c r="N3" s="7" t="s">
        <v>24</v>
      </c>
    </row>
    <row r="4" ht="26.25" customHeight="1">
      <c r="D4" s="10" t="s">
        <v>26</v>
      </c>
      <c r="E4" s="11">
        <v>1000000.0</v>
      </c>
      <c r="F4" s="13">
        <f>SUMIFS(OPI_16[MAF NETO],OPI_16[ESTADO],"Desembolsado")</f>
        <v>162000</v>
      </c>
      <c r="G4" s="13">
        <f>F4-E4</f>
        <v>-838000</v>
      </c>
      <c r="H4" s="15">
        <f>SUMIFS(OPI_16[MAF NETO],OPI_16[ESTADO],H$3)</f>
        <v>0</v>
      </c>
      <c r="I4" s="15">
        <f>SUMIFS(OPI_16[MAF NETO],OPI_16[ESTADO],I$3)</f>
        <v>0</v>
      </c>
      <c r="J4" s="15">
        <f>SUMIFS(OPI_16[MAF NETO],OPI_16[ESTADO],J$3)</f>
        <v>0</v>
      </c>
      <c r="K4" s="15">
        <f>SUMIFS(OPI_16[MAF NETO],OPI_16[ESTADO],K$3)</f>
        <v>81500</v>
      </c>
      <c r="L4" s="15">
        <f>SUMIFS(OPI_16[MAF NETO],OPI_16[ESTADO],L$3)</f>
        <v>0</v>
      </c>
      <c r="M4" s="15">
        <f>SUMIFS(OPI_16[MAF NETO],OPI_16[ESTADO],M$3)</f>
        <v>0</v>
      </c>
      <c r="N4" s="15">
        <f>SUMIFS(OPI_16[MAF NETO],OPI_16[ESTADO],N$3)</f>
        <v>68000</v>
      </c>
    </row>
    <row r="5" ht="26.25" customHeight="1">
      <c r="D5" s="17" t="s">
        <v>28</v>
      </c>
      <c r="E5" s="18" t="s">
        <v>29</v>
      </c>
      <c r="F5" s="19">
        <f>COUNTIFS(OPI_16[ESTADO],"Desembolsado")</f>
        <v>2</v>
      </c>
      <c r="G5" s="20">
        <f>IFERROR(F4/E4,"")</f>
        <v>0.162</v>
      </c>
      <c r="H5" s="19">
        <f>COUNTIFS(OPI_16[ESTADO],H$3)</f>
        <v>0</v>
      </c>
      <c r="I5" s="19">
        <f>COUNTIFS(OPI_16[ESTADO],I$3)</f>
        <v>0</v>
      </c>
      <c r="J5" s="19">
        <f>COUNTIFS(OPI_16[ESTADO],J$3)</f>
        <v>0</v>
      </c>
      <c r="K5" s="19">
        <f>COUNTIFS(OPI_16[ESTADO],K$3)</f>
        <v>1</v>
      </c>
      <c r="L5" s="19">
        <f>COUNTIFS(OPI_16[ESTADO],L$3)</f>
        <v>0</v>
      </c>
      <c r="M5" s="19">
        <f>COUNTIFS(OPI_16[ESTADO],M$3)</f>
        <v>0</v>
      </c>
      <c r="N5" s="19">
        <f>COUNTIFS(OPI_16[ESTADO],N$3)</f>
        <v>1</v>
      </c>
    </row>
    <row r="9" ht="22.5" customHeight="1">
      <c r="A9" s="21"/>
      <c r="B9" s="22" t="s">
        <v>31</v>
      </c>
      <c r="C9" s="22" t="s">
        <v>33</v>
      </c>
      <c r="D9" s="23" t="s">
        <v>34</v>
      </c>
      <c r="E9" s="22" t="s">
        <v>35</v>
      </c>
      <c r="F9" s="22" t="s">
        <v>36</v>
      </c>
      <c r="G9" s="22" t="s">
        <v>37</v>
      </c>
      <c r="H9" s="22" t="s">
        <v>38</v>
      </c>
      <c r="I9" s="22" t="s">
        <v>39</v>
      </c>
      <c r="J9" s="23" t="s">
        <v>40</v>
      </c>
      <c r="K9" s="22" t="s">
        <v>41</v>
      </c>
      <c r="L9" s="22" t="s">
        <v>42</v>
      </c>
      <c r="M9" s="23" t="s">
        <v>44</v>
      </c>
      <c r="N9" s="22" t="s">
        <v>45</v>
      </c>
      <c r="O9" s="23" t="s">
        <v>46</v>
      </c>
      <c r="P9" s="23" t="s">
        <v>47</v>
      </c>
      <c r="Q9" s="22" t="s">
        <v>48</v>
      </c>
    </row>
    <row r="10" ht="22.5" customHeight="1">
      <c r="B10" s="24"/>
      <c r="C10" s="25">
        <v>46205.0</v>
      </c>
      <c r="D10" s="26" t="s">
        <v>58</v>
      </c>
      <c r="E10" s="25">
        <v>46205.0</v>
      </c>
      <c r="F10" s="24" t="s">
        <v>75</v>
      </c>
      <c r="G10" s="27" t="s">
        <v>822</v>
      </c>
      <c r="H10" s="27" t="s">
        <v>823</v>
      </c>
      <c r="I10" s="24" t="s">
        <v>64</v>
      </c>
      <c r="J10" s="26" t="s">
        <v>24</v>
      </c>
      <c r="K10" s="28">
        <v>68000.0</v>
      </c>
      <c r="L10" s="24" t="s">
        <v>824</v>
      </c>
      <c r="M10" s="26" t="s">
        <v>71</v>
      </c>
      <c r="N10" s="32"/>
      <c r="O10" s="113"/>
      <c r="P10" s="49"/>
      <c r="Q10" s="24"/>
    </row>
    <row r="11" ht="22.5" customHeight="1">
      <c r="B11" s="24"/>
      <c r="C11" s="25">
        <v>46209.0</v>
      </c>
      <c r="D11" s="26" t="s">
        <v>58</v>
      </c>
      <c r="E11" s="25">
        <v>46209.0</v>
      </c>
      <c r="F11" s="25">
        <v>46219.0</v>
      </c>
      <c r="G11" s="27" t="s">
        <v>825</v>
      </c>
      <c r="H11" s="27" t="s">
        <v>826</v>
      </c>
      <c r="I11" s="24" t="s">
        <v>64</v>
      </c>
      <c r="J11" s="26" t="s">
        <v>11</v>
      </c>
      <c r="K11" s="28">
        <v>82200.0</v>
      </c>
      <c r="L11" s="24" t="s">
        <v>824</v>
      </c>
      <c r="M11" s="26" t="s">
        <v>336</v>
      </c>
      <c r="N11" s="37">
        <v>46220.0</v>
      </c>
      <c r="O11" s="26" t="s">
        <v>73</v>
      </c>
      <c r="P11" s="26" t="s">
        <v>73</v>
      </c>
      <c r="Q11" s="32"/>
    </row>
    <row r="12" ht="22.5" customHeight="1">
      <c r="B12" s="24"/>
      <c r="C12" s="25">
        <v>46219.0</v>
      </c>
      <c r="D12" s="26" t="s">
        <v>58</v>
      </c>
      <c r="E12" s="25">
        <v>46219.0</v>
      </c>
      <c r="F12" s="25">
        <v>46227.0</v>
      </c>
      <c r="G12" s="27" t="s">
        <v>827</v>
      </c>
      <c r="H12" s="27" t="s">
        <v>828</v>
      </c>
      <c r="I12" s="24" t="s">
        <v>829</v>
      </c>
      <c r="J12" s="26" t="s">
        <v>11</v>
      </c>
      <c r="K12" s="28">
        <v>79800.0</v>
      </c>
      <c r="L12" s="24" t="s">
        <v>824</v>
      </c>
      <c r="M12" s="26" t="s">
        <v>71</v>
      </c>
      <c r="N12" s="32"/>
      <c r="O12" s="26" t="s">
        <v>71</v>
      </c>
      <c r="P12" s="49"/>
      <c r="Q12" s="32"/>
    </row>
    <row r="13" ht="22.5" customHeight="1">
      <c r="B13" s="24"/>
      <c r="C13" s="25">
        <v>46225.0</v>
      </c>
      <c r="D13" s="26" t="s">
        <v>58</v>
      </c>
      <c r="E13" s="25">
        <v>46225.0</v>
      </c>
      <c r="F13" s="75"/>
      <c r="G13" s="27" t="s">
        <v>830</v>
      </c>
      <c r="H13" s="27" t="s">
        <v>831</v>
      </c>
      <c r="I13" s="24" t="s">
        <v>64</v>
      </c>
      <c r="J13" s="26" t="s">
        <v>20</v>
      </c>
      <c r="K13" s="28">
        <v>81500.0</v>
      </c>
      <c r="L13" s="24" t="s">
        <v>824</v>
      </c>
      <c r="M13" s="26" t="s">
        <v>71</v>
      </c>
      <c r="N13" s="32"/>
      <c r="O13" s="26" t="s">
        <v>71</v>
      </c>
      <c r="P13" s="49"/>
      <c r="Q13" s="32"/>
    </row>
    <row r="14" ht="22.5" customHeight="1">
      <c r="B14" s="24"/>
      <c r="C14" s="25"/>
      <c r="D14" s="113"/>
      <c r="E14" s="75"/>
      <c r="F14" s="75"/>
      <c r="G14" s="27"/>
      <c r="H14" s="27"/>
      <c r="I14" s="32"/>
      <c r="J14" s="49"/>
      <c r="K14" s="115"/>
      <c r="L14" s="32"/>
      <c r="M14" s="49"/>
      <c r="N14" s="32"/>
      <c r="O14" s="49"/>
      <c r="P14" s="49"/>
      <c r="Q14" s="32"/>
    </row>
    <row r="15" ht="22.5" customHeight="1">
      <c r="B15" s="32"/>
      <c r="C15" s="75"/>
      <c r="D15" s="113"/>
      <c r="E15" s="75"/>
      <c r="F15" s="75"/>
      <c r="G15" s="114"/>
      <c r="H15" s="114"/>
      <c r="I15" s="32"/>
      <c r="J15" s="49"/>
      <c r="K15" s="115"/>
      <c r="L15" s="32"/>
      <c r="M15" s="49"/>
      <c r="N15" s="32"/>
      <c r="O15" s="49"/>
      <c r="P15" s="49"/>
      <c r="Q15" s="32"/>
    </row>
    <row r="16" ht="22.5" customHeight="1">
      <c r="B16" s="32"/>
      <c r="C16" s="75"/>
      <c r="D16" s="113"/>
      <c r="E16" s="75"/>
      <c r="F16" s="75"/>
      <c r="G16" s="114"/>
      <c r="H16" s="114"/>
      <c r="I16" s="32"/>
      <c r="J16" s="49"/>
      <c r="K16" s="115"/>
      <c r="L16" s="32"/>
      <c r="M16" s="49"/>
      <c r="N16" s="32"/>
      <c r="O16" s="49"/>
      <c r="P16" s="49"/>
      <c r="Q16" s="32"/>
    </row>
    <row r="17" ht="22.5" customHeight="1">
      <c r="B17" s="32"/>
      <c r="C17" s="75"/>
      <c r="D17" s="113"/>
      <c r="E17" s="75"/>
      <c r="F17" s="75"/>
      <c r="G17" s="114"/>
      <c r="H17" s="114"/>
      <c r="I17" s="32"/>
      <c r="J17" s="49"/>
      <c r="K17" s="115"/>
      <c r="L17" s="32"/>
      <c r="M17" s="49"/>
      <c r="N17" s="32"/>
      <c r="O17" s="49"/>
      <c r="P17" s="49"/>
      <c r="Q17" s="32"/>
    </row>
    <row r="18" ht="22.5" customHeight="1">
      <c r="B18" s="32"/>
      <c r="C18" s="75"/>
      <c r="D18" s="113"/>
      <c r="E18" s="75"/>
      <c r="F18" s="75"/>
      <c r="G18" s="114"/>
      <c r="H18" s="114"/>
      <c r="I18" s="32"/>
      <c r="J18" s="49"/>
      <c r="K18" s="115"/>
      <c r="L18" s="32"/>
      <c r="M18" s="49"/>
      <c r="N18" s="32"/>
      <c r="O18" s="49"/>
      <c r="P18" s="49"/>
      <c r="Q18" s="32"/>
    </row>
    <row r="19" ht="22.5" customHeight="1">
      <c r="B19" s="32"/>
      <c r="C19" s="75"/>
      <c r="D19" s="113"/>
      <c r="E19" s="75"/>
      <c r="F19" s="75"/>
      <c r="G19" s="114"/>
      <c r="H19" s="114"/>
      <c r="I19" s="32"/>
      <c r="J19" s="49"/>
      <c r="K19" s="115"/>
      <c r="L19" s="32"/>
      <c r="M19" s="49"/>
      <c r="N19" s="32"/>
      <c r="O19" s="49"/>
      <c r="P19" s="49"/>
      <c r="Q19" s="32"/>
    </row>
    <row r="20" ht="22.5" customHeight="1">
      <c r="B20" s="32"/>
      <c r="C20" s="75"/>
      <c r="D20" s="113"/>
      <c r="E20" s="75"/>
      <c r="F20" s="75"/>
      <c r="G20" s="114"/>
      <c r="H20" s="114"/>
      <c r="I20" s="32"/>
      <c r="J20" s="49"/>
      <c r="K20" s="115"/>
      <c r="L20" s="32"/>
      <c r="M20" s="49"/>
      <c r="N20" s="32"/>
      <c r="O20" s="49"/>
      <c r="P20" s="49"/>
      <c r="Q20" s="32"/>
    </row>
    <row r="21" ht="22.5" customHeight="1">
      <c r="B21" s="32"/>
      <c r="C21" s="184"/>
      <c r="D21" s="113"/>
      <c r="E21" s="75"/>
      <c r="F21" s="75"/>
      <c r="G21" s="114"/>
      <c r="H21" s="114"/>
      <c r="I21" s="32"/>
      <c r="J21" s="49"/>
      <c r="K21" s="115"/>
      <c r="L21" s="32"/>
      <c r="M21" s="49"/>
      <c r="N21" s="32"/>
      <c r="O21" s="49"/>
      <c r="P21" s="49"/>
      <c r="Q21" s="32"/>
    </row>
    <row r="22" ht="22.5" customHeight="1">
      <c r="B22" s="32"/>
      <c r="C22" s="75"/>
      <c r="D22" s="113"/>
      <c r="E22" s="75"/>
      <c r="F22" s="75"/>
      <c r="G22" s="114"/>
      <c r="H22" s="114"/>
      <c r="I22" s="32"/>
      <c r="J22" s="49"/>
      <c r="K22" s="115"/>
      <c r="L22" s="32"/>
      <c r="M22" s="49"/>
      <c r="N22" s="32"/>
      <c r="O22" s="49"/>
      <c r="P22" s="49"/>
      <c r="Q22" s="32"/>
    </row>
    <row r="23" ht="22.5" customHeight="1">
      <c r="B23" s="32"/>
      <c r="C23" s="75"/>
      <c r="D23" s="113"/>
      <c r="E23" s="75"/>
      <c r="F23" s="75"/>
      <c r="G23" s="114"/>
      <c r="H23" s="114"/>
      <c r="I23" s="32"/>
      <c r="J23" s="49"/>
      <c r="K23" s="115"/>
      <c r="L23" s="32"/>
      <c r="M23" s="49"/>
      <c r="N23" s="32"/>
      <c r="O23" s="49"/>
      <c r="P23" s="49"/>
      <c r="Q23" s="32"/>
    </row>
    <row r="24" ht="22.5" customHeight="1">
      <c r="B24" s="32"/>
      <c r="C24" s="75"/>
      <c r="D24" s="113"/>
      <c r="E24" s="75"/>
      <c r="F24" s="75"/>
      <c r="G24" s="114"/>
      <c r="H24" s="114"/>
      <c r="I24" s="32"/>
      <c r="J24" s="49"/>
      <c r="K24" s="115"/>
      <c r="L24" s="32"/>
      <c r="M24" s="49"/>
      <c r="N24" s="32"/>
      <c r="O24" s="49"/>
      <c r="P24" s="49"/>
      <c r="Q24" s="32"/>
    </row>
    <row r="25" ht="22.5" customHeight="1">
      <c r="B25" s="32"/>
      <c r="C25" s="75"/>
      <c r="D25" s="113"/>
      <c r="E25" s="75"/>
      <c r="F25" s="75"/>
      <c r="G25" s="114"/>
      <c r="H25" s="114"/>
      <c r="I25" s="32"/>
      <c r="J25" s="49"/>
      <c r="K25" s="115"/>
      <c r="L25" s="32"/>
      <c r="M25" s="49"/>
      <c r="N25" s="32"/>
      <c r="O25" s="49"/>
      <c r="P25" s="49"/>
      <c r="Q25" s="32"/>
    </row>
    <row r="26" ht="22.5" customHeight="1">
      <c r="B26" s="32"/>
      <c r="C26" s="75"/>
      <c r="D26" s="113"/>
      <c r="E26" s="75"/>
      <c r="F26" s="75"/>
      <c r="G26" s="114"/>
      <c r="H26" s="114"/>
      <c r="I26" s="32"/>
      <c r="J26" s="49"/>
      <c r="K26" s="115"/>
      <c r="L26" s="32"/>
      <c r="M26" s="49"/>
      <c r="N26" s="32"/>
      <c r="O26" s="49"/>
      <c r="P26" s="49"/>
      <c r="Q26" s="32"/>
    </row>
    <row r="27" ht="22.5" customHeight="1">
      <c r="B27" s="32"/>
      <c r="C27" s="75"/>
      <c r="D27" s="113"/>
      <c r="E27" s="75"/>
      <c r="F27" s="75"/>
      <c r="G27" s="114"/>
      <c r="H27" s="114"/>
      <c r="I27" s="32"/>
      <c r="J27" s="49"/>
      <c r="K27" s="115"/>
      <c r="L27" s="32"/>
      <c r="M27" s="49"/>
      <c r="N27" s="32"/>
      <c r="O27" s="49"/>
      <c r="P27" s="49"/>
      <c r="Q27" s="32"/>
    </row>
    <row r="28" ht="22.5" customHeight="1">
      <c r="B28" s="32"/>
      <c r="C28" s="75"/>
      <c r="D28" s="113"/>
      <c r="E28" s="75"/>
      <c r="F28" s="75"/>
      <c r="G28" s="114"/>
      <c r="H28" s="114"/>
      <c r="I28" s="32"/>
      <c r="J28" s="49"/>
      <c r="K28" s="115"/>
      <c r="L28" s="32"/>
      <c r="M28" s="49"/>
      <c r="N28" s="32"/>
      <c r="O28" s="49"/>
      <c r="P28" s="49"/>
      <c r="Q28" s="32"/>
    </row>
    <row r="29" ht="22.5" customHeight="1">
      <c r="B29" s="32"/>
      <c r="C29" s="75"/>
      <c r="D29" s="113"/>
      <c r="E29" s="75"/>
      <c r="F29" s="75"/>
      <c r="G29" s="114"/>
      <c r="H29" s="114"/>
      <c r="I29" s="32"/>
      <c r="J29" s="49"/>
      <c r="K29" s="115"/>
      <c r="L29" s="32"/>
      <c r="M29" s="49"/>
      <c r="N29" s="32"/>
      <c r="O29" s="49"/>
      <c r="P29" s="49"/>
      <c r="Q29" s="32"/>
    </row>
    <row r="30" ht="22.5" customHeight="1">
      <c r="B30" s="32"/>
      <c r="C30" s="75"/>
      <c r="D30" s="113"/>
      <c r="E30" s="75"/>
      <c r="F30" s="75"/>
      <c r="G30" s="114"/>
      <c r="H30" s="114"/>
      <c r="I30" s="32"/>
      <c r="J30" s="49"/>
      <c r="K30" s="115"/>
      <c r="L30" s="32"/>
      <c r="M30" s="49"/>
      <c r="N30" s="32"/>
      <c r="O30" s="49"/>
      <c r="P30" s="49"/>
      <c r="Q30" s="32"/>
    </row>
    <row r="31" ht="22.5" customHeight="1">
      <c r="B31" s="32"/>
      <c r="C31" s="75"/>
      <c r="D31" s="113"/>
      <c r="E31" s="75"/>
      <c r="F31" s="75"/>
      <c r="G31" s="114"/>
      <c r="H31" s="114"/>
      <c r="I31" s="32"/>
      <c r="J31" s="49"/>
      <c r="K31" s="115"/>
      <c r="L31" s="32"/>
      <c r="M31" s="49"/>
      <c r="N31" s="32"/>
      <c r="O31" s="49"/>
      <c r="P31" s="49"/>
      <c r="Q31" s="32"/>
    </row>
    <row r="32" ht="22.5" customHeight="1">
      <c r="B32" s="32"/>
      <c r="C32" s="75"/>
      <c r="D32" s="113"/>
      <c r="E32" s="75"/>
      <c r="F32" s="75"/>
      <c r="G32" s="114"/>
      <c r="H32" s="114"/>
      <c r="I32" s="32"/>
      <c r="J32" s="49"/>
      <c r="K32" s="115"/>
      <c r="L32" s="32"/>
      <c r="M32" s="49"/>
      <c r="N32" s="32"/>
      <c r="O32" s="49"/>
      <c r="P32" s="49"/>
      <c r="Q32" s="32"/>
    </row>
    <row r="33" ht="22.5" customHeight="1">
      <c r="B33" s="32"/>
      <c r="C33" s="75"/>
      <c r="D33" s="113"/>
      <c r="E33" s="75"/>
      <c r="F33" s="75"/>
      <c r="G33" s="114"/>
      <c r="H33" s="114"/>
      <c r="I33" s="32"/>
      <c r="J33" s="49"/>
      <c r="K33" s="115"/>
      <c r="L33" s="32"/>
      <c r="M33" s="49"/>
      <c r="N33" s="32"/>
      <c r="O33" s="49"/>
      <c r="P33" s="49"/>
      <c r="Q33" s="32"/>
    </row>
    <row r="34" ht="22.5" customHeight="1">
      <c r="B34" s="32"/>
      <c r="C34" s="75"/>
      <c r="D34" s="113"/>
      <c r="E34" s="75"/>
      <c r="F34" s="75"/>
      <c r="G34" s="114"/>
      <c r="H34" s="114"/>
      <c r="I34" s="32"/>
      <c r="J34" s="49"/>
      <c r="K34" s="115"/>
      <c r="L34" s="32"/>
      <c r="M34" s="49"/>
      <c r="N34" s="32"/>
      <c r="O34" s="49"/>
      <c r="P34" s="49"/>
      <c r="Q34" s="32"/>
    </row>
    <row r="35" ht="22.5" customHeight="1">
      <c r="B35" s="32"/>
      <c r="C35" s="75"/>
      <c r="D35" s="113"/>
      <c r="E35" s="75"/>
      <c r="F35" s="75"/>
      <c r="G35" s="114"/>
      <c r="H35" s="114"/>
      <c r="I35" s="32"/>
      <c r="J35" s="49"/>
      <c r="K35" s="115"/>
      <c r="L35" s="32"/>
      <c r="M35" s="49"/>
      <c r="N35" s="32"/>
      <c r="O35" s="49"/>
      <c r="P35" s="49"/>
      <c r="Q35" s="32"/>
    </row>
    <row r="36" ht="22.5" customHeight="1">
      <c r="B36" s="32"/>
      <c r="C36" s="75"/>
      <c r="D36" s="113"/>
      <c r="E36" s="75"/>
      <c r="F36" s="75"/>
      <c r="G36" s="114"/>
      <c r="H36" s="114"/>
      <c r="I36" s="32"/>
      <c r="J36" s="49"/>
      <c r="K36" s="115"/>
      <c r="L36" s="32"/>
      <c r="M36" s="49"/>
      <c r="N36" s="32"/>
      <c r="O36" s="49"/>
      <c r="P36" s="49"/>
      <c r="Q36" s="32"/>
    </row>
    <row r="37" ht="22.5" customHeight="1">
      <c r="B37" s="32"/>
      <c r="C37" s="75"/>
      <c r="D37" s="113"/>
      <c r="E37" s="75"/>
      <c r="F37" s="75"/>
      <c r="G37" s="114"/>
      <c r="H37" s="114"/>
      <c r="I37" s="32"/>
      <c r="J37" s="49"/>
      <c r="K37" s="115"/>
      <c r="L37" s="32"/>
      <c r="M37" s="49"/>
      <c r="N37" s="32"/>
      <c r="O37" s="49"/>
      <c r="P37" s="49"/>
      <c r="Q37" s="32"/>
    </row>
    <row r="38" ht="22.5" customHeight="1">
      <c r="B38" s="32"/>
      <c r="C38" s="75"/>
      <c r="D38" s="113"/>
      <c r="E38" s="75"/>
      <c r="F38" s="75"/>
      <c r="G38" s="114"/>
      <c r="H38" s="114"/>
      <c r="I38" s="32"/>
      <c r="J38" s="49"/>
      <c r="K38" s="115"/>
      <c r="L38" s="32"/>
      <c r="M38" s="49"/>
      <c r="N38" s="32"/>
      <c r="O38" s="49"/>
      <c r="P38" s="49"/>
      <c r="Q38" s="32"/>
    </row>
    <row r="39" ht="22.5" customHeight="1">
      <c r="B39" s="32"/>
      <c r="C39" s="75"/>
      <c r="D39" s="113"/>
      <c r="E39" s="75"/>
      <c r="F39" s="75"/>
      <c r="G39" s="114"/>
      <c r="H39" s="114"/>
      <c r="I39" s="32"/>
      <c r="J39" s="49"/>
      <c r="K39" s="115"/>
      <c r="L39" s="32"/>
      <c r="M39" s="49"/>
      <c r="N39" s="32"/>
      <c r="O39" s="49"/>
      <c r="P39" s="49"/>
      <c r="Q39" s="32"/>
    </row>
    <row r="40" ht="22.5" customHeight="1">
      <c r="B40" s="32"/>
      <c r="C40" s="75"/>
      <c r="D40" s="113"/>
      <c r="E40" s="75"/>
      <c r="F40" s="75"/>
      <c r="G40" s="114"/>
      <c r="H40" s="114"/>
      <c r="I40" s="32"/>
      <c r="J40" s="49"/>
      <c r="K40" s="115"/>
      <c r="L40" s="32"/>
      <c r="M40" s="49"/>
      <c r="N40" s="32"/>
      <c r="O40" s="49"/>
      <c r="P40" s="49"/>
      <c r="Q40" s="32"/>
    </row>
    <row r="41" ht="22.5" customHeight="1">
      <c r="B41" s="32"/>
      <c r="C41" s="75"/>
      <c r="D41" s="113"/>
      <c r="E41" s="75"/>
      <c r="F41" s="75"/>
      <c r="G41" s="114"/>
      <c r="H41" s="114"/>
      <c r="I41" s="32"/>
      <c r="J41" s="49"/>
      <c r="K41" s="115"/>
      <c r="L41" s="32"/>
      <c r="M41" s="49"/>
      <c r="N41" s="32"/>
      <c r="O41" s="49"/>
      <c r="P41" s="49"/>
      <c r="Q41" s="32"/>
    </row>
    <row r="42" ht="22.5" customHeight="1">
      <c r="B42" s="32"/>
      <c r="C42" s="75"/>
      <c r="D42" s="113"/>
      <c r="E42" s="75"/>
      <c r="F42" s="75"/>
      <c r="G42" s="114"/>
      <c r="H42" s="114"/>
      <c r="I42" s="32"/>
      <c r="J42" s="49"/>
      <c r="K42" s="115"/>
      <c r="L42" s="32"/>
      <c r="M42" s="49"/>
      <c r="N42" s="32"/>
      <c r="O42" s="49"/>
      <c r="P42" s="49"/>
      <c r="Q42" s="32"/>
    </row>
    <row r="43" ht="22.5" customHeight="1">
      <c r="B43" s="32"/>
      <c r="C43" s="75"/>
      <c r="D43" s="113"/>
      <c r="E43" s="75"/>
      <c r="F43" s="75"/>
      <c r="G43" s="114"/>
      <c r="H43" s="114"/>
      <c r="I43" s="32"/>
      <c r="J43" s="49"/>
      <c r="K43" s="115"/>
      <c r="L43" s="32"/>
      <c r="M43" s="49"/>
      <c r="N43" s="32"/>
      <c r="O43" s="49"/>
      <c r="P43" s="49"/>
      <c r="Q43" s="32"/>
    </row>
    <row r="44" ht="22.5" customHeight="1">
      <c r="B44" s="32"/>
      <c r="C44" s="75"/>
      <c r="D44" s="113"/>
      <c r="E44" s="75"/>
      <c r="F44" s="75"/>
      <c r="G44" s="114"/>
      <c r="H44" s="114"/>
      <c r="I44" s="32"/>
      <c r="J44" s="49"/>
      <c r="K44" s="115"/>
      <c r="L44" s="32"/>
      <c r="M44" s="49"/>
      <c r="N44" s="32"/>
      <c r="O44" s="49"/>
      <c r="P44" s="49"/>
      <c r="Q44" s="32"/>
    </row>
    <row r="45" ht="22.5" customHeight="1">
      <c r="B45" s="32"/>
      <c r="C45" s="75"/>
      <c r="D45" s="113"/>
      <c r="E45" s="75"/>
      <c r="F45" s="75"/>
      <c r="G45" s="114"/>
      <c r="H45" s="114"/>
      <c r="I45" s="32"/>
      <c r="J45" s="49"/>
      <c r="K45" s="115"/>
      <c r="L45" s="32"/>
      <c r="M45" s="49"/>
      <c r="N45" s="32"/>
      <c r="O45" s="49"/>
      <c r="P45" s="49"/>
      <c r="Q45" s="32"/>
    </row>
    <row r="46" ht="22.5" customHeight="1">
      <c r="B46" s="32"/>
      <c r="C46" s="75"/>
      <c r="D46" s="113"/>
      <c r="E46" s="75"/>
      <c r="F46" s="75"/>
      <c r="G46" s="114"/>
      <c r="H46" s="114"/>
      <c r="I46" s="32"/>
      <c r="J46" s="49"/>
      <c r="K46" s="115"/>
      <c r="L46" s="32"/>
      <c r="M46" s="49"/>
      <c r="N46" s="32"/>
      <c r="O46" s="49"/>
      <c r="P46" s="49"/>
      <c r="Q46" s="32"/>
    </row>
    <row r="47" ht="22.5" customHeight="1">
      <c r="B47" s="32"/>
      <c r="C47" s="75"/>
      <c r="D47" s="113"/>
      <c r="E47" s="75"/>
      <c r="F47" s="75"/>
      <c r="G47" s="114"/>
      <c r="H47" s="114"/>
      <c r="I47" s="32"/>
      <c r="J47" s="49"/>
      <c r="K47" s="115"/>
      <c r="L47" s="32"/>
      <c r="M47" s="49"/>
      <c r="N47" s="32"/>
      <c r="O47" s="49"/>
      <c r="P47" s="49"/>
      <c r="Q47" s="32"/>
    </row>
    <row r="48" ht="22.5" customHeight="1">
      <c r="B48" s="32"/>
      <c r="C48" s="75"/>
      <c r="D48" s="113"/>
      <c r="E48" s="75"/>
      <c r="F48" s="75"/>
      <c r="G48" s="114"/>
      <c r="H48" s="114"/>
      <c r="I48" s="32"/>
      <c r="J48" s="49"/>
      <c r="K48" s="115"/>
      <c r="L48" s="32"/>
      <c r="M48" s="49"/>
      <c r="N48" s="32"/>
      <c r="O48" s="49"/>
      <c r="P48" s="49"/>
      <c r="Q48" s="32"/>
    </row>
    <row r="49" ht="22.5" customHeight="1">
      <c r="B49" s="32"/>
      <c r="C49" s="75"/>
      <c r="D49" s="113"/>
      <c r="E49" s="75"/>
      <c r="F49" s="75"/>
      <c r="G49" s="114"/>
      <c r="H49" s="114"/>
      <c r="I49" s="32"/>
      <c r="J49" s="49"/>
      <c r="K49" s="115"/>
      <c r="L49" s="32"/>
      <c r="M49" s="49"/>
      <c r="N49" s="32"/>
      <c r="O49" s="49"/>
      <c r="P49" s="49"/>
      <c r="Q49" s="32"/>
    </row>
    <row r="50" ht="22.5" customHeight="1">
      <c r="B50" s="32"/>
      <c r="C50" s="75"/>
      <c r="D50" s="113"/>
      <c r="E50" s="75"/>
      <c r="F50" s="75"/>
      <c r="G50" s="114"/>
      <c r="H50" s="114"/>
      <c r="I50" s="32"/>
      <c r="J50" s="49"/>
      <c r="K50" s="115"/>
      <c r="L50" s="32"/>
      <c r="M50" s="49"/>
      <c r="N50" s="32"/>
      <c r="O50" s="49"/>
      <c r="P50" s="49"/>
      <c r="Q50" s="32"/>
    </row>
    <row r="51" ht="22.5" customHeight="1">
      <c r="B51" s="32"/>
      <c r="C51" s="75"/>
      <c r="D51" s="113"/>
      <c r="E51" s="75"/>
      <c r="F51" s="75"/>
      <c r="G51" s="114"/>
      <c r="H51" s="114"/>
      <c r="I51" s="32"/>
      <c r="J51" s="49"/>
      <c r="K51" s="115"/>
      <c r="L51" s="32"/>
      <c r="M51" s="49"/>
      <c r="N51" s="32"/>
      <c r="O51" s="49"/>
      <c r="P51" s="49"/>
      <c r="Q51" s="32"/>
    </row>
    <row r="52" ht="22.5" customHeight="1">
      <c r="B52" s="32"/>
      <c r="C52" s="75"/>
      <c r="D52" s="113"/>
      <c r="E52" s="75"/>
      <c r="F52" s="75"/>
      <c r="G52" s="114"/>
      <c r="H52" s="114"/>
      <c r="I52" s="32"/>
      <c r="J52" s="49"/>
      <c r="K52" s="115"/>
      <c r="L52" s="32"/>
      <c r="M52" s="49"/>
      <c r="N52" s="32"/>
      <c r="O52" s="49"/>
      <c r="P52" s="49"/>
      <c r="Q52" s="3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22.63"/>
    <col customWidth="1" min="9" max="9" width="19.25"/>
    <col customWidth="1" min="10" max="10" width="22.88"/>
    <col customWidth="1" min="11" max="11" width="17.0"/>
    <col customWidth="1" min="12" max="12" width="14.25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5" t="s">
        <v>130</v>
      </c>
      <c r="E3" s="7" t="s">
        <v>8</v>
      </c>
      <c r="F3" s="7" t="s">
        <v>11</v>
      </c>
      <c r="G3" s="8" t="s">
        <v>13</v>
      </c>
      <c r="H3" s="7" t="s">
        <v>16</v>
      </c>
      <c r="I3" s="7" t="s">
        <v>17</v>
      </c>
      <c r="J3" s="7" t="s">
        <v>18</v>
      </c>
      <c r="K3" s="7" t="s">
        <v>20</v>
      </c>
      <c r="L3" s="7" t="s">
        <v>21</v>
      </c>
      <c r="M3" s="7" t="s">
        <v>23</v>
      </c>
      <c r="N3" s="7" t="s">
        <v>24</v>
      </c>
    </row>
    <row r="4" ht="26.25" customHeight="1">
      <c r="D4" s="10" t="s">
        <v>26</v>
      </c>
      <c r="E4" s="11">
        <v>1000000.0</v>
      </c>
      <c r="F4" s="13">
        <f>SUMIFS(OPI_18[MAF NETO],OPI_18[ESTADO],"Desembolsado")</f>
        <v>52000</v>
      </c>
      <c r="G4" s="13">
        <f>F4-E4</f>
        <v>-948000</v>
      </c>
      <c r="H4" s="15">
        <f>SUMIFS(OPI_18[MAF NETO],OPI_18[ESTADO],H$3)</f>
        <v>0</v>
      </c>
      <c r="I4" s="15">
        <f>SUMIFS(OPI_18[MAF NETO],OPI_18[ESTADO],I$3)</f>
        <v>0</v>
      </c>
      <c r="J4" s="15">
        <f>SUMIFS(OPI_18[MAF NETO],OPI_18[ESTADO],J$3)</f>
        <v>0</v>
      </c>
      <c r="K4" s="15">
        <f>SUMIFS(OPI_18[MAF NETO],OPI_18[ESTADO],K$3)</f>
        <v>0</v>
      </c>
      <c r="L4" s="15">
        <f>SUMIFS(OPI_18[MAF NETO],OPI_18[ESTADO],L$3)</f>
        <v>0</v>
      </c>
      <c r="M4" s="15">
        <f>SUMIFS(OPI_18[MAF NETO],OPI_18[ESTADO],M$3)</f>
        <v>0</v>
      </c>
      <c r="N4" s="15">
        <f>SUMIFS(OPI_18[MAF NETO],OPI_18[ESTADO],N$3)</f>
        <v>84750</v>
      </c>
    </row>
    <row r="5" ht="26.25" customHeight="1">
      <c r="D5" s="17" t="s">
        <v>28</v>
      </c>
      <c r="E5" s="18" t="s">
        <v>29</v>
      </c>
      <c r="F5" s="19">
        <f>COUNTIFS(OPI_18[ESTADO],"Desembolsado")</f>
        <v>1</v>
      </c>
      <c r="G5" s="20">
        <f>IFERROR(F4/E4,"")</f>
        <v>0.052</v>
      </c>
      <c r="H5" s="19">
        <f>COUNTIFS(OPI_18[ESTADO],H$3)</f>
        <v>0</v>
      </c>
      <c r="I5" s="19">
        <f>COUNTIFS(OPI_18[ESTADO],I$3)</f>
        <v>0</v>
      </c>
      <c r="J5" s="19">
        <f>COUNTIFS(OPI_18[ESTADO],J$3)</f>
        <v>0</v>
      </c>
      <c r="K5" s="19">
        <f>COUNTIFS(OPI_18[ESTADO],K$3)</f>
        <v>0</v>
      </c>
      <c r="L5" s="19">
        <f>COUNTIFS(OPI_18[ESTADO],L$3)</f>
        <v>0</v>
      </c>
      <c r="M5" s="19">
        <f>COUNTIFS(OPI_18[ESTADO],M$3)</f>
        <v>0</v>
      </c>
      <c r="N5" s="19">
        <f>COUNTIFS(OPI_18[ESTADO],N$3)</f>
        <v>1</v>
      </c>
    </row>
    <row r="9" ht="22.5" customHeight="1">
      <c r="A9" s="21"/>
      <c r="B9" s="22" t="s">
        <v>31</v>
      </c>
      <c r="C9" s="22" t="s">
        <v>33</v>
      </c>
      <c r="D9" s="23" t="s">
        <v>34</v>
      </c>
      <c r="E9" s="22" t="s">
        <v>35</v>
      </c>
      <c r="F9" s="22" t="s">
        <v>36</v>
      </c>
      <c r="G9" s="22" t="s">
        <v>37</v>
      </c>
      <c r="H9" s="22" t="s">
        <v>38</v>
      </c>
      <c r="I9" s="22" t="s">
        <v>39</v>
      </c>
      <c r="J9" s="23" t="s">
        <v>40</v>
      </c>
      <c r="K9" s="22" t="s">
        <v>41</v>
      </c>
      <c r="L9" s="22" t="s">
        <v>42</v>
      </c>
      <c r="M9" s="23" t="s">
        <v>44</v>
      </c>
      <c r="N9" s="22" t="s">
        <v>45</v>
      </c>
      <c r="O9" s="23" t="s">
        <v>46</v>
      </c>
      <c r="P9" s="23" t="s">
        <v>47</v>
      </c>
      <c r="Q9" s="22" t="s">
        <v>48</v>
      </c>
    </row>
    <row r="10" ht="22.5" customHeight="1">
      <c r="B10" s="24" t="s">
        <v>130</v>
      </c>
      <c r="C10" s="25">
        <v>46213.0</v>
      </c>
      <c r="D10" s="26" t="s">
        <v>58</v>
      </c>
      <c r="E10" s="25">
        <v>46216.0</v>
      </c>
      <c r="F10" s="25">
        <v>46217.0</v>
      </c>
      <c r="G10" s="27" t="s">
        <v>832</v>
      </c>
      <c r="H10" s="27" t="s">
        <v>833</v>
      </c>
      <c r="I10" s="24" t="s">
        <v>64</v>
      </c>
      <c r="J10" s="26" t="s">
        <v>11</v>
      </c>
      <c r="K10" s="28">
        <v>52000.0</v>
      </c>
      <c r="L10" s="24" t="s">
        <v>834</v>
      </c>
      <c r="M10" s="113"/>
      <c r="N10" s="32"/>
      <c r="O10" s="113"/>
      <c r="P10" s="49"/>
      <c r="Q10" s="24"/>
    </row>
    <row r="11" ht="22.5" customHeight="1">
      <c r="B11" s="24" t="s">
        <v>130</v>
      </c>
      <c r="C11" s="25">
        <v>46218.0</v>
      </c>
      <c r="D11" s="26" t="s">
        <v>58</v>
      </c>
      <c r="E11" s="25"/>
      <c r="F11" s="25"/>
      <c r="G11" s="27" t="s">
        <v>835</v>
      </c>
      <c r="H11" s="27" t="s">
        <v>836</v>
      </c>
      <c r="I11" s="24" t="s">
        <v>109</v>
      </c>
      <c r="J11" s="26" t="s">
        <v>24</v>
      </c>
      <c r="K11" s="28">
        <v>84750.0</v>
      </c>
      <c r="L11" s="24" t="s">
        <v>834</v>
      </c>
      <c r="M11" s="113"/>
      <c r="N11" s="32"/>
      <c r="O11" s="113"/>
      <c r="P11" s="49"/>
      <c r="Q11" s="32"/>
    </row>
    <row r="12" ht="22.5" customHeight="1">
      <c r="B12" s="24"/>
      <c r="C12" s="25"/>
      <c r="D12" s="113"/>
      <c r="E12" s="75"/>
      <c r="F12" s="75"/>
      <c r="G12" s="27"/>
      <c r="H12" s="27"/>
      <c r="I12" s="24"/>
      <c r="J12" s="113"/>
      <c r="K12" s="28"/>
      <c r="L12" s="24"/>
      <c r="M12" s="113"/>
      <c r="N12" s="32"/>
      <c r="O12" s="113"/>
      <c r="P12" s="49"/>
      <c r="Q12" s="32"/>
    </row>
    <row r="13" ht="22.5" customHeight="1">
      <c r="B13" s="24"/>
      <c r="C13" s="25"/>
      <c r="D13" s="113"/>
      <c r="E13" s="75"/>
      <c r="F13" s="75"/>
      <c r="G13" s="27"/>
      <c r="H13" s="27"/>
      <c r="I13" s="24"/>
      <c r="J13" s="113"/>
      <c r="K13" s="28"/>
      <c r="L13" s="24"/>
      <c r="M13" s="113"/>
      <c r="N13" s="32"/>
      <c r="O13" s="113"/>
      <c r="P13" s="49"/>
      <c r="Q13" s="32"/>
    </row>
    <row r="14" ht="22.5" customHeight="1">
      <c r="B14" s="24"/>
      <c r="C14" s="25"/>
      <c r="D14" s="113"/>
      <c r="E14" s="75"/>
      <c r="F14" s="75"/>
      <c r="G14" s="27"/>
      <c r="H14" s="27"/>
      <c r="I14" s="32"/>
      <c r="J14" s="49"/>
      <c r="K14" s="115"/>
      <c r="L14" s="32"/>
      <c r="M14" s="49"/>
      <c r="N14" s="32"/>
      <c r="O14" s="49"/>
      <c r="P14" s="49"/>
      <c r="Q14" s="32"/>
    </row>
    <row r="15" ht="22.5" customHeight="1">
      <c r="B15" s="32"/>
      <c r="C15" s="75"/>
      <c r="D15" s="113"/>
      <c r="E15" s="75"/>
      <c r="F15" s="75"/>
      <c r="G15" s="114"/>
      <c r="H15" s="114"/>
      <c r="I15" s="32"/>
      <c r="J15" s="49"/>
      <c r="K15" s="115"/>
      <c r="L15" s="32"/>
      <c r="M15" s="49"/>
      <c r="N15" s="32"/>
      <c r="O15" s="49"/>
      <c r="P15" s="49"/>
      <c r="Q15" s="32"/>
    </row>
    <row r="16" ht="22.5" customHeight="1">
      <c r="B16" s="32"/>
      <c r="C16" s="75"/>
      <c r="D16" s="113"/>
      <c r="E16" s="75"/>
      <c r="F16" s="75"/>
      <c r="G16" s="114"/>
      <c r="H16" s="114"/>
      <c r="I16" s="32"/>
      <c r="J16" s="49"/>
      <c r="K16" s="115"/>
      <c r="L16" s="32"/>
      <c r="M16" s="49"/>
      <c r="N16" s="32"/>
      <c r="O16" s="49"/>
      <c r="P16" s="49"/>
      <c r="Q16" s="32"/>
    </row>
    <row r="17" ht="22.5" customHeight="1">
      <c r="B17" s="32"/>
      <c r="C17" s="75"/>
      <c r="D17" s="113"/>
      <c r="E17" s="75"/>
      <c r="F17" s="75"/>
      <c r="G17" s="114"/>
      <c r="H17" s="114"/>
      <c r="I17" s="32"/>
      <c r="J17" s="49"/>
      <c r="K17" s="115"/>
      <c r="L17" s="32"/>
      <c r="M17" s="49"/>
      <c r="N17" s="32"/>
      <c r="O17" s="49"/>
      <c r="P17" s="49"/>
      <c r="Q17" s="32"/>
    </row>
    <row r="18" ht="22.5" customHeight="1">
      <c r="B18" s="32"/>
      <c r="C18" s="75"/>
      <c r="D18" s="113"/>
      <c r="E18" s="75"/>
      <c r="F18" s="75"/>
      <c r="G18" s="114"/>
      <c r="H18" s="114"/>
      <c r="I18" s="32"/>
      <c r="J18" s="49"/>
      <c r="K18" s="115"/>
      <c r="L18" s="32"/>
      <c r="M18" s="49"/>
      <c r="N18" s="32"/>
      <c r="O18" s="49"/>
      <c r="P18" s="49"/>
      <c r="Q18" s="32"/>
    </row>
    <row r="19" ht="22.5" customHeight="1">
      <c r="B19" s="32"/>
      <c r="C19" s="75"/>
      <c r="D19" s="113"/>
      <c r="E19" s="75"/>
      <c r="F19" s="75"/>
      <c r="G19" s="114"/>
      <c r="H19" s="114"/>
      <c r="I19" s="32"/>
      <c r="J19" s="49"/>
      <c r="K19" s="115"/>
      <c r="L19" s="32"/>
      <c r="M19" s="49"/>
      <c r="N19" s="32"/>
      <c r="O19" s="49"/>
      <c r="P19" s="49"/>
      <c r="Q19" s="32"/>
    </row>
    <row r="20" ht="22.5" customHeight="1">
      <c r="B20" s="32"/>
      <c r="C20" s="75"/>
      <c r="D20" s="113"/>
      <c r="E20" s="75"/>
      <c r="F20" s="75"/>
      <c r="G20" s="114"/>
      <c r="H20" s="114"/>
      <c r="I20" s="32"/>
      <c r="J20" s="49"/>
      <c r="K20" s="115"/>
      <c r="L20" s="32"/>
      <c r="M20" s="49"/>
      <c r="N20" s="32"/>
      <c r="O20" s="49"/>
      <c r="P20" s="49"/>
      <c r="Q20" s="32"/>
    </row>
    <row r="21" ht="22.5" customHeight="1">
      <c r="B21" s="32"/>
      <c r="C21" s="75"/>
      <c r="D21" s="113"/>
      <c r="E21" s="75"/>
      <c r="F21" s="75"/>
      <c r="G21" s="114"/>
      <c r="H21" s="114"/>
      <c r="I21" s="32"/>
      <c r="J21" s="49"/>
      <c r="K21" s="115"/>
      <c r="L21" s="32"/>
      <c r="M21" s="49"/>
      <c r="N21" s="32"/>
      <c r="O21" s="49"/>
      <c r="P21" s="49"/>
      <c r="Q21" s="32"/>
    </row>
    <row r="22" ht="22.5" customHeight="1">
      <c r="B22" s="32"/>
      <c r="C22" s="75"/>
      <c r="D22" s="113"/>
      <c r="E22" s="75"/>
      <c r="F22" s="75"/>
      <c r="G22" s="114"/>
      <c r="H22" s="114"/>
      <c r="I22" s="32"/>
      <c r="J22" s="49"/>
      <c r="K22" s="115"/>
      <c r="L22" s="32"/>
      <c r="M22" s="49"/>
      <c r="N22" s="32"/>
      <c r="O22" s="49"/>
      <c r="P22" s="49"/>
      <c r="Q22" s="32"/>
    </row>
    <row r="23" ht="22.5" customHeight="1">
      <c r="B23" s="32"/>
      <c r="C23" s="75"/>
      <c r="D23" s="113"/>
      <c r="E23" s="75"/>
      <c r="F23" s="75"/>
      <c r="G23" s="114"/>
      <c r="H23" s="114"/>
      <c r="I23" s="32"/>
      <c r="J23" s="49"/>
      <c r="K23" s="115"/>
      <c r="L23" s="32"/>
      <c r="M23" s="49"/>
      <c r="N23" s="32"/>
      <c r="O23" s="49"/>
      <c r="P23" s="49"/>
      <c r="Q23" s="32"/>
    </row>
    <row r="24" ht="22.5" customHeight="1">
      <c r="B24" s="32"/>
      <c r="C24" s="75"/>
      <c r="D24" s="113"/>
      <c r="E24" s="75"/>
      <c r="F24" s="75"/>
      <c r="G24" s="114"/>
      <c r="H24" s="114"/>
      <c r="I24" s="32"/>
      <c r="J24" s="49"/>
      <c r="K24" s="115"/>
      <c r="L24" s="32"/>
      <c r="M24" s="49"/>
      <c r="N24" s="32"/>
      <c r="O24" s="49"/>
      <c r="P24" s="49"/>
      <c r="Q24" s="32"/>
    </row>
    <row r="25" ht="22.5" customHeight="1">
      <c r="B25" s="32"/>
      <c r="C25" s="75"/>
      <c r="D25" s="113"/>
      <c r="E25" s="75"/>
      <c r="F25" s="75"/>
      <c r="G25" s="114"/>
      <c r="H25" s="114"/>
      <c r="I25" s="32"/>
      <c r="J25" s="49"/>
      <c r="K25" s="115"/>
      <c r="L25" s="32"/>
      <c r="M25" s="49"/>
      <c r="N25" s="32"/>
      <c r="O25" s="49"/>
      <c r="P25" s="49"/>
      <c r="Q25" s="32"/>
    </row>
    <row r="26" ht="22.5" customHeight="1">
      <c r="B26" s="32"/>
      <c r="C26" s="75"/>
      <c r="D26" s="113"/>
      <c r="E26" s="75"/>
      <c r="F26" s="75"/>
      <c r="G26" s="114"/>
      <c r="H26" s="114"/>
      <c r="I26" s="32"/>
      <c r="J26" s="49"/>
      <c r="K26" s="115"/>
      <c r="L26" s="32"/>
      <c r="M26" s="49"/>
      <c r="N26" s="32"/>
      <c r="O26" s="49"/>
      <c r="P26" s="49"/>
      <c r="Q26" s="32"/>
    </row>
    <row r="27" ht="22.5" customHeight="1">
      <c r="B27" s="32"/>
      <c r="C27" s="75"/>
      <c r="D27" s="113"/>
      <c r="E27" s="75"/>
      <c r="F27" s="75"/>
      <c r="G27" s="114"/>
      <c r="H27" s="114"/>
      <c r="I27" s="32"/>
      <c r="J27" s="49"/>
      <c r="K27" s="115"/>
      <c r="L27" s="32"/>
      <c r="M27" s="49"/>
      <c r="N27" s="32"/>
      <c r="O27" s="49"/>
      <c r="P27" s="49"/>
      <c r="Q27" s="32"/>
    </row>
    <row r="28" ht="22.5" customHeight="1">
      <c r="B28" s="32"/>
      <c r="C28" s="75"/>
      <c r="D28" s="113"/>
      <c r="E28" s="75"/>
      <c r="F28" s="75"/>
      <c r="G28" s="114"/>
      <c r="H28" s="114"/>
      <c r="I28" s="32"/>
      <c r="J28" s="49"/>
      <c r="K28" s="115"/>
      <c r="L28" s="32"/>
      <c r="M28" s="49"/>
      <c r="N28" s="32"/>
      <c r="O28" s="49"/>
      <c r="P28" s="49"/>
      <c r="Q28" s="32"/>
    </row>
    <row r="29" ht="22.5" customHeight="1">
      <c r="B29" s="32"/>
      <c r="C29" s="75"/>
      <c r="D29" s="113"/>
      <c r="E29" s="75"/>
      <c r="F29" s="75"/>
      <c r="G29" s="114"/>
      <c r="H29" s="114"/>
      <c r="I29" s="32"/>
      <c r="J29" s="49"/>
      <c r="K29" s="115"/>
      <c r="L29" s="32"/>
      <c r="M29" s="49"/>
      <c r="N29" s="32"/>
      <c r="O29" s="49"/>
      <c r="P29" s="49"/>
      <c r="Q29" s="32"/>
    </row>
    <row r="30" ht="22.5" customHeight="1">
      <c r="B30" s="32"/>
      <c r="C30" s="75"/>
      <c r="D30" s="113"/>
      <c r="E30" s="75"/>
      <c r="F30" s="75"/>
      <c r="G30" s="114"/>
      <c r="H30" s="114"/>
      <c r="I30" s="32"/>
      <c r="J30" s="49"/>
      <c r="K30" s="115"/>
      <c r="L30" s="32"/>
      <c r="M30" s="49"/>
      <c r="N30" s="32"/>
      <c r="O30" s="49"/>
      <c r="P30" s="49"/>
      <c r="Q30" s="32"/>
    </row>
    <row r="31" ht="22.5" customHeight="1">
      <c r="B31" s="32"/>
      <c r="C31" s="75"/>
      <c r="D31" s="113"/>
      <c r="E31" s="75"/>
      <c r="F31" s="75"/>
      <c r="G31" s="114"/>
      <c r="H31" s="114"/>
      <c r="I31" s="32"/>
      <c r="J31" s="49"/>
      <c r="K31" s="115"/>
      <c r="L31" s="32"/>
      <c r="M31" s="49"/>
      <c r="N31" s="32"/>
      <c r="O31" s="49"/>
      <c r="P31" s="49"/>
      <c r="Q31" s="32"/>
    </row>
    <row r="32" ht="22.5" customHeight="1">
      <c r="B32" s="32"/>
      <c r="C32" s="75"/>
      <c r="D32" s="113"/>
      <c r="E32" s="75"/>
      <c r="F32" s="75"/>
      <c r="G32" s="114"/>
      <c r="H32" s="114"/>
      <c r="I32" s="32"/>
      <c r="J32" s="49"/>
      <c r="K32" s="115"/>
      <c r="L32" s="32"/>
      <c r="M32" s="49"/>
      <c r="N32" s="32"/>
      <c r="O32" s="49"/>
      <c r="P32" s="49"/>
      <c r="Q32" s="32"/>
    </row>
    <row r="33" ht="22.5" customHeight="1">
      <c r="B33" s="32"/>
      <c r="C33" s="75"/>
      <c r="D33" s="113"/>
      <c r="E33" s="75"/>
      <c r="F33" s="75"/>
      <c r="G33" s="114"/>
      <c r="H33" s="114"/>
      <c r="I33" s="32"/>
      <c r="J33" s="49"/>
      <c r="K33" s="115"/>
      <c r="L33" s="32"/>
      <c r="M33" s="49"/>
      <c r="N33" s="32"/>
      <c r="O33" s="49"/>
      <c r="P33" s="49"/>
      <c r="Q33" s="32"/>
    </row>
    <row r="34" ht="22.5" customHeight="1">
      <c r="B34" s="32"/>
      <c r="C34" s="75"/>
      <c r="D34" s="113"/>
      <c r="E34" s="75"/>
      <c r="F34" s="75"/>
      <c r="G34" s="114"/>
      <c r="H34" s="114"/>
      <c r="I34" s="32"/>
      <c r="J34" s="49"/>
      <c r="K34" s="115"/>
      <c r="L34" s="32"/>
      <c r="M34" s="49"/>
      <c r="N34" s="32"/>
      <c r="O34" s="49"/>
      <c r="P34" s="49"/>
      <c r="Q34" s="32"/>
    </row>
    <row r="35" ht="22.5" customHeight="1">
      <c r="B35" s="32"/>
      <c r="C35" s="75"/>
      <c r="D35" s="113"/>
      <c r="E35" s="75"/>
      <c r="F35" s="75"/>
      <c r="G35" s="114"/>
      <c r="H35" s="114"/>
      <c r="I35" s="32"/>
      <c r="J35" s="49"/>
      <c r="K35" s="115"/>
      <c r="L35" s="32"/>
      <c r="M35" s="49"/>
      <c r="N35" s="32"/>
      <c r="O35" s="49"/>
      <c r="P35" s="49"/>
      <c r="Q35" s="32"/>
    </row>
    <row r="36" ht="22.5" customHeight="1">
      <c r="B36" s="32"/>
      <c r="C36" s="75"/>
      <c r="D36" s="113"/>
      <c r="E36" s="75"/>
      <c r="F36" s="75"/>
      <c r="G36" s="114"/>
      <c r="H36" s="114"/>
      <c r="I36" s="32"/>
      <c r="J36" s="49"/>
      <c r="K36" s="115"/>
      <c r="L36" s="32"/>
      <c r="M36" s="49"/>
      <c r="N36" s="32"/>
      <c r="O36" s="49"/>
      <c r="P36" s="49"/>
      <c r="Q36" s="32"/>
    </row>
    <row r="37" ht="22.5" customHeight="1">
      <c r="B37" s="32"/>
      <c r="C37" s="75"/>
      <c r="D37" s="113"/>
      <c r="E37" s="75"/>
      <c r="F37" s="75"/>
      <c r="G37" s="114"/>
      <c r="H37" s="114"/>
      <c r="I37" s="32"/>
      <c r="J37" s="49"/>
      <c r="K37" s="115"/>
      <c r="L37" s="32"/>
      <c r="M37" s="49"/>
      <c r="N37" s="32"/>
      <c r="O37" s="49"/>
      <c r="P37" s="49"/>
      <c r="Q37" s="32"/>
    </row>
    <row r="38" ht="22.5" customHeight="1">
      <c r="B38" s="32"/>
      <c r="C38" s="75"/>
      <c r="D38" s="113"/>
      <c r="E38" s="75"/>
      <c r="F38" s="75"/>
      <c r="G38" s="114"/>
      <c r="H38" s="114"/>
      <c r="I38" s="32"/>
      <c r="J38" s="49"/>
      <c r="K38" s="115"/>
      <c r="L38" s="32"/>
      <c r="M38" s="49"/>
      <c r="N38" s="32"/>
      <c r="O38" s="49"/>
      <c r="P38" s="49"/>
      <c r="Q38" s="32"/>
    </row>
    <row r="39" ht="22.5" customHeight="1">
      <c r="B39" s="32"/>
      <c r="C39" s="75"/>
      <c r="D39" s="113"/>
      <c r="E39" s="75"/>
      <c r="F39" s="75"/>
      <c r="G39" s="114"/>
      <c r="H39" s="114"/>
      <c r="I39" s="32"/>
      <c r="J39" s="49"/>
      <c r="K39" s="115"/>
      <c r="L39" s="32"/>
      <c r="M39" s="49"/>
      <c r="N39" s="32"/>
      <c r="O39" s="49"/>
      <c r="P39" s="49"/>
      <c r="Q39" s="32"/>
    </row>
    <row r="40" ht="22.5" customHeight="1">
      <c r="B40" s="32"/>
      <c r="C40" s="75"/>
      <c r="D40" s="113"/>
      <c r="E40" s="75"/>
      <c r="F40" s="75"/>
      <c r="G40" s="114"/>
      <c r="H40" s="114"/>
      <c r="I40" s="32"/>
      <c r="J40" s="49"/>
      <c r="K40" s="115"/>
      <c r="L40" s="32"/>
      <c r="M40" s="49"/>
      <c r="N40" s="32"/>
      <c r="O40" s="49"/>
      <c r="P40" s="49"/>
      <c r="Q40" s="32"/>
    </row>
    <row r="41" ht="22.5" customHeight="1">
      <c r="B41" s="32"/>
      <c r="C41" s="75"/>
      <c r="D41" s="113"/>
      <c r="E41" s="75"/>
      <c r="F41" s="75"/>
      <c r="G41" s="114"/>
      <c r="H41" s="114"/>
      <c r="I41" s="32"/>
      <c r="J41" s="49"/>
      <c r="K41" s="115"/>
      <c r="L41" s="32"/>
      <c r="M41" s="49"/>
      <c r="N41" s="32"/>
      <c r="O41" s="49"/>
      <c r="P41" s="49"/>
      <c r="Q41" s="32"/>
    </row>
    <row r="42" ht="22.5" customHeight="1">
      <c r="B42" s="32"/>
      <c r="C42" s="75"/>
      <c r="D42" s="113"/>
      <c r="E42" s="75"/>
      <c r="F42" s="75"/>
      <c r="G42" s="114"/>
      <c r="H42" s="114"/>
      <c r="I42" s="32"/>
      <c r="J42" s="49"/>
      <c r="K42" s="115"/>
      <c r="L42" s="32"/>
      <c r="M42" s="49"/>
      <c r="N42" s="32"/>
      <c r="O42" s="49"/>
      <c r="P42" s="49"/>
      <c r="Q42" s="32"/>
    </row>
    <row r="43" ht="22.5" customHeight="1">
      <c r="B43" s="32"/>
      <c r="C43" s="75"/>
      <c r="D43" s="113"/>
      <c r="E43" s="75"/>
      <c r="F43" s="75"/>
      <c r="G43" s="114"/>
      <c r="H43" s="114"/>
      <c r="I43" s="32"/>
      <c r="J43" s="49"/>
      <c r="K43" s="115"/>
      <c r="L43" s="32"/>
      <c r="M43" s="49"/>
      <c r="N43" s="32"/>
      <c r="O43" s="49"/>
      <c r="P43" s="49"/>
      <c r="Q43" s="32"/>
    </row>
    <row r="44" ht="22.5" customHeight="1">
      <c r="B44" s="32"/>
      <c r="C44" s="75"/>
      <c r="D44" s="113"/>
      <c r="E44" s="75"/>
      <c r="F44" s="75"/>
      <c r="G44" s="114"/>
      <c r="H44" s="114"/>
      <c r="I44" s="32"/>
      <c r="J44" s="49"/>
      <c r="K44" s="115"/>
      <c r="L44" s="32"/>
      <c r="M44" s="49"/>
      <c r="N44" s="32"/>
      <c r="O44" s="49"/>
      <c r="P44" s="49"/>
      <c r="Q44" s="32"/>
    </row>
    <row r="45" ht="22.5" customHeight="1">
      <c r="B45" s="32"/>
      <c r="C45" s="75"/>
      <c r="D45" s="113"/>
      <c r="E45" s="75"/>
      <c r="F45" s="75"/>
      <c r="G45" s="114"/>
      <c r="H45" s="114"/>
      <c r="I45" s="32"/>
      <c r="J45" s="49"/>
      <c r="K45" s="115"/>
      <c r="L45" s="32"/>
      <c r="M45" s="49"/>
      <c r="N45" s="32"/>
      <c r="O45" s="49"/>
      <c r="P45" s="49"/>
      <c r="Q45" s="32"/>
    </row>
    <row r="46" ht="22.5" customHeight="1">
      <c r="B46" s="32"/>
      <c r="C46" s="75"/>
      <c r="D46" s="113"/>
      <c r="E46" s="75"/>
      <c r="F46" s="75"/>
      <c r="G46" s="114"/>
      <c r="H46" s="114"/>
      <c r="I46" s="32"/>
      <c r="J46" s="49"/>
      <c r="K46" s="115"/>
      <c r="L46" s="32"/>
      <c r="M46" s="49"/>
      <c r="N46" s="32"/>
      <c r="O46" s="49"/>
      <c r="P46" s="49"/>
      <c r="Q46" s="32"/>
    </row>
    <row r="47" ht="22.5" customHeight="1">
      <c r="B47" s="32"/>
      <c r="C47" s="75"/>
      <c r="D47" s="113"/>
      <c r="E47" s="75"/>
      <c r="F47" s="75"/>
      <c r="G47" s="114"/>
      <c r="H47" s="114"/>
      <c r="I47" s="32"/>
      <c r="J47" s="49"/>
      <c r="K47" s="115"/>
      <c r="L47" s="32"/>
      <c r="M47" s="49"/>
      <c r="N47" s="32"/>
      <c r="O47" s="49"/>
      <c r="P47" s="49"/>
      <c r="Q47" s="32"/>
    </row>
    <row r="48" ht="22.5" customHeight="1">
      <c r="B48" s="32"/>
      <c r="C48" s="75"/>
      <c r="D48" s="113"/>
      <c r="E48" s="75"/>
      <c r="F48" s="75"/>
      <c r="G48" s="114"/>
      <c r="H48" s="114"/>
      <c r="I48" s="32"/>
      <c r="J48" s="49"/>
      <c r="K48" s="115"/>
      <c r="L48" s="32"/>
      <c r="M48" s="49"/>
      <c r="N48" s="32"/>
      <c r="O48" s="49"/>
      <c r="P48" s="49"/>
      <c r="Q48" s="32"/>
    </row>
    <row r="49" ht="22.5" customHeight="1">
      <c r="B49" s="32"/>
      <c r="C49" s="75"/>
      <c r="D49" s="113"/>
      <c r="E49" s="75"/>
      <c r="F49" s="75"/>
      <c r="G49" s="114"/>
      <c r="H49" s="114"/>
      <c r="I49" s="32"/>
      <c r="J49" s="49"/>
      <c r="K49" s="115"/>
      <c r="L49" s="32"/>
      <c r="M49" s="49"/>
      <c r="N49" s="32"/>
      <c r="O49" s="49"/>
      <c r="P49" s="49"/>
      <c r="Q49" s="32"/>
    </row>
    <row r="50" ht="22.5" customHeight="1">
      <c r="B50" s="32"/>
      <c r="C50" s="75"/>
      <c r="D50" s="113"/>
      <c r="E50" s="75"/>
      <c r="F50" s="75"/>
      <c r="G50" s="114"/>
      <c r="H50" s="114"/>
      <c r="I50" s="32"/>
      <c r="J50" s="49"/>
      <c r="K50" s="115"/>
      <c r="L50" s="32"/>
      <c r="M50" s="49"/>
      <c r="N50" s="32"/>
      <c r="O50" s="49"/>
      <c r="P50" s="49"/>
      <c r="Q50" s="32"/>
    </row>
    <row r="51" ht="22.5" customHeight="1">
      <c r="B51" s="32"/>
      <c r="C51" s="75"/>
      <c r="D51" s="113"/>
      <c r="E51" s="75"/>
      <c r="F51" s="75"/>
      <c r="G51" s="114"/>
      <c r="H51" s="114"/>
      <c r="I51" s="32"/>
      <c r="J51" s="49"/>
      <c r="K51" s="115"/>
      <c r="L51" s="32"/>
      <c r="M51" s="49"/>
      <c r="N51" s="32"/>
      <c r="O51" s="49"/>
      <c r="P51" s="49"/>
      <c r="Q51" s="32"/>
    </row>
    <row r="52" ht="22.5" customHeight="1">
      <c r="B52" s="32"/>
      <c r="C52" s="75"/>
      <c r="D52" s="113"/>
      <c r="E52" s="75"/>
      <c r="F52" s="75"/>
      <c r="G52" s="114"/>
      <c r="H52" s="114"/>
      <c r="I52" s="32"/>
      <c r="J52" s="49"/>
      <c r="K52" s="115"/>
      <c r="L52" s="32"/>
      <c r="M52" s="49"/>
      <c r="N52" s="32"/>
      <c r="O52" s="49"/>
      <c r="P52" s="49"/>
      <c r="Q52" s="3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30.0"/>
    <col customWidth="1" min="9" max="9" width="19.25"/>
    <col customWidth="1" min="10" max="10" width="22.88"/>
    <col customWidth="1" min="11" max="11" width="17.0"/>
    <col customWidth="1" min="12" max="12" width="14.25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5" t="s">
        <v>172</v>
      </c>
      <c r="E3" s="7" t="s">
        <v>8</v>
      </c>
      <c r="F3" s="7" t="s">
        <v>11</v>
      </c>
      <c r="G3" s="8" t="s">
        <v>13</v>
      </c>
      <c r="H3" s="7" t="s">
        <v>16</v>
      </c>
      <c r="I3" s="7" t="s">
        <v>17</v>
      </c>
      <c r="J3" s="7" t="s">
        <v>18</v>
      </c>
      <c r="K3" s="7" t="s">
        <v>20</v>
      </c>
      <c r="L3" s="7" t="s">
        <v>21</v>
      </c>
      <c r="M3" s="7" t="s">
        <v>23</v>
      </c>
      <c r="N3" s="7" t="s">
        <v>24</v>
      </c>
    </row>
    <row r="4" ht="26.25" customHeight="1">
      <c r="D4" s="10" t="s">
        <v>26</v>
      </c>
      <c r="E4" s="11">
        <v>1000000.0</v>
      </c>
      <c r="F4" s="13">
        <f>SUMIFS(OPI_13[MAF NETO],OPI_13[ESTADO],"Desembolsado")</f>
        <v>650700</v>
      </c>
      <c r="G4" s="13">
        <f>F4-E4</f>
        <v>-349300</v>
      </c>
      <c r="H4" s="15">
        <f>SUMIFS(OPI_13[MAF NETO],OPI_13[ESTADO],H$3)</f>
        <v>0</v>
      </c>
      <c r="I4" s="15">
        <f>SUMIFS(OPI_13[MAF NETO],OPI_13[ESTADO],I$3)</f>
        <v>0</v>
      </c>
      <c r="J4" s="15">
        <f>SUMIFS(OPI_13[MAF NETO],OPI_13[ESTADO],J$3)</f>
        <v>0</v>
      </c>
      <c r="K4" s="15">
        <f>SUMIFS(OPI_13[MAF NETO],OPI_13[ESTADO],K$3)</f>
        <v>0</v>
      </c>
      <c r="L4" s="15">
        <f>SUMIFS(OPI_13[MAF NETO],OPI_13[ESTADO],L$3)</f>
        <v>0</v>
      </c>
      <c r="M4" s="15">
        <f>SUMIFS(OPI_13[MAF NETO],OPI_13[ESTADO],M$3)</f>
        <v>0</v>
      </c>
      <c r="N4" s="15">
        <f>SUMIFS(OPI_13[MAF NETO],OPI_13[ESTADO],N$3)</f>
        <v>67800</v>
      </c>
    </row>
    <row r="5" ht="26.25" customHeight="1">
      <c r="D5" s="17" t="s">
        <v>28</v>
      </c>
      <c r="E5" s="18" t="s">
        <v>29</v>
      </c>
      <c r="F5" s="19">
        <f>COUNTIFS(OPI_13[ESTADO],"Desembolsado")</f>
        <v>9</v>
      </c>
      <c r="G5" s="20">
        <f>IFERROR(F4/E4,"")</f>
        <v>0.6507</v>
      </c>
      <c r="H5" s="19">
        <f>COUNTIFS(OPI_13[ESTADO],H$3)</f>
        <v>0</v>
      </c>
      <c r="I5" s="19">
        <f>COUNTIFS(OPI_13[ESTADO],I$3)</f>
        <v>0</v>
      </c>
      <c r="J5" s="19">
        <f>COUNTIFS(OPI_13[ESTADO],J$3)</f>
        <v>0</v>
      </c>
      <c r="K5" s="19">
        <f>COUNTIFS(OPI_13[ESTADO],K$3)</f>
        <v>0</v>
      </c>
      <c r="L5" s="19">
        <f>COUNTIFS(OPI_13[ESTADO],L$3)</f>
        <v>0</v>
      </c>
      <c r="M5" s="19">
        <f>COUNTIFS(OPI_13[ESTADO],M$3)</f>
        <v>0</v>
      </c>
      <c r="N5" s="19">
        <f>COUNTIFS(OPI_13[ESTADO],N$3)</f>
        <v>1</v>
      </c>
    </row>
    <row r="9" ht="22.5" customHeight="1">
      <c r="A9" s="21"/>
      <c r="B9" s="22" t="s">
        <v>31</v>
      </c>
      <c r="C9" s="22" t="s">
        <v>33</v>
      </c>
      <c r="D9" s="23" t="s">
        <v>34</v>
      </c>
      <c r="E9" s="22" t="s">
        <v>35</v>
      </c>
      <c r="F9" s="22" t="s">
        <v>36</v>
      </c>
      <c r="G9" s="22" t="s">
        <v>37</v>
      </c>
      <c r="H9" s="22" t="s">
        <v>38</v>
      </c>
      <c r="I9" s="22" t="s">
        <v>39</v>
      </c>
      <c r="J9" s="23" t="s">
        <v>40</v>
      </c>
      <c r="K9" s="22" t="s">
        <v>41</v>
      </c>
      <c r="L9" s="22" t="s">
        <v>42</v>
      </c>
      <c r="M9" s="23" t="s">
        <v>44</v>
      </c>
      <c r="N9" s="22" t="s">
        <v>45</v>
      </c>
      <c r="O9" s="23" t="s">
        <v>46</v>
      </c>
      <c r="P9" s="23" t="s">
        <v>47</v>
      </c>
      <c r="Q9" s="22" t="s">
        <v>48</v>
      </c>
    </row>
    <row r="10" ht="22.5" customHeight="1">
      <c r="B10" s="24" t="s">
        <v>172</v>
      </c>
      <c r="C10" s="25">
        <v>46203.0</v>
      </c>
      <c r="D10" s="26" t="s">
        <v>58</v>
      </c>
      <c r="E10" s="25">
        <v>46205.0</v>
      </c>
      <c r="F10" s="25">
        <v>46205.0</v>
      </c>
      <c r="G10" s="27" t="s">
        <v>837</v>
      </c>
      <c r="H10" s="27" t="s">
        <v>838</v>
      </c>
      <c r="I10" s="24" t="s">
        <v>265</v>
      </c>
      <c r="J10" s="26" t="s">
        <v>11</v>
      </c>
      <c r="K10" s="28">
        <v>75500.0</v>
      </c>
      <c r="L10" s="24" t="s">
        <v>839</v>
      </c>
      <c r="M10" s="26" t="s">
        <v>71</v>
      </c>
      <c r="N10" s="37">
        <v>46212.0</v>
      </c>
      <c r="O10" s="26" t="s">
        <v>73</v>
      </c>
      <c r="P10" s="26" t="s">
        <v>73</v>
      </c>
      <c r="Q10" s="24"/>
    </row>
    <row r="11" ht="22.5" customHeight="1">
      <c r="B11" s="24" t="s">
        <v>172</v>
      </c>
      <c r="C11" s="25">
        <v>46210.0</v>
      </c>
      <c r="D11" s="26" t="s">
        <v>58</v>
      </c>
      <c r="E11" s="25">
        <v>46213.0</v>
      </c>
      <c r="F11" s="25">
        <v>46216.0</v>
      </c>
      <c r="G11" s="27" t="s">
        <v>840</v>
      </c>
      <c r="H11" s="27" t="s">
        <v>841</v>
      </c>
      <c r="I11" s="24" t="s">
        <v>64</v>
      </c>
      <c r="J11" s="26" t="s">
        <v>11</v>
      </c>
      <c r="K11" s="28">
        <v>82600.0</v>
      </c>
      <c r="L11" s="24" t="s">
        <v>839</v>
      </c>
      <c r="M11" s="26" t="s">
        <v>71</v>
      </c>
      <c r="N11" s="37">
        <v>46217.0</v>
      </c>
      <c r="O11" s="26" t="s">
        <v>73</v>
      </c>
      <c r="P11" s="26" t="s">
        <v>73</v>
      </c>
      <c r="Q11" s="32"/>
    </row>
    <row r="12" ht="22.5" customHeight="1">
      <c r="B12" s="24" t="s">
        <v>172</v>
      </c>
      <c r="C12" s="25">
        <v>46211.0</v>
      </c>
      <c r="D12" s="26" t="s">
        <v>58</v>
      </c>
      <c r="E12" s="25">
        <v>46213.0</v>
      </c>
      <c r="F12" s="25">
        <v>46217.0</v>
      </c>
      <c r="G12" s="27" t="s">
        <v>842</v>
      </c>
      <c r="H12" s="27" t="s">
        <v>843</v>
      </c>
      <c r="I12" s="24" t="s">
        <v>64</v>
      </c>
      <c r="J12" s="26" t="s">
        <v>11</v>
      </c>
      <c r="K12" s="28">
        <v>71900.0</v>
      </c>
      <c r="L12" s="24" t="s">
        <v>839</v>
      </c>
      <c r="M12" s="26" t="s">
        <v>71</v>
      </c>
      <c r="N12" s="37">
        <v>46218.0</v>
      </c>
      <c r="O12" s="26" t="s">
        <v>73</v>
      </c>
      <c r="P12" s="26" t="s">
        <v>73</v>
      </c>
      <c r="Q12" s="32"/>
    </row>
    <row r="13" ht="22.5" customHeight="1">
      <c r="B13" s="24" t="s">
        <v>172</v>
      </c>
      <c r="C13" s="25">
        <v>46211.0</v>
      </c>
      <c r="D13" s="26" t="s">
        <v>58</v>
      </c>
      <c r="E13" s="25">
        <v>46213.0</v>
      </c>
      <c r="F13" s="25">
        <v>46216.0</v>
      </c>
      <c r="G13" s="27" t="s">
        <v>844</v>
      </c>
      <c r="H13" s="27" t="s">
        <v>845</v>
      </c>
      <c r="I13" s="24" t="s">
        <v>64</v>
      </c>
      <c r="J13" s="26" t="s">
        <v>11</v>
      </c>
      <c r="K13" s="28">
        <v>58100.0</v>
      </c>
      <c r="L13" s="24" t="s">
        <v>839</v>
      </c>
      <c r="M13" s="26" t="s">
        <v>71</v>
      </c>
      <c r="N13" s="37">
        <v>46217.0</v>
      </c>
      <c r="O13" s="26" t="s">
        <v>73</v>
      </c>
      <c r="P13" s="26" t="s">
        <v>73</v>
      </c>
      <c r="Q13" s="24"/>
    </row>
    <row r="14" ht="22.5" customHeight="1">
      <c r="B14" s="24" t="s">
        <v>172</v>
      </c>
      <c r="C14" s="25">
        <v>46211.0</v>
      </c>
      <c r="D14" s="26" t="s">
        <v>58</v>
      </c>
      <c r="E14" s="25">
        <v>46213.0</v>
      </c>
      <c r="F14" s="25">
        <v>46216.0</v>
      </c>
      <c r="G14" s="27" t="s">
        <v>846</v>
      </c>
      <c r="H14" s="27" t="s">
        <v>847</v>
      </c>
      <c r="I14" s="24" t="s">
        <v>64</v>
      </c>
      <c r="J14" s="26" t="s">
        <v>11</v>
      </c>
      <c r="K14" s="28">
        <v>75800.0</v>
      </c>
      <c r="L14" s="24" t="s">
        <v>839</v>
      </c>
      <c r="M14" s="26" t="s">
        <v>71</v>
      </c>
      <c r="N14" s="37">
        <v>46217.0</v>
      </c>
      <c r="O14" s="26" t="s">
        <v>73</v>
      </c>
      <c r="P14" s="26" t="s">
        <v>73</v>
      </c>
      <c r="Q14" s="32"/>
    </row>
    <row r="15" ht="22.5" customHeight="1">
      <c r="B15" s="24" t="s">
        <v>172</v>
      </c>
      <c r="C15" s="25">
        <v>46218.0</v>
      </c>
      <c r="D15" s="26" t="s">
        <v>58</v>
      </c>
      <c r="E15" s="25">
        <v>46224.0</v>
      </c>
      <c r="F15" s="25">
        <v>46234.0</v>
      </c>
      <c r="G15" s="27" t="s">
        <v>848</v>
      </c>
      <c r="H15" s="27" t="s">
        <v>849</v>
      </c>
      <c r="I15" s="24" t="s">
        <v>850</v>
      </c>
      <c r="J15" s="26" t="s">
        <v>11</v>
      </c>
      <c r="K15" s="28">
        <v>57600.0</v>
      </c>
      <c r="L15" s="24" t="s">
        <v>839</v>
      </c>
      <c r="M15" s="26" t="s">
        <v>71</v>
      </c>
      <c r="N15" s="37">
        <v>46234.0</v>
      </c>
      <c r="O15" s="26" t="s">
        <v>73</v>
      </c>
      <c r="P15" s="26" t="s">
        <v>73</v>
      </c>
      <c r="Q15" s="32"/>
    </row>
    <row r="16" ht="22.5" customHeight="1">
      <c r="B16" s="24" t="s">
        <v>172</v>
      </c>
      <c r="C16" s="25">
        <v>46221.0</v>
      </c>
      <c r="D16" s="26" t="s">
        <v>58</v>
      </c>
      <c r="E16" s="25">
        <v>46224.0</v>
      </c>
      <c r="F16" s="25">
        <v>46230.0</v>
      </c>
      <c r="G16" s="27" t="s">
        <v>851</v>
      </c>
      <c r="H16" s="27" t="s">
        <v>852</v>
      </c>
      <c r="I16" s="24" t="s">
        <v>64</v>
      </c>
      <c r="J16" s="26" t="s">
        <v>11</v>
      </c>
      <c r="K16" s="28">
        <v>82500.0</v>
      </c>
      <c r="L16" s="24" t="s">
        <v>839</v>
      </c>
      <c r="M16" s="26" t="s">
        <v>71</v>
      </c>
      <c r="N16" s="37">
        <v>46233.0</v>
      </c>
      <c r="O16" s="26" t="s">
        <v>73</v>
      </c>
      <c r="P16" s="26" t="s">
        <v>73</v>
      </c>
      <c r="Q16" s="32"/>
    </row>
    <row r="17" ht="22.5" customHeight="1">
      <c r="B17" s="24" t="s">
        <v>172</v>
      </c>
      <c r="C17" s="25">
        <v>46221.0</v>
      </c>
      <c r="D17" s="26" t="s">
        <v>58</v>
      </c>
      <c r="E17" s="25">
        <v>46224.0</v>
      </c>
      <c r="F17" s="25">
        <v>46075.0</v>
      </c>
      <c r="G17" s="27" t="s">
        <v>853</v>
      </c>
      <c r="H17" s="27" t="s">
        <v>854</v>
      </c>
      <c r="I17" s="24" t="s">
        <v>64</v>
      </c>
      <c r="J17" s="26" t="s">
        <v>11</v>
      </c>
      <c r="K17" s="28">
        <v>73000.0</v>
      </c>
      <c r="L17" s="24" t="s">
        <v>839</v>
      </c>
      <c r="M17" s="26" t="s">
        <v>71</v>
      </c>
      <c r="N17" s="37">
        <v>46227.0</v>
      </c>
      <c r="O17" s="26" t="s">
        <v>73</v>
      </c>
      <c r="P17" s="26" t="s">
        <v>73</v>
      </c>
      <c r="Q17" s="32"/>
    </row>
    <row r="18" ht="22.5" customHeight="1">
      <c r="B18" s="24" t="s">
        <v>172</v>
      </c>
      <c r="C18" s="25">
        <v>46223.0</v>
      </c>
      <c r="D18" s="26" t="s">
        <v>58</v>
      </c>
      <c r="E18" s="25">
        <v>46224.0</v>
      </c>
      <c r="F18" s="25">
        <v>46075.0</v>
      </c>
      <c r="G18" s="27" t="s">
        <v>855</v>
      </c>
      <c r="H18" s="27" t="s">
        <v>856</v>
      </c>
      <c r="I18" s="24" t="s">
        <v>64</v>
      </c>
      <c r="J18" s="26" t="s">
        <v>11</v>
      </c>
      <c r="K18" s="28">
        <v>73700.0</v>
      </c>
      <c r="L18" s="24" t="s">
        <v>839</v>
      </c>
      <c r="M18" s="26" t="s">
        <v>71</v>
      </c>
      <c r="N18" s="32"/>
      <c r="O18" s="49"/>
      <c r="P18" s="49"/>
      <c r="Q18" s="24" t="s">
        <v>858</v>
      </c>
    </row>
    <row r="19" ht="22.5" customHeight="1">
      <c r="B19" s="24" t="s">
        <v>172</v>
      </c>
      <c r="C19" s="25">
        <v>46233.0</v>
      </c>
      <c r="D19" s="26" t="s">
        <v>247</v>
      </c>
      <c r="E19" s="25">
        <v>46233.0</v>
      </c>
      <c r="F19" s="75"/>
      <c r="G19" s="27" t="s">
        <v>861</v>
      </c>
      <c r="H19" s="27" t="s">
        <v>862</v>
      </c>
      <c r="I19" s="24" t="s">
        <v>64</v>
      </c>
      <c r="J19" s="26" t="s">
        <v>24</v>
      </c>
      <c r="K19" s="28">
        <v>67800.0</v>
      </c>
      <c r="L19" s="24" t="s">
        <v>839</v>
      </c>
      <c r="M19" s="49"/>
      <c r="N19" s="32"/>
      <c r="O19" s="49"/>
      <c r="P19" s="49"/>
      <c r="Q19" s="24" t="s">
        <v>863</v>
      </c>
    </row>
    <row r="20" ht="22.5" customHeight="1">
      <c r="B20" s="32"/>
      <c r="C20" s="75"/>
      <c r="D20" s="113"/>
      <c r="E20" s="75"/>
      <c r="F20" s="75"/>
      <c r="G20" s="114"/>
      <c r="H20" s="114"/>
      <c r="I20" s="32"/>
      <c r="J20" s="49"/>
      <c r="K20" s="115"/>
      <c r="L20" s="32"/>
      <c r="M20" s="49"/>
      <c r="N20" s="32"/>
      <c r="O20" s="49"/>
      <c r="P20" s="49"/>
      <c r="Q20" s="32"/>
    </row>
    <row r="21" ht="22.5" customHeight="1">
      <c r="B21" s="32"/>
      <c r="C21" s="75"/>
      <c r="D21" s="113"/>
      <c r="E21" s="75"/>
      <c r="F21" s="75"/>
      <c r="G21" s="114"/>
      <c r="H21" s="114"/>
      <c r="I21" s="32"/>
      <c r="J21" s="49"/>
      <c r="K21" s="115"/>
      <c r="L21" s="32"/>
      <c r="M21" s="49"/>
      <c r="N21" s="32"/>
      <c r="O21" s="49"/>
      <c r="P21" s="49"/>
      <c r="Q21" s="32"/>
    </row>
    <row r="22" ht="22.5" customHeight="1">
      <c r="B22" s="32"/>
      <c r="C22" s="75"/>
      <c r="D22" s="113"/>
      <c r="E22" s="75"/>
      <c r="F22" s="75"/>
      <c r="G22" s="114"/>
      <c r="H22" s="114"/>
      <c r="I22" s="32"/>
      <c r="J22" s="49"/>
      <c r="K22" s="115"/>
      <c r="L22" s="32"/>
      <c r="M22" s="49"/>
      <c r="N22" s="32"/>
      <c r="O22" s="49"/>
      <c r="P22" s="49"/>
      <c r="Q22" s="32"/>
    </row>
    <row r="23" ht="22.5" customHeight="1">
      <c r="B23" s="32"/>
      <c r="C23" s="75"/>
      <c r="D23" s="113"/>
      <c r="E23" s="75"/>
      <c r="F23" s="75"/>
      <c r="G23" s="114"/>
      <c r="H23" s="114"/>
      <c r="I23" s="32"/>
      <c r="J23" s="49"/>
      <c r="K23" s="115"/>
      <c r="L23" s="32"/>
      <c r="M23" s="49"/>
      <c r="N23" s="32"/>
      <c r="O23" s="49"/>
      <c r="P23" s="49"/>
      <c r="Q23" s="32"/>
    </row>
    <row r="24" ht="22.5" customHeight="1">
      <c r="B24" s="32"/>
      <c r="C24" s="75"/>
      <c r="D24" s="113"/>
      <c r="E24" s="75"/>
      <c r="F24" s="75"/>
      <c r="G24" s="114"/>
      <c r="H24" s="114"/>
      <c r="I24" s="32"/>
      <c r="J24" s="49"/>
      <c r="K24" s="115"/>
      <c r="L24" s="32"/>
      <c r="M24" s="49"/>
      <c r="N24" s="32"/>
      <c r="O24" s="49"/>
      <c r="P24" s="49"/>
      <c r="Q24" s="32"/>
    </row>
    <row r="25" ht="22.5" customHeight="1">
      <c r="B25" s="32"/>
      <c r="C25" s="75"/>
      <c r="D25" s="113"/>
      <c r="E25" s="75"/>
      <c r="F25" s="75"/>
      <c r="G25" s="114"/>
      <c r="H25" s="114"/>
      <c r="I25" s="32"/>
      <c r="J25" s="49"/>
      <c r="K25" s="115"/>
      <c r="L25" s="32"/>
      <c r="M25" s="49"/>
      <c r="N25" s="32"/>
      <c r="O25" s="49"/>
      <c r="P25" s="49"/>
      <c r="Q25" s="32"/>
    </row>
    <row r="26" ht="22.5" customHeight="1">
      <c r="B26" s="32"/>
      <c r="C26" s="75"/>
      <c r="D26" s="113"/>
      <c r="E26" s="75"/>
      <c r="F26" s="75"/>
      <c r="G26" s="114"/>
      <c r="H26" s="114"/>
      <c r="I26" s="32"/>
      <c r="J26" s="49"/>
      <c r="K26" s="115"/>
      <c r="L26" s="32"/>
      <c r="M26" s="49"/>
      <c r="N26" s="32"/>
      <c r="O26" s="49"/>
      <c r="P26" s="49"/>
      <c r="Q26" s="32"/>
    </row>
    <row r="27" ht="22.5" customHeight="1">
      <c r="B27" s="32"/>
      <c r="C27" s="75"/>
      <c r="D27" s="113"/>
      <c r="E27" s="75"/>
      <c r="F27" s="75"/>
      <c r="G27" s="114"/>
      <c r="H27" s="114"/>
      <c r="I27" s="32"/>
      <c r="J27" s="49"/>
      <c r="K27" s="115"/>
      <c r="L27" s="32"/>
      <c r="M27" s="49"/>
      <c r="N27" s="32"/>
      <c r="O27" s="49"/>
      <c r="P27" s="49"/>
      <c r="Q27" s="32"/>
    </row>
    <row r="28" ht="22.5" customHeight="1">
      <c r="B28" s="32"/>
      <c r="C28" s="75"/>
      <c r="D28" s="113"/>
      <c r="E28" s="75"/>
      <c r="F28" s="75"/>
      <c r="G28" s="114"/>
      <c r="H28" s="114"/>
      <c r="I28" s="32"/>
      <c r="J28" s="49"/>
      <c r="K28" s="115"/>
      <c r="L28" s="32"/>
      <c r="M28" s="49"/>
      <c r="N28" s="32"/>
      <c r="O28" s="49"/>
      <c r="P28" s="49"/>
      <c r="Q28" s="32"/>
    </row>
    <row r="29" ht="22.5" customHeight="1">
      <c r="B29" s="32"/>
      <c r="C29" s="75"/>
      <c r="D29" s="113"/>
      <c r="E29" s="75"/>
      <c r="F29" s="75"/>
      <c r="G29" s="114"/>
      <c r="H29" s="114"/>
      <c r="I29" s="32"/>
      <c r="J29" s="49"/>
      <c r="K29" s="115"/>
      <c r="L29" s="32"/>
      <c r="M29" s="49"/>
      <c r="N29" s="32"/>
      <c r="O29" s="49"/>
      <c r="P29" s="49"/>
      <c r="Q29" s="32"/>
    </row>
    <row r="30" ht="22.5" customHeight="1">
      <c r="B30" s="32"/>
      <c r="C30" s="75"/>
      <c r="D30" s="113"/>
      <c r="E30" s="75"/>
      <c r="F30" s="75"/>
      <c r="G30" s="114"/>
      <c r="H30" s="114"/>
      <c r="I30" s="32"/>
      <c r="J30" s="49"/>
      <c r="K30" s="115"/>
      <c r="L30" s="32"/>
      <c r="M30" s="49"/>
      <c r="N30" s="32"/>
      <c r="O30" s="49"/>
      <c r="P30" s="49"/>
      <c r="Q30" s="32"/>
    </row>
    <row r="31" ht="22.5" customHeight="1">
      <c r="B31" s="32"/>
      <c r="C31" s="75"/>
      <c r="D31" s="113"/>
      <c r="E31" s="75"/>
      <c r="F31" s="75"/>
      <c r="G31" s="114"/>
      <c r="H31" s="114"/>
      <c r="I31" s="32"/>
      <c r="J31" s="49"/>
      <c r="K31" s="115"/>
      <c r="L31" s="32"/>
      <c r="M31" s="49"/>
      <c r="N31" s="32"/>
      <c r="O31" s="49"/>
      <c r="P31" s="49"/>
      <c r="Q31" s="32"/>
    </row>
    <row r="32" ht="22.5" customHeight="1">
      <c r="B32" s="32"/>
      <c r="C32" s="75"/>
      <c r="D32" s="113"/>
      <c r="E32" s="75"/>
      <c r="F32" s="75"/>
      <c r="G32" s="114"/>
      <c r="H32" s="114"/>
      <c r="I32" s="32"/>
      <c r="J32" s="49"/>
      <c r="K32" s="115"/>
      <c r="L32" s="32"/>
      <c r="M32" s="49"/>
      <c r="N32" s="32"/>
      <c r="O32" s="49"/>
      <c r="P32" s="49"/>
      <c r="Q32" s="32"/>
    </row>
    <row r="33" ht="22.5" customHeight="1">
      <c r="B33" s="32"/>
      <c r="C33" s="75"/>
      <c r="D33" s="113"/>
      <c r="E33" s="75"/>
      <c r="F33" s="75"/>
      <c r="G33" s="114"/>
      <c r="H33" s="114"/>
      <c r="I33" s="32"/>
      <c r="J33" s="49"/>
      <c r="K33" s="115"/>
      <c r="L33" s="32"/>
      <c r="M33" s="49"/>
      <c r="N33" s="32"/>
      <c r="O33" s="49"/>
      <c r="P33" s="49"/>
      <c r="Q33" s="32"/>
    </row>
    <row r="34" ht="22.5" customHeight="1">
      <c r="B34" s="32"/>
      <c r="C34" s="75"/>
      <c r="D34" s="113"/>
      <c r="E34" s="75"/>
      <c r="F34" s="75"/>
      <c r="G34" s="114"/>
      <c r="H34" s="114"/>
      <c r="I34" s="32"/>
      <c r="J34" s="49"/>
      <c r="K34" s="115"/>
      <c r="L34" s="32"/>
      <c r="M34" s="49"/>
      <c r="N34" s="32"/>
      <c r="O34" s="49"/>
      <c r="P34" s="49"/>
      <c r="Q34" s="32"/>
    </row>
    <row r="35" ht="22.5" customHeight="1">
      <c r="B35" s="32"/>
      <c r="C35" s="75"/>
      <c r="D35" s="113"/>
      <c r="E35" s="75"/>
      <c r="F35" s="75"/>
      <c r="G35" s="114"/>
      <c r="H35" s="114"/>
      <c r="I35" s="32"/>
      <c r="J35" s="49"/>
      <c r="K35" s="115"/>
      <c r="L35" s="32"/>
      <c r="M35" s="49"/>
      <c r="N35" s="32"/>
      <c r="O35" s="49"/>
      <c r="P35" s="49"/>
      <c r="Q35" s="32"/>
    </row>
    <row r="36" ht="22.5" customHeight="1">
      <c r="B36" s="32"/>
      <c r="C36" s="75"/>
      <c r="D36" s="113"/>
      <c r="E36" s="75"/>
      <c r="F36" s="75"/>
      <c r="G36" s="114"/>
      <c r="H36" s="114"/>
      <c r="I36" s="32"/>
      <c r="J36" s="49"/>
      <c r="K36" s="115"/>
      <c r="L36" s="32"/>
      <c r="M36" s="49"/>
      <c r="N36" s="32"/>
      <c r="O36" s="49"/>
      <c r="P36" s="49"/>
      <c r="Q36" s="32"/>
    </row>
    <row r="37" ht="22.5" customHeight="1">
      <c r="B37" s="32"/>
      <c r="C37" s="75"/>
      <c r="D37" s="113"/>
      <c r="E37" s="75"/>
      <c r="F37" s="75"/>
      <c r="G37" s="114"/>
      <c r="H37" s="114"/>
      <c r="I37" s="32"/>
      <c r="J37" s="49"/>
      <c r="K37" s="115"/>
      <c r="L37" s="32"/>
      <c r="M37" s="49"/>
      <c r="N37" s="32"/>
      <c r="O37" s="49"/>
      <c r="P37" s="49"/>
      <c r="Q37" s="32"/>
    </row>
    <row r="38" ht="22.5" customHeight="1">
      <c r="B38" s="32"/>
      <c r="C38" s="75"/>
      <c r="D38" s="113"/>
      <c r="E38" s="75"/>
      <c r="F38" s="75"/>
      <c r="G38" s="114"/>
      <c r="H38" s="114"/>
      <c r="I38" s="32"/>
      <c r="J38" s="49"/>
      <c r="K38" s="115"/>
      <c r="L38" s="32"/>
      <c r="M38" s="49"/>
      <c r="N38" s="32"/>
      <c r="O38" s="49"/>
      <c r="P38" s="49"/>
      <c r="Q38" s="32"/>
    </row>
    <row r="39" ht="22.5" customHeight="1">
      <c r="B39" s="32"/>
      <c r="C39" s="75"/>
      <c r="D39" s="113"/>
      <c r="E39" s="75"/>
      <c r="F39" s="75"/>
      <c r="G39" s="114"/>
      <c r="H39" s="114"/>
      <c r="I39" s="32"/>
      <c r="J39" s="49"/>
      <c r="K39" s="115"/>
      <c r="L39" s="32"/>
      <c r="M39" s="49"/>
      <c r="N39" s="32"/>
      <c r="O39" s="49"/>
      <c r="P39" s="49"/>
      <c r="Q39" s="32"/>
    </row>
    <row r="40" ht="22.5" customHeight="1">
      <c r="B40" s="32"/>
      <c r="C40" s="75"/>
      <c r="D40" s="113"/>
      <c r="E40" s="75"/>
      <c r="F40" s="75"/>
      <c r="G40" s="114"/>
      <c r="H40" s="114"/>
      <c r="I40" s="32"/>
      <c r="J40" s="49"/>
      <c r="K40" s="115"/>
      <c r="L40" s="32"/>
      <c r="M40" s="49"/>
      <c r="N40" s="32"/>
      <c r="O40" s="49"/>
      <c r="P40" s="49"/>
      <c r="Q40" s="32"/>
    </row>
    <row r="41" ht="22.5" customHeight="1">
      <c r="B41" s="32"/>
      <c r="C41" s="75"/>
      <c r="D41" s="113"/>
      <c r="E41" s="75"/>
      <c r="F41" s="75"/>
      <c r="G41" s="114"/>
      <c r="H41" s="114"/>
      <c r="I41" s="32"/>
      <c r="J41" s="49"/>
      <c r="K41" s="115"/>
      <c r="L41" s="32"/>
      <c r="M41" s="49"/>
      <c r="N41" s="32"/>
      <c r="O41" s="49"/>
      <c r="P41" s="49"/>
      <c r="Q41" s="32"/>
    </row>
    <row r="42" ht="22.5" customHeight="1">
      <c r="B42" s="32"/>
      <c r="C42" s="75"/>
      <c r="D42" s="113"/>
      <c r="E42" s="75"/>
      <c r="F42" s="75"/>
      <c r="G42" s="114"/>
      <c r="H42" s="114"/>
      <c r="I42" s="32"/>
      <c r="J42" s="49"/>
      <c r="K42" s="115"/>
      <c r="L42" s="32"/>
      <c r="M42" s="49"/>
      <c r="N42" s="32"/>
      <c r="O42" s="49"/>
      <c r="P42" s="49"/>
      <c r="Q42" s="32"/>
    </row>
    <row r="43" ht="22.5" customHeight="1">
      <c r="B43" s="32"/>
      <c r="C43" s="75"/>
      <c r="D43" s="113"/>
      <c r="E43" s="75"/>
      <c r="F43" s="75"/>
      <c r="G43" s="114"/>
      <c r="H43" s="114"/>
      <c r="I43" s="32"/>
      <c r="J43" s="49"/>
      <c r="K43" s="115"/>
      <c r="L43" s="32"/>
      <c r="M43" s="49"/>
      <c r="N43" s="32"/>
      <c r="O43" s="49"/>
      <c r="P43" s="49"/>
      <c r="Q43" s="32"/>
    </row>
    <row r="44" ht="22.5" customHeight="1">
      <c r="B44" s="32"/>
      <c r="C44" s="75"/>
      <c r="D44" s="113"/>
      <c r="E44" s="75"/>
      <c r="F44" s="75"/>
      <c r="G44" s="114"/>
      <c r="H44" s="114"/>
      <c r="I44" s="32"/>
      <c r="J44" s="49"/>
      <c r="K44" s="115"/>
      <c r="L44" s="32"/>
      <c r="M44" s="49"/>
      <c r="N44" s="32"/>
      <c r="O44" s="49"/>
      <c r="P44" s="49"/>
      <c r="Q44" s="32"/>
    </row>
    <row r="45" ht="22.5" customHeight="1">
      <c r="B45" s="32"/>
      <c r="C45" s="75"/>
      <c r="D45" s="113"/>
      <c r="E45" s="75"/>
      <c r="F45" s="75"/>
      <c r="G45" s="114"/>
      <c r="H45" s="114"/>
      <c r="I45" s="32"/>
      <c r="J45" s="49"/>
      <c r="K45" s="115"/>
      <c r="L45" s="32"/>
      <c r="M45" s="49"/>
      <c r="N45" s="32"/>
      <c r="O45" s="49"/>
      <c r="P45" s="49"/>
      <c r="Q45" s="32"/>
    </row>
    <row r="46" ht="22.5" customHeight="1">
      <c r="B46" s="32"/>
      <c r="C46" s="75"/>
      <c r="D46" s="113"/>
      <c r="E46" s="75"/>
      <c r="F46" s="75"/>
      <c r="G46" s="114"/>
      <c r="H46" s="114"/>
      <c r="I46" s="32"/>
      <c r="J46" s="49"/>
      <c r="K46" s="115"/>
      <c r="L46" s="32"/>
      <c r="M46" s="49"/>
      <c r="N46" s="32"/>
      <c r="O46" s="49"/>
      <c r="P46" s="49"/>
      <c r="Q46" s="32"/>
    </row>
    <row r="47" ht="22.5" customHeight="1">
      <c r="B47" s="32"/>
      <c r="C47" s="75"/>
      <c r="D47" s="113"/>
      <c r="E47" s="75"/>
      <c r="F47" s="75"/>
      <c r="G47" s="114"/>
      <c r="H47" s="114"/>
      <c r="I47" s="32"/>
      <c r="J47" s="49"/>
      <c r="K47" s="115"/>
      <c r="L47" s="32"/>
      <c r="M47" s="49"/>
      <c r="N47" s="32"/>
      <c r="O47" s="49"/>
      <c r="P47" s="49"/>
      <c r="Q47" s="32"/>
    </row>
    <row r="48" ht="22.5" customHeight="1">
      <c r="B48" s="32"/>
      <c r="C48" s="75"/>
      <c r="D48" s="113"/>
      <c r="E48" s="75"/>
      <c r="F48" s="75"/>
      <c r="G48" s="114"/>
      <c r="H48" s="114"/>
      <c r="I48" s="32"/>
      <c r="J48" s="49"/>
      <c r="K48" s="115"/>
      <c r="L48" s="32"/>
      <c r="M48" s="49"/>
      <c r="N48" s="32"/>
      <c r="O48" s="49"/>
      <c r="P48" s="49"/>
      <c r="Q48" s="32"/>
    </row>
    <row r="49" ht="22.5" customHeight="1">
      <c r="B49" s="32"/>
      <c r="C49" s="75"/>
      <c r="D49" s="113"/>
      <c r="E49" s="75"/>
      <c r="F49" s="75"/>
      <c r="G49" s="114"/>
      <c r="H49" s="114"/>
      <c r="I49" s="32"/>
      <c r="J49" s="49"/>
      <c r="K49" s="115"/>
      <c r="L49" s="32"/>
      <c r="M49" s="49"/>
      <c r="N49" s="32"/>
      <c r="O49" s="49"/>
      <c r="P49" s="49"/>
      <c r="Q49" s="32"/>
    </row>
    <row r="50" ht="22.5" customHeight="1">
      <c r="B50" s="32"/>
      <c r="C50" s="75"/>
      <c r="D50" s="113"/>
      <c r="E50" s="75"/>
      <c r="F50" s="75"/>
      <c r="G50" s="114"/>
      <c r="H50" s="114"/>
      <c r="I50" s="32"/>
      <c r="J50" s="49"/>
      <c r="K50" s="115"/>
      <c r="L50" s="32"/>
      <c r="M50" s="49"/>
      <c r="N50" s="32"/>
      <c r="O50" s="49"/>
      <c r="P50" s="49"/>
      <c r="Q50" s="32"/>
    </row>
    <row r="51" ht="22.5" customHeight="1">
      <c r="B51" s="32"/>
      <c r="C51" s="75"/>
      <c r="D51" s="113"/>
      <c r="E51" s="75"/>
      <c r="F51" s="75"/>
      <c r="G51" s="114"/>
      <c r="H51" s="114"/>
      <c r="I51" s="32"/>
      <c r="J51" s="49"/>
      <c r="K51" s="115"/>
      <c r="L51" s="32"/>
      <c r="M51" s="49"/>
      <c r="N51" s="32"/>
      <c r="O51" s="49"/>
      <c r="P51" s="49"/>
      <c r="Q51" s="32"/>
    </row>
    <row r="52" ht="22.5" customHeight="1">
      <c r="B52" s="32"/>
      <c r="C52" s="75"/>
      <c r="D52" s="113"/>
      <c r="E52" s="75"/>
      <c r="F52" s="75"/>
      <c r="G52" s="114"/>
      <c r="H52" s="114"/>
      <c r="I52" s="32"/>
      <c r="J52" s="49"/>
      <c r="K52" s="115"/>
      <c r="L52" s="32"/>
      <c r="M52" s="49"/>
      <c r="N52" s="32"/>
      <c r="O52" s="49"/>
      <c r="P52" s="49"/>
      <c r="Q52" s="3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22.63"/>
    <col customWidth="1" min="9" max="9" width="19.25"/>
    <col customWidth="1" min="10" max="10" width="22.88"/>
    <col customWidth="1" min="11" max="11" width="17.0"/>
    <col customWidth="1" min="12" max="12" width="14.25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5" t="s">
        <v>6</v>
      </c>
      <c r="E3" s="7" t="s">
        <v>8</v>
      </c>
      <c r="F3" s="7" t="s">
        <v>11</v>
      </c>
      <c r="G3" s="8" t="s">
        <v>13</v>
      </c>
      <c r="H3" s="7" t="s">
        <v>16</v>
      </c>
      <c r="I3" s="7" t="s">
        <v>17</v>
      </c>
      <c r="J3" s="7" t="s">
        <v>18</v>
      </c>
      <c r="K3" s="7" t="s">
        <v>20</v>
      </c>
      <c r="L3" s="7" t="s">
        <v>21</v>
      </c>
      <c r="M3" s="7" t="s">
        <v>23</v>
      </c>
      <c r="N3" s="7" t="s">
        <v>24</v>
      </c>
    </row>
    <row r="4" ht="26.25" customHeight="1">
      <c r="D4" s="10" t="s">
        <v>26</v>
      </c>
      <c r="E4" s="11">
        <v>1000000.0</v>
      </c>
      <c r="F4" s="13">
        <f>SUMIFS(OPI_2[MAF NETO],OPI_2[ESTADO],"Desembolsado")</f>
        <v>0</v>
      </c>
      <c r="G4" s="13">
        <f>F4-E4</f>
        <v>-1000000</v>
      </c>
      <c r="H4" s="15">
        <f>SUMIFS(OPI_2[MAF NETO],OPI_2[ESTADO],H$3)</f>
        <v>0</v>
      </c>
      <c r="I4" s="15">
        <f>SUMIFS(OPI_2[MAF NETO],OPI_2[ESTADO],I$3)</f>
        <v>0</v>
      </c>
      <c r="J4" s="15">
        <f>SUMIFS(OPI_2[MAF NETO],OPI_2[ESTADO],J$3)</f>
        <v>0</v>
      </c>
      <c r="K4" s="15">
        <f>SUMIFS(OPI_2[MAF NETO],OPI_2[ESTADO],K$3)</f>
        <v>323000</v>
      </c>
      <c r="L4" s="15">
        <f>SUMIFS(OPI_2[MAF NETO],OPI_2[ESTADO],L$3)</f>
        <v>0</v>
      </c>
      <c r="M4" s="15">
        <f>SUMIFS(OPI_2[MAF NETO],OPI_2[ESTADO],M$3)</f>
        <v>0</v>
      </c>
      <c r="N4" s="15">
        <f>SUMIFS(OPI_2[MAF NETO],OPI_2[ESTADO],N$3)</f>
        <v>0</v>
      </c>
    </row>
    <row r="5" ht="26.25" customHeight="1">
      <c r="D5" s="17" t="s">
        <v>28</v>
      </c>
      <c r="E5" s="18" t="s">
        <v>29</v>
      </c>
      <c r="F5" s="19">
        <f>COUNTIFS(OPI_2[ESTADO],"Desembolsado")</f>
        <v>0</v>
      </c>
      <c r="G5" s="20">
        <f>IFERROR(F4/E4,"")</f>
        <v>0</v>
      </c>
      <c r="H5" s="19">
        <f>COUNTIFS(OPI_2[ESTADO],H$3)</f>
        <v>0</v>
      </c>
      <c r="I5" s="19">
        <f>COUNTIFS(OPI_2[ESTADO],I$3)</f>
        <v>0</v>
      </c>
      <c r="J5" s="19">
        <f>COUNTIFS(OPI_2[ESTADO],J$3)</f>
        <v>0</v>
      </c>
      <c r="K5" s="19">
        <f>COUNTIFS(OPI_2[ESTADO],K$3)</f>
        <v>4</v>
      </c>
      <c r="L5" s="19">
        <f>COUNTIFS(OPI_2[ESTADO],L$3)</f>
        <v>0</v>
      </c>
      <c r="M5" s="19">
        <f>COUNTIFS(OPI_2[ESTADO],M$3)</f>
        <v>0</v>
      </c>
      <c r="N5" s="19">
        <f>COUNTIFS(OPI_2[ESTADO],N$3)</f>
        <v>0</v>
      </c>
    </row>
    <row r="9" ht="22.5" customHeight="1">
      <c r="A9" s="21"/>
      <c r="B9" s="22" t="s">
        <v>31</v>
      </c>
      <c r="C9" s="22" t="s">
        <v>33</v>
      </c>
      <c r="D9" s="23" t="s">
        <v>34</v>
      </c>
      <c r="E9" s="22" t="s">
        <v>35</v>
      </c>
      <c r="F9" s="22" t="s">
        <v>36</v>
      </c>
      <c r="G9" s="22" t="s">
        <v>37</v>
      </c>
      <c r="H9" s="22" t="s">
        <v>38</v>
      </c>
      <c r="I9" s="22" t="s">
        <v>39</v>
      </c>
      <c r="J9" s="23" t="s">
        <v>40</v>
      </c>
      <c r="K9" s="22" t="s">
        <v>41</v>
      </c>
      <c r="L9" s="22" t="s">
        <v>42</v>
      </c>
      <c r="M9" s="23" t="s">
        <v>44</v>
      </c>
      <c r="N9" s="22" t="s">
        <v>45</v>
      </c>
      <c r="O9" s="23" t="s">
        <v>46</v>
      </c>
      <c r="P9" s="23" t="s">
        <v>47</v>
      </c>
      <c r="Q9" s="22" t="s">
        <v>48</v>
      </c>
    </row>
    <row r="10" ht="22.5" customHeight="1">
      <c r="B10" s="24"/>
      <c r="C10" s="25">
        <v>46223.0</v>
      </c>
      <c r="D10" s="26" t="s">
        <v>58</v>
      </c>
      <c r="E10" s="25">
        <v>46233.0</v>
      </c>
      <c r="F10" s="25"/>
      <c r="G10" s="27" t="s">
        <v>857</v>
      </c>
      <c r="H10" s="27" t="s">
        <v>859</v>
      </c>
      <c r="I10" s="24" t="s">
        <v>64</v>
      </c>
      <c r="J10" s="26" t="s">
        <v>20</v>
      </c>
      <c r="K10" s="28">
        <v>83500.0</v>
      </c>
      <c r="L10" s="24" t="s">
        <v>860</v>
      </c>
      <c r="M10" s="113"/>
      <c r="N10" s="32"/>
      <c r="O10" s="113"/>
      <c r="P10" s="49"/>
      <c r="Q10" s="24"/>
    </row>
    <row r="11" ht="22.5" customHeight="1">
      <c r="B11" s="24"/>
      <c r="C11" s="25">
        <v>46233.0</v>
      </c>
      <c r="D11" s="26" t="s">
        <v>58</v>
      </c>
      <c r="E11" s="25"/>
      <c r="F11" s="25"/>
      <c r="G11" s="27" t="s">
        <v>864</v>
      </c>
      <c r="H11" s="27" t="s">
        <v>865</v>
      </c>
      <c r="I11" s="24" t="s">
        <v>64</v>
      </c>
      <c r="J11" s="26" t="s">
        <v>20</v>
      </c>
      <c r="K11" s="28">
        <v>87700.0</v>
      </c>
      <c r="L11" s="24" t="s">
        <v>866</v>
      </c>
      <c r="M11" s="113"/>
      <c r="N11" s="32"/>
      <c r="O11" s="113"/>
      <c r="P11" s="49"/>
      <c r="Q11" s="32"/>
    </row>
    <row r="12" ht="22.5" customHeight="1">
      <c r="B12" s="24"/>
      <c r="C12" s="25">
        <v>46233.0</v>
      </c>
      <c r="D12" s="26" t="s">
        <v>247</v>
      </c>
      <c r="E12" s="75"/>
      <c r="F12" s="75"/>
      <c r="G12" s="27" t="s">
        <v>867</v>
      </c>
      <c r="H12" s="27" t="s">
        <v>868</v>
      </c>
      <c r="I12" s="24" t="s">
        <v>64</v>
      </c>
      <c r="J12" s="26" t="s">
        <v>20</v>
      </c>
      <c r="K12" s="28">
        <v>53600.0</v>
      </c>
      <c r="L12" s="24" t="s">
        <v>866</v>
      </c>
      <c r="M12" s="113"/>
      <c r="N12" s="32"/>
      <c r="O12" s="113"/>
      <c r="P12" s="49"/>
      <c r="Q12" s="32"/>
    </row>
    <row r="13" ht="22.5" customHeight="1">
      <c r="B13" s="24"/>
      <c r="C13" s="25">
        <v>46233.0</v>
      </c>
      <c r="D13" s="26" t="s">
        <v>58</v>
      </c>
      <c r="E13" s="75"/>
      <c r="F13" s="75"/>
      <c r="G13" s="27" t="s">
        <v>869</v>
      </c>
      <c r="H13" s="27" t="s">
        <v>870</v>
      </c>
      <c r="I13" s="24" t="s">
        <v>109</v>
      </c>
      <c r="J13" s="26" t="s">
        <v>20</v>
      </c>
      <c r="K13" s="28">
        <v>98200.0</v>
      </c>
      <c r="L13" s="24" t="s">
        <v>866</v>
      </c>
      <c r="M13" s="113"/>
      <c r="N13" s="32"/>
      <c r="O13" s="113"/>
      <c r="P13" s="49"/>
      <c r="Q13" s="32"/>
    </row>
    <row r="14" ht="22.5" customHeight="1">
      <c r="B14" s="24"/>
      <c r="C14" s="25"/>
      <c r="D14" s="113"/>
      <c r="E14" s="75"/>
      <c r="F14" s="75"/>
      <c r="G14" s="27"/>
      <c r="H14" s="27"/>
      <c r="I14" s="32"/>
      <c r="J14" s="49"/>
      <c r="K14" s="115"/>
      <c r="L14" s="32"/>
      <c r="M14" s="49"/>
      <c r="N14" s="32"/>
      <c r="O14" s="49"/>
      <c r="P14" s="49"/>
      <c r="Q14" s="32"/>
    </row>
    <row r="15" ht="22.5" customHeight="1">
      <c r="B15" s="32"/>
      <c r="C15" s="75"/>
      <c r="D15" s="113"/>
      <c r="E15" s="75"/>
      <c r="F15" s="75"/>
      <c r="G15" s="114"/>
      <c r="H15" s="114"/>
      <c r="I15" s="32"/>
      <c r="J15" s="49"/>
      <c r="K15" s="115"/>
      <c r="L15" s="32"/>
      <c r="M15" s="49"/>
      <c r="N15" s="32"/>
      <c r="O15" s="49"/>
      <c r="P15" s="49"/>
      <c r="Q15" s="32"/>
    </row>
    <row r="16" ht="22.5" customHeight="1">
      <c r="B16" s="32"/>
      <c r="C16" s="75"/>
      <c r="D16" s="113"/>
      <c r="E16" s="75"/>
      <c r="F16" s="75"/>
      <c r="G16" s="114"/>
      <c r="H16" s="114"/>
      <c r="I16" s="32"/>
      <c r="J16" s="49"/>
      <c r="K16" s="115"/>
      <c r="L16" s="32"/>
      <c r="M16" s="49"/>
      <c r="N16" s="32"/>
      <c r="O16" s="49"/>
      <c r="P16" s="49"/>
      <c r="Q16" s="32"/>
    </row>
    <row r="17" ht="22.5" customHeight="1">
      <c r="B17" s="32"/>
      <c r="C17" s="75"/>
      <c r="D17" s="113"/>
      <c r="E17" s="75"/>
      <c r="F17" s="75"/>
      <c r="G17" s="114"/>
      <c r="H17" s="114"/>
      <c r="I17" s="32"/>
      <c r="J17" s="49"/>
      <c r="K17" s="115"/>
      <c r="L17" s="32"/>
      <c r="M17" s="49"/>
      <c r="N17" s="32"/>
      <c r="O17" s="49"/>
      <c r="P17" s="49"/>
      <c r="Q17" s="32"/>
    </row>
    <row r="18" ht="22.5" customHeight="1">
      <c r="B18" s="32"/>
      <c r="C18" s="75"/>
      <c r="D18" s="113"/>
      <c r="E18" s="75"/>
      <c r="F18" s="75"/>
      <c r="G18" s="114"/>
      <c r="H18" s="114"/>
      <c r="I18" s="32"/>
      <c r="J18" s="49"/>
      <c r="K18" s="115"/>
      <c r="L18" s="32"/>
      <c r="M18" s="49"/>
      <c r="N18" s="32"/>
      <c r="O18" s="49"/>
      <c r="P18" s="49"/>
      <c r="Q18" s="32"/>
    </row>
    <row r="19" ht="22.5" customHeight="1">
      <c r="B19" s="32"/>
      <c r="C19" s="75"/>
      <c r="D19" s="113"/>
      <c r="E19" s="75"/>
      <c r="F19" s="75"/>
      <c r="G19" s="114"/>
      <c r="H19" s="114"/>
      <c r="I19" s="32"/>
      <c r="J19" s="49"/>
      <c r="K19" s="115"/>
      <c r="L19" s="32"/>
      <c r="M19" s="49"/>
      <c r="N19" s="32"/>
      <c r="O19" s="49"/>
      <c r="P19" s="49"/>
      <c r="Q19" s="32"/>
    </row>
    <row r="20" ht="22.5" customHeight="1">
      <c r="B20" s="32"/>
      <c r="C20" s="75"/>
      <c r="D20" s="113"/>
      <c r="E20" s="75"/>
      <c r="F20" s="75"/>
      <c r="G20" s="114"/>
      <c r="H20" s="114"/>
      <c r="I20" s="32"/>
      <c r="J20" s="49"/>
      <c r="K20" s="115"/>
      <c r="L20" s="32"/>
      <c r="M20" s="49"/>
      <c r="N20" s="32"/>
      <c r="O20" s="49"/>
      <c r="P20" s="49"/>
      <c r="Q20" s="32"/>
    </row>
    <row r="21" ht="22.5" customHeight="1">
      <c r="B21" s="32"/>
      <c r="C21" s="75"/>
      <c r="D21" s="113"/>
      <c r="E21" s="75"/>
      <c r="F21" s="75"/>
      <c r="G21" s="114"/>
      <c r="H21" s="114"/>
      <c r="I21" s="32"/>
      <c r="J21" s="49"/>
      <c r="K21" s="115"/>
      <c r="L21" s="32"/>
      <c r="M21" s="49"/>
      <c r="N21" s="32"/>
      <c r="O21" s="49"/>
      <c r="P21" s="49"/>
      <c r="Q21" s="32"/>
    </row>
    <row r="22" ht="22.5" customHeight="1">
      <c r="B22" s="32"/>
      <c r="C22" s="75"/>
      <c r="D22" s="113"/>
      <c r="E22" s="75"/>
      <c r="F22" s="75"/>
      <c r="G22" s="114"/>
      <c r="H22" s="114"/>
      <c r="I22" s="32"/>
      <c r="J22" s="49"/>
      <c r="K22" s="115"/>
      <c r="L22" s="32"/>
      <c r="M22" s="49"/>
      <c r="N22" s="32"/>
      <c r="O22" s="49"/>
      <c r="P22" s="49"/>
      <c r="Q22" s="32"/>
    </row>
    <row r="23" ht="22.5" customHeight="1">
      <c r="B23" s="32"/>
      <c r="C23" s="75"/>
      <c r="D23" s="113"/>
      <c r="E23" s="75"/>
      <c r="F23" s="75"/>
      <c r="G23" s="114"/>
      <c r="H23" s="114"/>
      <c r="I23" s="32"/>
      <c r="J23" s="49"/>
      <c r="K23" s="115"/>
      <c r="L23" s="32"/>
      <c r="M23" s="49"/>
      <c r="N23" s="32"/>
      <c r="O23" s="49"/>
      <c r="P23" s="49"/>
      <c r="Q23" s="32"/>
    </row>
    <row r="24" ht="22.5" customHeight="1">
      <c r="B24" s="32"/>
      <c r="C24" s="75"/>
      <c r="D24" s="113"/>
      <c r="E24" s="75"/>
      <c r="F24" s="75"/>
      <c r="G24" s="114"/>
      <c r="H24" s="114"/>
      <c r="I24" s="32"/>
      <c r="J24" s="49"/>
      <c r="K24" s="115"/>
      <c r="L24" s="32"/>
      <c r="M24" s="49"/>
      <c r="N24" s="32"/>
      <c r="O24" s="49"/>
      <c r="P24" s="49"/>
      <c r="Q24" s="32"/>
    </row>
    <row r="25" ht="22.5" customHeight="1">
      <c r="B25" s="32"/>
      <c r="C25" s="75"/>
      <c r="D25" s="113"/>
      <c r="E25" s="75"/>
      <c r="F25" s="75"/>
      <c r="G25" s="114"/>
      <c r="H25" s="114"/>
      <c r="I25" s="32"/>
      <c r="J25" s="49"/>
      <c r="K25" s="115"/>
      <c r="L25" s="32"/>
      <c r="M25" s="49"/>
      <c r="N25" s="32"/>
      <c r="O25" s="49"/>
      <c r="P25" s="49"/>
      <c r="Q25" s="32"/>
    </row>
    <row r="26" ht="22.5" customHeight="1">
      <c r="B26" s="32"/>
      <c r="C26" s="75"/>
      <c r="D26" s="113"/>
      <c r="E26" s="75"/>
      <c r="F26" s="75"/>
      <c r="G26" s="114"/>
      <c r="H26" s="114"/>
      <c r="I26" s="32"/>
      <c r="J26" s="49"/>
      <c r="K26" s="115"/>
      <c r="L26" s="32"/>
      <c r="M26" s="49"/>
      <c r="N26" s="32"/>
      <c r="O26" s="49"/>
      <c r="P26" s="49"/>
      <c r="Q26" s="32"/>
    </row>
    <row r="27" ht="22.5" customHeight="1">
      <c r="B27" s="32"/>
      <c r="C27" s="75"/>
      <c r="D27" s="113"/>
      <c r="E27" s="75"/>
      <c r="F27" s="75"/>
      <c r="G27" s="114"/>
      <c r="H27" s="114"/>
      <c r="I27" s="32"/>
      <c r="J27" s="49"/>
      <c r="K27" s="115"/>
      <c r="L27" s="32"/>
      <c r="M27" s="49"/>
      <c r="N27" s="32"/>
      <c r="O27" s="49"/>
      <c r="P27" s="49"/>
      <c r="Q27" s="32"/>
    </row>
    <row r="28" ht="22.5" customHeight="1">
      <c r="B28" s="32"/>
      <c r="C28" s="75"/>
      <c r="D28" s="113"/>
      <c r="E28" s="75"/>
      <c r="F28" s="75"/>
      <c r="G28" s="114"/>
      <c r="H28" s="114"/>
      <c r="I28" s="32"/>
      <c r="J28" s="49"/>
      <c r="K28" s="115"/>
      <c r="L28" s="32"/>
      <c r="M28" s="49"/>
      <c r="N28" s="32"/>
      <c r="O28" s="49"/>
      <c r="P28" s="49"/>
      <c r="Q28" s="32"/>
    </row>
    <row r="29" ht="22.5" customHeight="1">
      <c r="B29" s="32"/>
      <c r="C29" s="75"/>
      <c r="D29" s="113"/>
      <c r="E29" s="75"/>
      <c r="F29" s="75"/>
      <c r="G29" s="114"/>
      <c r="H29" s="114"/>
      <c r="I29" s="32"/>
      <c r="J29" s="49"/>
      <c r="K29" s="115"/>
      <c r="L29" s="32"/>
      <c r="M29" s="49"/>
      <c r="N29" s="32"/>
      <c r="O29" s="49"/>
      <c r="P29" s="49"/>
      <c r="Q29" s="32"/>
    </row>
    <row r="30" ht="22.5" customHeight="1">
      <c r="B30" s="32"/>
      <c r="C30" s="75"/>
      <c r="D30" s="113"/>
      <c r="E30" s="75"/>
      <c r="F30" s="75"/>
      <c r="G30" s="114"/>
      <c r="H30" s="114"/>
      <c r="I30" s="32"/>
      <c r="J30" s="49"/>
      <c r="K30" s="115"/>
      <c r="L30" s="32"/>
      <c r="M30" s="49"/>
      <c r="N30" s="32"/>
      <c r="O30" s="49"/>
      <c r="P30" s="49"/>
      <c r="Q30" s="32"/>
    </row>
    <row r="31" ht="22.5" customHeight="1">
      <c r="B31" s="32"/>
      <c r="C31" s="75"/>
      <c r="D31" s="113"/>
      <c r="E31" s="75"/>
      <c r="F31" s="75"/>
      <c r="G31" s="114"/>
      <c r="H31" s="114"/>
      <c r="I31" s="32"/>
      <c r="J31" s="49"/>
      <c r="K31" s="115"/>
      <c r="L31" s="32"/>
      <c r="M31" s="49"/>
      <c r="N31" s="32"/>
      <c r="O31" s="49"/>
      <c r="P31" s="49"/>
      <c r="Q31" s="32"/>
    </row>
    <row r="32" ht="22.5" customHeight="1">
      <c r="B32" s="32"/>
      <c r="C32" s="75"/>
      <c r="D32" s="113"/>
      <c r="E32" s="75"/>
      <c r="F32" s="75"/>
      <c r="G32" s="114"/>
      <c r="H32" s="114"/>
      <c r="I32" s="32"/>
      <c r="J32" s="49"/>
      <c r="K32" s="115"/>
      <c r="L32" s="32"/>
      <c r="M32" s="49"/>
      <c r="N32" s="32"/>
      <c r="O32" s="49"/>
      <c r="P32" s="49"/>
      <c r="Q32" s="32"/>
    </row>
    <row r="33" ht="22.5" customHeight="1">
      <c r="B33" s="32"/>
      <c r="C33" s="75"/>
      <c r="D33" s="113"/>
      <c r="E33" s="75"/>
      <c r="F33" s="75"/>
      <c r="G33" s="114"/>
      <c r="H33" s="114"/>
      <c r="I33" s="32"/>
      <c r="J33" s="49"/>
      <c r="K33" s="115"/>
      <c r="L33" s="32"/>
      <c r="M33" s="49"/>
      <c r="N33" s="32"/>
      <c r="O33" s="49"/>
      <c r="P33" s="49"/>
      <c r="Q33" s="32"/>
    </row>
    <row r="34" ht="22.5" customHeight="1">
      <c r="B34" s="32"/>
      <c r="C34" s="75"/>
      <c r="D34" s="113"/>
      <c r="E34" s="75"/>
      <c r="F34" s="75"/>
      <c r="G34" s="114"/>
      <c r="H34" s="114"/>
      <c r="I34" s="32"/>
      <c r="J34" s="49"/>
      <c r="K34" s="115"/>
      <c r="L34" s="32"/>
      <c r="M34" s="49"/>
      <c r="N34" s="32"/>
      <c r="O34" s="49"/>
      <c r="P34" s="49"/>
      <c r="Q34" s="32"/>
    </row>
    <row r="35" ht="22.5" customHeight="1">
      <c r="B35" s="32"/>
      <c r="C35" s="75"/>
      <c r="D35" s="113"/>
      <c r="E35" s="75"/>
      <c r="F35" s="75"/>
      <c r="G35" s="114"/>
      <c r="H35" s="114"/>
      <c r="I35" s="32"/>
      <c r="J35" s="49"/>
      <c r="K35" s="115"/>
      <c r="L35" s="32"/>
      <c r="M35" s="49"/>
      <c r="N35" s="32"/>
      <c r="O35" s="49"/>
      <c r="P35" s="49"/>
      <c r="Q35" s="32"/>
    </row>
    <row r="36" ht="22.5" customHeight="1">
      <c r="B36" s="32"/>
      <c r="C36" s="75"/>
      <c r="D36" s="113"/>
      <c r="E36" s="75"/>
      <c r="F36" s="75"/>
      <c r="G36" s="114"/>
      <c r="H36" s="114"/>
      <c r="I36" s="32"/>
      <c r="J36" s="49"/>
      <c r="K36" s="115"/>
      <c r="L36" s="32"/>
      <c r="M36" s="49"/>
      <c r="N36" s="32"/>
      <c r="O36" s="49"/>
      <c r="P36" s="49"/>
      <c r="Q36" s="32"/>
    </row>
    <row r="37" ht="22.5" customHeight="1">
      <c r="B37" s="32"/>
      <c r="C37" s="75"/>
      <c r="D37" s="113"/>
      <c r="E37" s="75"/>
      <c r="F37" s="75"/>
      <c r="G37" s="114"/>
      <c r="H37" s="114"/>
      <c r="I37" s="32"/>
      <c r="J37" s="49"/>
      <c r="K37" s="115"/>
      <c r="L37" s="32"/>
      <c r="M37" s="49"/>
      <c r="N37" s="32"/>
      <c r="O37" s="49"/>
      <c r="P37" s="49"/>
      <c r="Q37" s="32"/>
    </row>
    <row r="38" ht="22.5" customHeight="1">
      <c r="B38" s="32"/>
      <c r="C38" s="75"/>
      <c r="D38" s="113"/>
      <c r="E38" s="75"/>
      <c r="F38" s="75"/>
      <c r="G38" s="114"/>
      <c r="H38" s="114"/>
      <c r="I38" s="32"/>
      <c r="J38" s="49"/>
      <c r="K38" s="115"/>
      <c r="L38" s="32"/>
      <c r="M38" s="49"/>
      <c r="N38" s="32"/>
      <c r="O38" s="49"/>
      <c r="P38" s="49"/>
      <c r="Q38" s="32"/>
    </row>
    <row r="39" ht="22.5" customHeight="1">
      <c r="B39" s="32"/>
      <c r="C39" s="75"/>
      <c r="D39" s="113"/>
      <c r="E39" s="75"/>
      <c r="F39" s="75"/>
      <c r="G39" s="114"/>
      <c r="H39" s="114"/>
      <c r="I39" s="32"/>
      <c r="J39" s="49"/>
      <c r="K39" s="115"/>
      <c r="L39" s="32"/>
      <c r="M39" s="49"/>
      <c r="N39" s="32"/>
      <c r="O39" s="49"/>
      <c r="P39" s="49"/>
      <c r="Q39" s="32"/>
    </row>
    <row r="40" ht="22.5" customHeight="1">
      <c r="B40" s="32"/>
      <c r="C40" s="75"/>
      <c r="D40" s="113"/>
      <c r="E40" s="75"/>
      <c r="F40" s="75"/>
      <c r="G40" s="114"/>
      <c r="H40" s="114"/>
      <c r="I40" s="32"/>
      <c r="J40" s="49"/>
      <c r="K40" s="115"/>
      <c r="L40" s="32"/>
      <c r="M40" s="49"/>
      <c r="N40" s="32"/>
      <c r="O40" s="49"/>
      <c r="P40" s="49"/>
      <c r="Q40" s="32"/>
    </row>
    <row r="41" ht="22.5" customHeight="1">
      <c r="B41" s="32"/>
      <c r="C41" s="75"/>
      <c r="D41" s="113"/>
      <c r="E41" s="75"/>
      <c r="F41" s="75"/>
      <c r="G41" s="114"/>
      <c r="H41" s="114"/>
      <c r="I41" s="32"/>
      <c r="J41" s="49"/>
      <c r="K41" s="115"/>
      <c r="L41" s="32"/>
      <c r="M41" s="49"/>
      <c r="N41" s="32"/>
      <c r="O41" s="49"/>
      <c r="P41" s="49"/>
      <c r="Q41" s="32"/>
    </row>
    <row r="42" ht="22.5" customHeight="1">
      <c r="B42" s="32"/>
      <c r="C42" s="75"/>
      <c r="D42" s="113"/>
      <c r="E42" s="75"/>
      <c r="F42" s="75"/>
      <c r="G42" s="114"/>
      <c r="H42" s="114"/>
      <c r="I42" s="32"/>
      <c r="J42" s="49"/>
      <c r="K42" s="115"/>
      <c r="L42" s="32"/>
      <c r="M42" s="49"/>
      <c r="N42" s="32"/>
      <c r="O42" s="49"/>
      <c r="P42" s="49"/>
      <c r="Q42" s="32"/>
    </row>
    <row r="43" ht="22.5" customHeight="1">
      <c r="B43" s="32"/>
      <c r="C43" s="75"/>
      <c r="D43" s="113"/>
      <c r="E43" s="75"/>
      <c r="F43" s="75"/>
      <c r="G43" s="114"/>
      <c r="H43" s="114"/>
      <c r="I43" s="32"/>
      <c r="J43" s="49"/>
      <c r="K43" s="115"/>
      <c r="L43" s="32"/>
      <c r="M43" s="49"/>
      <c r="N43" s="32"/>
      <c r="O43" s="49"/>
      <c r="P43" s="49"/>
      <c r="Q43" s="32"/>
    </row>
    <row r="44" ht="22.5" customHeight="1">
      <c r="B44" s="32"/>
      <c r="C44" s="75"/>
      <c r="D44" s="113"/>
      <c r="E44" s="75"/>
      <c r="F44" s="75"/>
      <c r="G44" s="114"/>
      <c r="H44" s="114"/>
      <c r="I44" s="32"/>
      <c r="J44" s="49"/>
      <c r="K44" s="115"/>
      <c r="L44" s="32"/>
      <c r="M44" s="49"/>
      <c r="N44" s="32"/>
      <c r="O44" s="49"/>
      <c r="P44" s="49"/>
      <c r="Q44" s="32"/>
    </row>
    <row r="45" ht="22.5" customHeight="1">
      <c r="B45" s="32"/>
      <c r="C45" s="75"/>
      <c r="D45" s="113"/>
      <c r="E45" s="75"/>
      <c r="F45" s="75"/>
      <c r="G45" s="114"/>
      <c r="H45" s="114"/>
      <c r="I45" s="32"/>
      <c r="J45" s="49"/>
      <c r="K45" s="115"/>
      <c r="L45" s="32"/>
      <c r="M45" s="49"/>
      <c r="N45" s="32"/>
      <c r="O45" s="49"/>
      <c r="P45" s="49"/>
      <c r="Q45" s="32"/>
    </row>
    <row r="46" ht="22.5" customHeight="1">
      <c r="B46" s="32"/>
      <c r="C46" s="75"/>
      <c r="D46" s="113"/>
      <c r="E46" s="75"/>
      <c r="F46" s="75"/>
      <c r="G46" s="114"/>
      <c r="H46" s="114"/>
      <c r="I46" s="32"/>
      <c r="J46" s="49"/>
      <c r="K46" s="115"/>
      <c r="L46" s="32"/>
      <c r="M46" s="49"/>
      <c r="N46" s="32"/>
      <c r="O46" s="49"/>
      <c r="P46" s="49"/>
      <c r="Q46" s="32"/>
    </row>
    <row r="47" ht="22.5" customHeight="1">
      <c r="B47" s="32"/>
      <c r="C47" s="75"/>
      <c r="D47" s="113"/>
      <c r="E47" s="75"/>
      <c r="F47" s="75"/>
      <c r="G47" s="114"/>
      <c r="H47" s="114"/>
      <c r="I47" s="32"/>
      <c r="J47" s="49"/>
      <c r="K47" s="115"/>
      <c r="L47" s="32"/>
      <c r="M47" s="49"/>
      <c r="N47" s="32"/>
      <c r="O47" s="49"/>
      <c r="P47" s="49"/>
      <c r="Q47" s="32"/>
    </row>
    <row r="48" ht="22.5" customHeight="1">
      <c r="B48" s="32"/>
      <c r="C48" s="75"/>
      <c r="D48" s="113"/>
      <c r="E48" s="75"/>
      <c r="F48" s="75"/>
      <c r="G48" s="114"/>
      <c r="H48" s="114"/>
      <c r="I48" s="32"/>
      <c r="J48" s="49"/>
      <c r="K48" s="115"/>
      <c r="L48" s="32"/>
      <c r="M48" s="49"/>
      <c r="N48" s="32"/>
      <c r="O48" s="49"/>
      <c r="P48" s="49"/>
      <c r="Q48" s="32"/>
    </row>
    <row r="49" ht="22.5" customHeight="1">
      <c r="B49" s="32"/>
      <c r="C49" s="75"/>
      <c r="D49" s="113"/>
      <c r="E49" s="75"/>
      <c r="F49" s="75"/>
      <c r="G49" s="114"/>
      <c r="H49" s="114"/>
      <c r="I49" s="32"/>
      <c r="J49" s="49"/>
      <c r="K49" s="115"/>
      <c r="L49" s="32"/>
      <c r="M49" s="49"/>
      <c r="N49" s="32"/>
      <c r="O49" s="49"/>
      <c r="P49" s="49"/>
      <c r="Q49" s="32"/>
    </row>
    <row r="50" ht="22.5" customHeight="1">
      <c r="B50" s="32"/>
      <c r="C50" s="75"/>
      <c r="D50" s="113"/>
      <c r="E50" s="75"/>
      <c r="F50" s="75"/>
      <c r="G50" s="114"/>
      <c r="H50" s="114"/>
      <c r="I50" s="32"/>
      <c r="J50" s="49"/>
      <c r="K50" s="115"/>
      <c r="L50" s="32"/>
      <c r="M50" s="49"/>
      <c r="N50" s="32"/>
      <c r="O50" s="49"/>
      <c r="P50" s="49"/>
      <c r="Q50" s="32"/>
    </row>
    <row r="51" ht="22.5" customHeight="1">
      <c r="B51" s="32"/>
      <c r="C51" s="75"/>
      <c r="D51" s="113"/>
      <c r="E51" s="75"/>
      <c r="F51" s="75"/>
      <c r="G51" s="114"/>
      <c r="H51" s="114"/>
      <c r="I51" s="32"/>
      <c r="J51" s="49"/>
      <c r="K51" s="115"/>
      <c r="L51" s="32"/>
      <c r="M51" s="49"/>
      <c r="N51" s="32"/>
      <c r="O51" s="49"/>
      <c r="P51" s="49"/>
      <c r="Q51" s="32"/>
    </row>
    <row r="52" ht="22.5" customHeight="1">
      <c r="B52" s="32"/>
      <c r="C52" s="75"/>
      <c r="D52" s="113"/>
      <c r="E52" s="75"/>
      <c r="F52" s="75"/>
      <c r="G52" s="114"/>
      <c r="H52" s="114"/>
      <c r="I52" s="32"/>
      <c r="J52" s="49"/>
      <c r="K52" s="115"/>
      <c r="L52" s="32"/>
      <c r="M52" s="49"/>
      <c r="N52" s="32"/>
      <c r="O52" s="49"/>
      <c r="P52" s="49"/>
      <c r="Q52" s="3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22.63"/>
    <col customWidth="1" min="9" max="9" width="19.25"/>
    <col customWidth="1" min="10" max="10" width="22.88"/>
    <col customWidth="1" min="11" max="11" width="17.0"/>
    <col customWidth="1" min="12" max="12" width="14.25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5" t="s">
        <v>126</v>
      </c>
      <c r="E3" s="7" t="s">
        <v>8</v>
      </c>
      <c r="F3" s="7" t="s">
        <v>11</v>
      </c>
      <c r="G3" s="8" t="s">
        <v>13</v>
      </c>
      <c r="H3" s="7" t="s">
        <v>16</v>
      </c>
      <c r="I3" s="7" t="s">
        <v>17</v>
      </c>
      <c r="J3" s="7" t="s">
        <v>18</v>
      </c>
      <c r="K3" s="7" t="s">
        <v>20</v>
      </c>
      <c r="L3" s="7" t="s">
        <v>21</v>
      </c>
      <c r="M3" s="7" t="s">
        <v>23</v>
      </c>
      <c r="N3" s="7" t="s">
        <v>24</v>
      </c>
    </row>
    <row r="4" ht="26.25" customHeight="1">
      <c r="D4" s="10" t="s">
        <v>26</v>
      </c>
      <c r="E4" s="11">
        <v>1000000.0</v>
      </c>
      <c r="F4" s="13">
        <f>SUMIFS(OPI_19[MAF NETO],OPI_19[ESTADO],"Desembolsado")</f>
        <v>0</v>
      </c>
      <c r="G4" s="13">
        <f>F4-E4</f>
        <v>-1000000</v>
      </c>
      <c r="H4" s="15">
        <f>SUMIFS(OPI_19[MAF NETO],OPI_19[ESTADO],H$3)</f>
        <v>0</v>
      </c>
      <c r="I4" s="15">
        <f>SUMIFS(OPI_19[MAF NETO],OPI_19[ESTADO],I$3)</f>
        <v>0</v>
      </c>
      <c r="J4" s="15">
        <f>SUMIFS(OPI_19[MAF NETO],OPI_19[ESTADO],J$3)</f>
        <v>0</v>
      </c>
      <c r="K4" s="15">
        <f>SUMIFS(OPI_19[MAF NETO],OPI_19[ESTADO],K$3)</f>
        <v>0</v>
      </c>
      <c r="L4" s="15">
        <f>SUMIFS(OPI_19[MAF NETO],OPI_19[ESTADO],L$3)</f>
        <v>0</v>
      </c>
      <c r="M4" s="15">
        <f>SUMIFS(OPI_19[MAF NETO],OPI_19[ESTADO],M$3)</f>
        <v>0</v>
      </c>
      <c r="N4" s="15">
        <f>SUMIFS(OPI_19[MAF NETO],OPI_19[ESTADO],N$3)</f>
        <v>0</v>
      </c>
    </row>
    <row r="5" ht="26.25" customHeight="1">
      <c r="D5" s="17" t="s">
        <v>28</v>
      </c>
      <c r="E5" s="18" t="s">
        <v>29</v>
      </c>
      <c r="F5" s="19">
        <f>COUNTIFS(OPI_19[ESTADO],"Desembolsado")</f>
        <v>0</v>
      </c>
      <c r="G5" s="20">
        <f>IFERROR(F4/E4,"")</f>
        <v>0</v>
      </c>
      <c r="H5" s="19">
        <f>COUNTIFS(OPI_19[ESTADO],H$3)</f>
        <v>0</v>
      </c>
      <c r="I5" s="19">
        <f>COUNTIFS(OPI_19[ESTADO],I$3)</f>
        <v>0</v>
      </c>
      <c r="J5" s="19">
        <f>COUNTIFS(OPI_19[ESTADO],J$3)</f>
        <v>0</v>
      </c>
      <c r="K5" s="19">
        <f>COUNTIFS(OPI_19[ESTADO],K$3)</f>
        <v>0</v>
      </c>
      <c r="L5" s="19">
        <f>COUNTIFS(OPI_19[ESTADO],L$3)</f>
        <v>0</v>
      </c>
      <c r="M5" s="19">
        <f>COUNTIFS(OPI_19[ESTADO],M$3)</f>
        <v>0</v>
      </c>
      <c r="N5" s="19">
        <f>COUNTIFS(OPI_19[ESTADO],N$3)</f>
        <v>0</v>
      </c>
    </row>
    <row r="9" ht="22.5" customHeight="1">
      <c r="A9" s="21"/>
      <c r="B9" s="22" t="s">
        <v>31</v>
      </c>
      <c r="C9" s="22" t="s">
        <v>33</v>
      </c>
      <c r="D9" s="23" t="s">
        <v>34</v>
      </c>
      <c r="E9" s="22" t="s">
        <v>35</v>
      </c>
      <c r="F9" s="22" t="s">
        <v>36</v>
      </c>
      <c r="G9" s="22" t="s">
        <v>37</v>
      </c>
      <c r="H9" s="22" t="s">
        <v>38</v>
      </c>
      <c r="I9" s="22" t="s">
        <v>39</v>
      </c>
      <c r="J9" s="23" t="s">
        <v>40</v>
      </c>
      <c r="K9" s="22" t="s">
        <v>41</v>
      </c>
      <c r="L9" s="22" t="s">
        <v>42</v>
      </c>
      <c r="M9" s="23" t="s">
        <v>44</v>
      </c>
      <c r="N9" s="22" t="s">
        <v>45</v>
      </c>
      <c r="O9" s="23" t="s">
        <v>46</v>
      </c>
      <c r="P9" s="23" t="s">
        <v>47</v>
      </c>
      <c r="Q9" s="22" t="s">
        <v>48</v>
      </c>
    </row>
    <row r="10" ht="22.5" customHeight="1">
      <c r="B10" s="24"/>
      <c r="C10" s="25"/>
      <c r="D10" s="113"/>
      <c r="E10" s="25"/>
      <c r="F10" s="25"/>
      <c r="G10" s="27"/>
      <c r="H10" s="27"/>
      <c r="I10" s="24"/>
      <c r="J10" s="113"/>
      <c r="K10" s="28"/>
      <c r="L10" s="24"/>
      <c r="M10" s="113"/>
      <c r="N10" s="32"/>
      <c r="O10" s="113"/>
      <c r="P10" s="49"/>
      <c r="Q10" s="24"/>
    </row>
    <row r="11" ht="22.5" customHeight="1">
      <c r="B11" s="24"/>
      <c r="C11" s="25"/>
      <c r="D11" s="113"/>
      <c r="E11" s="25"/>
      <c r="F11" s="25"/>
      <c r="G11" s="27"/>
      <c r="H11" s="27"/>
      <c r="I11" s="24"/>
      <c r="J11" s="113"/>
      <c r="K11" s="28"/>
      <c r="L11" s="24"/>
      <c r="M11" s="113"/>
      <c r="N11" s="32"/>
      <c r="O11" s="113"/>
      <c r="P11" s="49"/>
      <c r="Q11" s="32"/>
    </row>
    <row r="12" ht="22.5" customHeight="1">
      <c r="B12" s="24"/>
      <c r="C12" s="25"/>
      <c r="D12" s="113"/>
      <c r="E12" s="75"/>
      <c r="F12" s="75"/>
      <c r="G12" s="27"/>
      <c r="H12" s="27"/>
      <c r="I12" s="24"/>
      <c r="J12" s="113"/>
      <c r="K12" s="28"/>
      <c r="L12" s="24"/>
      <c r="M12" s="113"/>
      <c r="N12" s="32"/>
      <c r="O12" s="113"/>
      <c r="P12" s="49"/>
      <c r="Q12" s="32"/>
    </row>
    <row r="13" ht="22.5" customHeight="1">
      <c r="B13" s="24"/>
      <c r="C13" s="25"/>
      <c r="D13" s="113"/>
      <c r="E13" s="75"/>
      <c r="F13" s="75"/>
      <c r="G13" s="27"/>
      <c r="H13" s="27"/>
      <c r="I13" s="24"/>
      <c r="J13" s="113"/>
      <c r="K13" s="28"/>
      <c r="L13" s="24"/>
      <c r="M13" s="113"/>
      <c r="N13" s="32"/>
      <c r="O13" s="113"/>
      <c r="P13" s="49"/>
      <c r="Q13" s="32"/>
    </row>
    <row r="14" ht="22.5" customHeight="1">
      <c r="B14" s="24"/>
      <c r="C14" s="25"/>
      <c r="D14" s="113"/>
      <c r="E14" s="75"/>
      <c r="F14" s="75"/>
      <c r="G14" s="27"/>
      <c r="H14" s="27"/>
      <c r="I14" s="32"/>
      <c r="J14" s="49"/>
      <c r="K14" s="115"/>
      <c r="L14" s="32"/>
      <c r="M14" s="49"/>
      <c r="N14" s="32"/>
      <c r="O14" s="49"/>
      <c r="P14" s="49"/>
      <c r="Q14" s="32"/>
    </row>
    <row r="15" ht="22.5" customHeight="1">
      <c r="B15" s="32"/>
      <c r="C15" s="75"/>
      <c r="D15" s="113"/>
      <c r="E15" s="75"/>
      <c r="F15" s="75"/>
      <c r="G15" s="114"/>
      <c r="H15" s="114"/>
      <c r="I15" s="32"/>
      <c r="J15" s="49"/>
      <c r="K15" s="115"/>
      <c r="L15" s="32"/>
      <c r="M15" s="49"/>
      <c r="N15" s="32"/>
      <c r="O15" s="49"/>
      <c r="P15" s="49"/>
      <c r="Q15" s="32"/>
    </row>
    <row r="16" ht="22.5" customHeight="1">
      <c r="B16" s="32"/>
      <c r="C16" s="75"/>
      <c r="D16" s="113"/>
      <c r="E16" s="75"/>
      <c r="F16" s="75"/>
      <c r="G16" s="114"/>
      <c r="H16" s="114"/>
      <c r="I16" s="32"/>
      <c r="J16" s="49"/>
      <c r="K16" s="115"/>
      <c r="L16" s="32"/>
      <c r="M16" s="49"/>
      <c r="N16" s="32"/>
      <c r="O16" s="49"/>
      <c r="P16" s="49"/>
      <c r="Q16" s="32"/>
    </row>
    <row r="17" ht="22.5" customHeight="1">
      <c r="B17" s="32"/>
      <c r="C17" s="75"/>
      <c r="D17" s="113"/>
      <c r="E17" s="75"/>
      <c r="F17" s="75"/>
      <c r="G17" s="114"/>
      <c r="H17" s="114"/>
      <c r="I17" s="32"/>
      <c r="J17" s="49"/>
      <c r="K17" s="115"/>
      <c r="L17" s="32"/>
      <c r="M17" s="49"/>
      <c r="N17" s="32"/>
      <c r="O17" s="49"/>
      <c r="P17" s="49"/>
      <c r="Q17" s="32"/>
    </row>
    <row r="18" ht="22.5" customHeight="1">
      <c r="B18" s="32"/>
      <c r="C18" s="75"/>
      <c r="D18" s="113"/>
      <c r="E18" s="75"/>
      <c r="F18" s="75"/>
      <c r="G18" s="114"/>
      <c r="H18" s="114"/>
      <c r="I18" s="32"/>
      <c r="J18" s="49"/>
      <c r="K18" s="115"/>
      <c r="L18" s="32"/>
      <c r="M18" s="49"/>
      <c r="N18" s="32"/>
      <c r="O18" s="49"/>
      <c r="P18" s="49"/>
      <c r="Q18" s="32"/>
    </row>
    <row r="19" ht="22.5" customHeight="1">
      <c r="B19" s="32"/>
      <c r="C19" s="75"/>
      <c r="D19" s="113"/>
      <c r="E19" s="75"/>
      <c r="F19" s="75"/>
      <c r="G19" s="114"/>
      <c r="H19" s="114"/>
      <c r="I19" s="32"/>
      <c r="J19" s="49"/>
      <c r="K19" s="115"/>
      <c r="L19" s="32"/>
      <c r="M19" s="49"/>
      <c r="N19" s="32"/>
      <c r="O19" s="49"/>
      <c r="P19" s="49"/>
      <c r="Q19" s="32"/>
    </row>
    <row r="20" ht="22.5" customHeight="1">
      <c r="B20" s="32"/>
      <c r="C20" s="75"/>
      <c r="D20" s="113"/>
      <c r="E20" s="75"/>
      <c r="F20" s="75"/>
      <c r="G20" s="114"/>
      <c r="H20" s="114"/>
      <c r="I20" s="32"/>
      <c r="J20" s="49"/>
      <c r="K20" s="115"/>
      <c r="L20" s="32"/>
      <c r="M20" s="49"/>
      <c r="N20" s="32"/>
      <c r="O20" s="49"/>
      <c r="P20" s="49"/>
      <c r="Q20" s="32"/>
    </row>
    <row r="21" ht="22.5" customHeight="1">
      <c r="B21" s="32"/>
      <c r="C21" s="75"/>
      <c r="D21" s="113"/>
      <c r="E21" s="75"/>
      <c r="F21" s="75"/>
      <c r="G21" s="114"/>
      <c r="H21" s="114"/>
      <c r="I21" s="32"/>
      <c r="J21" s="49"/>
      <c r="K21" s="115"/>
      <c r="L21" s="32"/>
      <c r="M21" s="49"/>
      <c r="N21" s="32"/>
      <c r="O21" s="49"/>
      <c r="P21" s="49"/>
      <c r="Q21" s="32"/>
    </row>
    <row r="22" ht="22.5" customHeight="1">
      <c r="B22" s="32"/>
      <c r="C22" s="75"/>
      <c r="D22" s="113"/>
      <c r="E22" s="75"/>
      <c r="F22" s="75"/>
      <c r="G22" s="114"/>
      <c r="H22" s="114"/>
      <c r="I22" s="32"/>
      <c r="J22" s="49"/>
      <c r="K22" s="115"/>
      <c r="L22" s="32"/>
      <c r="M22" s="49"/>
      <c r="N22" s="32"/>
      <c r="O22" s="49"/>
      <c r="P22" s="49"/>
      <c r="Q22" s="32"/>
    </row>
    <row r="23" ht="22.5" customHeight="1">
      <c r="B23" s="32"/>
      <c r="C23" s="75"/>
      <c r="D23" s="113"/>
      <c r="E23" s="75"/>
      <c r="F23" s="75"/>
      <c r="G23" s="114"/>
      <c r="H23" s="114"/>
      <c r="I23" s="32"/>
      <c r="J23" s="49"/>
      <c r="K23" s="115"/>
      <c r="L23" s="32"/>
      <c r="M23" s="49"/>
      <c r="N23" s="32"/>
      <c r="O23" s="49"/>
      <c r="P23" s="49"/>
      <c r="Q23" s="32"/>
    </row>
    <row r="24" ht="22.5" customHeight="1">
      <c r="B24" s="32"/>
      <c r="C24" s="75"/>
      <c r="D24" s="113"/>
      <c r="E24" s="75"/>
      <c r="F24" s="75"/>
      <c r="G24" s="114"/>
      <c r="H24" s="114"/>
      <c r="I24" s="32"/>
      <c r="J24" s="49"/>
      <c r="K24" s="115"/>
      <c r="L24" s="32"/>
      <c r="M24" s="49"/>
      <c r="N24" s="32"/>
      <c r="O24" s="49"/>
      <c r="P24" s="49"/>
      <c r="Q24" s="32"/>
    </row>
    <row r="25" ht="22.5" customHeight="1">
      <c r="B25" s="32"/>
      <c r="C25" s="75"/>
      <c r="D25" s="113"/>
      <c r="E25" s="75"/>
      <c r="F25" s="75"/>
      <c r="G25" s="114"/>
      <c r="H25" s="114"/>
      <c r="I25" s="32"/>
      <c r="J25" s="49"/>
      <c r="K25" s="115"/>
      <c r="L25" s="32"/>
      <c r="M25" s="49"/>
      <c r="N25" s="32"/>
      <c r="O25" s="49"/>
      <c r="P25" s="49"/>
      <c r="Q25" s="32"/>
    </row>
    <row r="26" ht="22.5" customHeight="1">
      <c r="B26" s="32"/>
      <c r="C26" s="75"/>
      <c r="D26" s="113"/>
      <c r="E26" s="75"/>
      <c r="F26" s="75"/>
      <c r="G26" s="114"/>
      <c r="H26" s="114"/>
      <c r="I26" s="32"/>
      <c r="J26" s="49"/>
      <c r="K26" s="115"/>
      <c r="L26" s="32"/>
      <c r="M26" s="49"/>
      <c r="N26" s="32"/>
      <c r="O26" s="49"/>
      <c r="P26" s="49"/>
      <c r="Q26" s="32"/>
    </row>
    <row r="27" ht="22.5" customHeight="1">
      <c r="B27" s="32"/>
      <c r="C27" s="75"/>
      <c r="D27" s="113"/>
      <c r="E27" s="75"/>
      <c r="F27" s="75"/>
      <c r="G27" s="114"/>
      <c r="H27" s="114"/>
      <c r="I27" s="32"/>
      <c r="J27" s="49"/>
      <c r="K27" s="115"/>
      <c r="L27" s="32"/>
      <c r="M27" s="49"/>
      <c r="N27" s="32"/>
      <c r="O27" s="49"/>
      <c r="P27" s="49"/>
      <c r="Q27" s="32"/>
    </row>
    <row r="28" ht="22.5" customHeight="1">
      <c r="B28" s="32"/>
      <c r="C28" s="75"/>
      <c r="D28" s="113"/>
      <c r="E28" s="75"/>
      <c r="F28" s="75"/>
      <c r="G28" s="114"/>
      <c r="H28" s="114"/>
      <c r="I28" s="32"/>
      <c r="J28" s="49"/>
      <c r="K28" s="115"/>
      <c r="L28" s="32"/>
      <c r="M28" s="49"/>
      <c r="N28" s="32"/>
      <c r="O28" s="49"/>
      <c r="P28" s="49"/>
      <c r="Q28" s="32"/>
    </row>
    <row r="29" ht="22.5" customHeight="1">
      <c r="B29" s="32"/>
      <c r="C29" s="75"/>
      <c r="D29" s="113"/>
      <c r="E29" s="75"/>
      <c r="F29" s="75"/>
      <c r="G29" s="114"/>
      <c r="H29" s="114"/>
      <c r="I29" s="32"/>
      <c r="J29" s="49"/>
      <c r="K29" s="115"/>
      <c r="L29" s="32"/>
      <c r="M29" s="49"/>
      <c r="N29" s="32"/>
      <c r="O29" s="49"/>
      <c r="P29" s="49"/>
      <c r="Q29" s="32"/>
    </row>
    <row r="30" ht="22.5" customHeight="1">
      <c r="B30" s="32"/>
      <c r="C30" s="75"/>
      <c r="D30" s="113"/>
      <c r="E30" s="75"/>
      <c r="F30" s="75"/>
      <c r="G30" s="114"/>
      <c r="H30" s="114"/>
      <c r="I30" s="32"/>
      <c r="J30" s="49"/>
      <c r="K30" s="115"/>
      <c r="L30" s="32"/>
      <c r="M30" s="49"/>
      <c r="N30" s="32"/>
      <c r="O30" s="49"/>
      <c r="P30" s="49"/>
      <c r="Q30" s="32"/>
    </row>
    <row r="31" ht="22.5" customHeight="1">
      <c r="B31" s="32"/>
      <c r="C31" s="75"/>
      <c r="D31" s="113"/>
      <c r="E31" s="75"/>
      <c r="F31" s="75"/>
      <c r="G31" s="114"/>
      <c r="H31" s="114"/>
      <c r="I31" s="32"/>
      <c r="J31" s="49"/>
      <c r="K31" s="115"/>
      <c r="L31" s="32"/>
      <c r="M31" s="49"/>
      <c r="N31" s="32"/>
      <c r="O31" s="49"/>
      <c r="P31" s="49"/>
      <c r="Q31" s="32"/>
    </row>
    <row r="32" ht="22.5" customHeight="1">
      <c r="B32" s="32"/>
      <c r="C32" s="75"/>
      <c r="D32" s="113"/>
      <c r="E32" s="75"/>
      <c r="F32" s="75"/>
      <c r="G32" s="114"/>
      <c r="H32" s="114"/>
      <c r="I32" s="32"/>
      <c r="J32" s="49"/>
      <c r="K32" s="115"/>
      <c r="L32" s="32"/>
      <c r="M32" s="49"/>
      <c r="N32" s="32"/>
      <c r="O32" s="49"/>
      <c r="P32" s="49"/>
      <c r="Q32" s="32"/>
    </row>
    <row r="33" ht="22.5" customHeight="1">
      <c r="B33" s="32"/>
      <c r="C33" s="75"/>
      <c r="D33" s="113"/>
      <c r="E33" s="75"/>
      <c r="F33" s="75"/>
      <c r="G33" s="114"/>
      <c r="H33" s="114"/>
      <c r="I33" s="32"/>
      <c r="J33" s="49"/>
      <c r="K33" s="115"/>
      <c r="L33" s="32"/>
      <c r="M33" s="49"/>
      <c r="N33" s="32"/>
      <c r="O33" s="49"/>
      <c r="P33" s="49"/>
      <c r="Q33" s="32"/>
    </row>
    <row r="34" ht="22.5" customHeight="1">
      <c r="B34" s="32"/>
      <c r="C34" s="75"/>
      <c r="D34" s="113"/>
      <c r="E34" s="75"/>
      <c r="F34" s="75"/>
      <c r="G34" s="114"/>
      <c r="H34" s="114"/>
      <c r="I34" s="32"/>
      <c r="J34" s="49"/>
      <c r="K34" s="115"/>
      <c r="L34" s="32"/>
      <c r="M34" s="49"/>
      <c r="N34" s="32"/>
      <c r="O34" s="49"/>
      <c r="P34" s="49"/>
      <c r="Q34" s="32"/>
    </row>
    <row r="35" ht="22.5" customHeight="1">
      <c r="B35" s="32"/>
      <c r="C35" s="75"/>
      <c r="D35" s="113"/>
      <c r="E35" s="75"/>
      <c r="F35" s="75"/>
      <c r="G35" s="114"/>
      <c r="H35" s="114"/>
      <c r="I35" s="32"/>
      <c r="J35" s="49"/>
      <c r="K35" s="115"/>
      <c r="L35" s="32"/>
      <c r="M35" s="49"/>
      <c r="N35" s="32"/>
      <c r="O35" s="49"/>
      <c r="P35" s="49"/>
      <c r="Q35" s="32"/>
    </row>
    <row r="36" ht="22.5" customHeight="1">
      <c r="B36" s="32"/>
      <c r="C36" s="75"/>
      <c r="D36" s="113"/>
      <c r="E36" s="75"/>
      <c r="F36" s="75"/>
      <c r="G36" s="114"/>
      <c r="H36" s="114"/>
      <c r="I36" s="32"/>
      <c r="J36" s="49"/>
      <c r="K36" s="115"/>
      <c r="L36" s="32"/>
      <c r="M36" s="49"/>
      <c r="N36" s="32"/>
      <c r="O36" s="49"/>
      <c r="P36" s="49"/>
      <c r="Q36" s="32"/>
    </row>
    <row r="37" ht="22.5" customHeight="1">
      <c r="B37" s="32"/>
      <c r="C37" s="75"/>
      <c r="D37" s="113"/>
      <c r="E37" s="75"/>
      <c r="F37" s="75"/>
      <c r="G37" s="114"/>
      <c r="H37" s="114"/>
      <c r="I37" s="32"/>
      <c r="J37" s="49"/>
      <c r="K37" s="115"/>
      <c r="L37" s="32"/>
      <c r="M37" s="49"/>
      <c r="N37" s="32"/>
      <c r="O37" s="49"/>
      <c r="P37" s="49"/>
      <c r="Q37" s="32"/>
    </row>
    <row r="38" ht="22.5" customHeight="1">
      <c r="B38" s="32"/>
      <c r="C38" s="75"/>
      <c r="D38" s="113"/>
      <c r="E38" s="75"/>
      <c r="F38" s="75"/>
      <c r="G38" s="114"/>
      <c r="H38" s="114"/>
      <c r="I38" s="32"/>
      <c r="J38" s="49"/>
      <c r="K38" s="115"/>
      <c r="L38" s="32"/>
      <c r="M38" s="49"/>
      <c r="N38" s="32"/>
      <c r="O38" s="49"/>
      <c r="P38" s="49"/>
      <c r="Q38" s="32"/>
    </row>
    <row r="39" ht="22.5" customHeight="1">
      <c r="B39" s="32"/>
      <c r="C39" s="75"/>
      <c r="D39" s="113"/>
      <c r="E39" s="75"/>
      <c r="F39" s="75"/>
      <c r="G39" s="114"/>
      <c r="H39" s="114"/>
      <c r="I39" s="32"/>
      <c r="J39" s="49"/>
      <c r="K39" s="115"/>
      <c r="L39" s="32"/>
      <c r="M39" s="49"/>
      <c r="N39" s="32"/>
      <c r="O39" s="49"/>
      <c r="P39" s="49"/>
      <c r="Q39" s="32"/>
    </row>
    <row r="40" ht="22.5" customHeight="1">
      <c r="B40" s="32"/>
      <c r="C40" s="75"/>
      <c r="D40" s="113"/>
      <c r="E40" s="75"/>
      <c r="F40" s="75"/>
      <c r="G40" s="114"/>
      <c r="H40" s="114"/>
      <c r="I40" s="32"/>
      <c r="J40" s="49"/>
      <c r="K40" s="115"/>
      <c r="L40" s="32"/>
      <c r="M40" s="49"/>
      <c r="N40" s="32"/>
      <c r="O40" s="49"/>
      <c r="P40" s="49"/>
      <c r="Q40" s="32"/>
    </row>
    <row r="41" ht="22.5" customHeight="1">
      <c r="B41" s="32"/>
      <c r="C41" s="75"/>
      <c r="D41" s="113"/>
      <c r="E41" s="75"/>
      <c r="F41" s="75"/>
      <c r="G41" s="114"/>
      <c r="H41" s="114"/>
      <c r="I41" s="32"/>
      <c r="J41" s="49"/>
      <c r="K41" s="115"/>
      <c r="L41" s="32"/>
      <c r="M41" s="49"/>
      <c r="N41" s="32"/>
      <c r="O41" s="49"/>
      <c r="P41" s="49"/>
      <c r="Q41" s="32"/>
    </row>
    <row r="42" ht="22.5" customHeight="1">
      <c r="B42" s="32"/>
      <c r="C42" s="75"/>
      <c r="D42" s="113"/>
      <c r="E42" s="75"/>
      <c r="F42" s="75"/>
      <c r="G42" s="114"/>
      <c r="H42" s="114"/>
      <c r="I42" s="32"/>
      <c r="J42" s="49"/>
      <c r="K42" s="115"/>
      <c r="L42" s="32"/>
      <c r="M42" s="49"/>
      <c r="N42" s="32"/>
      <c r="O42" s="49"/>
      <c r="P42" s="49"/>
      <c r="Q42" s="32"/>
    </row>
    <row r="43" ht="22.5" customHeight="1">
      <c r="B43" s="32"/>
      <c r="C43" s="75"/>
      <c r="D43" s="113"/>
      <c r="E43" s="75"/>
      <c r="F43" s="75"/>
      <c r="G43" s="114"/>
      <c r="H43" s="114"/>
      <c r="I43" s="32"/>
      <c r="J43" s="49"/>
      <c r="K43" s="115"/>
      <c r="L43" s="32"/>
      <c r="M43" s="49"/>
      <c r="N43" s="32"/>
      <c r="O43" s="49"/>
      <c r="P43" s="49"/>
      <c r="Q43" s="32"/>
    </row>
    <row r="44" ht="22.5" customHeight="1">
      <c r="B44" s="32"/>
      <c r="C44" s="75"/>
      <c r="D44" s="113"/>
      <c r="E44" s="75"/>
      <c r="F44" s="75"/>
      <c r="G44" s="114"/>
      <c r="H44" s="114"/>
      <c r="I44" s="32"/>
      <c r="J44" s="49"/>
      <c r="K44" s="115"/>
      <c r="L44" s="32"/>
      <c r="M44" s="49"/>
      <c r="N44" s="32"/>
      <c r="O44" s="49"/>
      <c r="P44" s="49"/>
      <c r="Q44" s="32"/>
    </row>
    <row r="45" ht="22.5" customHeight="1">
      <c r="B45" s="32"/>
      <c r="C45" s="75"/>
      <c r="D45" s="113"/>
      <c r="E45" s="75"/>
      <c r="F45" s="75"/>
      <c r="G45" s="114"/>
      <c r="H45" s="114"/>
      <c r="I45" s="32"/>
      <c r="J45" s="49"/>
      <c r="K45" s="115"/>
      <c r="L45" s="32"/>
      <c r="M45" s="49"/>
      <c r="N45" s="32"/>
      <c r="O45" s="49"/>
      <c r="P45" s="49"/>
      <c r="Q45" s="32"/>
    </row>
    <row r="46" ht="22.5" customHeight="1">
      <c r="B46" s="32"/>
      <c r="C46" s="75"/>
      <c r="D46" s="113"/>
      <c r="E46" s="75"/>
      <c r="F46" s="75"/>
      <c r="G46" s="114"/>
      <c r="H46" s="114"/>
      <c r="I46" s="32"/>
      <c r="J46" s="49"/>
      <c r="K46" s="115"/>
      <c r="L46" s="32"/>
      <c r="M46" s="49"/>
      <c r="N46" s="32"/>
      <c r="O46" s="49"/>
      <c r="P46" s="49"/>
      <c r="Q46" s="32"/>
    </row>
    <row r="47" ht="22.5" customHeight="1">
      <c r="B47" s="32"/>
      <c r="C47" s="75"/>
      <c r="D47" s="113"/>
      <c r="E47" s="75"/>
      <c r="F47" s="75"/>
      <c r="G47" s="114"/>
      <c r="H47" s="114"/>
      <c r="I47" s="32"/>
      <c r="J47" s="49"/>
      <c r="K47" s="115"/>
      <c r="L47" s="32"/>
      <c r="M47" s="49"/>
      <c r="N47" s="32"/>
      <c r="O47" s="49"/>
      <c r="P47" s="49"/>
      <c r="Q47" s="32"/>
    </row>
    <row r="48" ht="22.5" customHeight="1">
      <c r="B48" s="32"/>
      <c r="C48" s="75"/>
      <c r="D48" s="113"/>
      <c r="E48" s="75"/>
      <c r="F48" s="75"/>
      <c r="G48" s="114"/>
      <c r="H48" s="114"/>
      <c r="I48" s="32"/>
      <c r="J48" s="49"/>
      <c r="K48" s="115"/>
      <c r="L48" s="32"/>
      <c r="M48" s="49"/>
      <c r="N48" s="32"/>
      <c r="O48" s="49"/>
      <c r="P48" s="49"/>
      <c r="Q48" s="32"/>
    </row>
    <row r="49" ht="22.5" customHeight="1">
      <c r="B49" s="32"/>
      <c r="C49" s="75"/>
      <c r="D49" s="113"/>
      <c r="E49" s="75"/>
      <c r="F49" s="75"/>
      <c r="G49" s="114"/>
      <c r="H49" s="114"/>
      <c r="I49" s="32"/>
      <c r="J49" s="49"/>
      <c r="K49" s="115"/>
      <c r="L49" s="32"/>
      <c r="M49" s="49"/>
      <c r="N49" s="32"/>
      <c r="O49" s="49"/>
      <c r="P49" s="49"/>
      <c r="Q49" s="32"/>
    </row>
    <row r="50" ht="22.5" customHeight="1">
      <c r="B50" s="32"/>
      <c r="C50" s="75"/>
      <c r="D50" s="113"/>
      <c r="E50" s="75"/>
      <c r="F50" s="75"/>
      <c r="G50" s="114"/>
      <c r="H50" s="114"/>
      <c r="I50" s="32"/>
      <c r="J50" s="49"/>
      <c r="K50" s="115"/>
      <c r="L50" s="32"/>
      <c r="M50" s="49"/>
      <c r="N50" s="32"/>
      <c r="O50" s="49"/>
      <c r="P50" s="49"/>
      <c r="Q50" s="32"/>
    </row>
    <row r="51" ht="22.5" customHeight="1">
      <c r="B51" s="32"/>
      <c r="C51" s="75"/>
      <c r="D51" s="113"/>
      <c r="E51" s="75"/>
      <c r="F51" s="75"/>
      <c r="G51" s="114"/>
      <c r="H51" s="114"/>
      <c r="I51" s="32"/>
      <c r="J51" s="49"/>
      <c r="K51" s="115"/>
      <c r="L51" s="32"/>
      <c r="M51" s="49"/>
      <c r="N51" s="32"/>
      <c r="O51" s="49"/>
      <c r="P51" s="49"/>
      <c r="Q51" s="32"/>
    </row>
    <row r="52" ht="22.5" customHeight="1">
      <c r="B52" s="32"/>
      <c r="C52" s="75"/>
      <c r="D52" s="113"/>
      <c r="E52" s="75"/>
      <c r="F52" s="75"/>
      <c r="G52" s="114"/>
      <c r="H52" s="114"/>
      <c r="I52" s="32"/>
      <c r="J52" s="49"/>
      <c r="K52" s="115"/>
      <c r="L52" s="32"/>
      <c r="M52" s="49"/>
      <c r="N52" s="32"/>
      <c r="O52" s="49"/>
      <c r="P52" s="49"/>
      <c r="Q52" s="3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22.63"/>
    <col customWidth="1" min="9" max="9" width="19.25"/>
    <col customWidth="1" min="10" max="10" width="22.88"/>
    <col customWidth="1" min="11" max="11" width="17.0"/>
    <col customWidth="1" min="12" max="12" width="14.25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5" t="s">
        <v>130</v>
      </c>
      <c r="E3" s="7" t="s">
        <v>8</v>
      </c>
      <c r="F3" s="7" t="s">
        <v>11</v>
      </c>
      <c r="G3" s="8" t="s">
        <v>13</v>
      </c>
      <c r="H3" s="7" t="s">
        <v>16</v>
      </c>
      <c r="I3" s="7" t="s">
        <v>17</v>
      </c>
      <c r="J3" s="7" t="s">
        <v>18</v>
      </c>
      <c r="K3" s="7" t="s">
        <v>20</v>
      </c>
      <c r="L3" s="7" t="s">
        <v>21</v>
      </c>
      <c r="M3" s="7" t="s">
        <v>23</v>
      </c>
      <c r="N3" s="7" t="s">
        <v>24</v>
      </c>
    </row>
    <row r="4" ht="26.25" customHeight="1">
      <c r="D4" s="10" t="s">
        <v>26</v>
      </c>
      <c r="E4" s="11">
        <v>1000000.0</v>
      </c>
      <c r="F4" s="13">
        <f>SUMIFS(OPI_17[MAF NETO],OPI_17[ESTADO],"Desembolsado")</f>
        <v>167000</v>
      </c>
      <c r="G4" s="13">
        <f>F4-E4</f>
        <v>-833000</v>
      </c>
      <c r="H4" s="15">
        <f>SUMIFS(OPI_17[MAF NETO],OPI_17[ESTADO],H$3)</f>
        <v>0</v>
      </c>
      <c r="I4" s="15">
        <f>SUMIFS(OPI_17[MAF NETO],OPI_17[ESTADO],I$3)</f>
        <v>0</v>
      </c>
      <c r="J4" s="15">
        <f>SUMIFS(OPI_17[MAF NETO],OPI_17[ESTADO],J$3)</f>
        <v>0</v>
      </c>
      <c r="K4" s="15">
        <f>SUMIFS(OPI_17[MAF NETO],OPI_17[ESTADO],K$3)</f>
        <v>0</v>
      </c>
      <c r="L4" s="15">
        <f>SUMIFS(OPI_17[MAF NETO],OPI_17[ESTADO],L$3)</f>
        <v>0</v>
      </c>
      <c r="M4" s="15">
        <f>SUMIFS(OPI_17[MAF NETO],OPI_17[ESTADO],M$3)</f>
        <v>0</v>
      </c>
      <c r="N4" s="15">
        <f>SUMIFS(OPI_17[MAF NETO],OPI_17[ESTADO],N$3)</f>
        <v>0</v>
      </c>
    </row>
    <row r="5" ht="26.25" customHeight="1">
      <c r="D5" s="17" t="s">
        <v>28</v>
      </c>
      <c r="E5" s="18" t="s">
        <v>29</v>
      </c>
      <c r="F5" s="19">
        <f>COUNTIFS(OPI_17[ESTADO],"Desembolsado")</f>
        <v>2</v>
      </c>
      <c r="G5" s="20">
        <f>IFERROR(F4/E4,"")</f>
        <v>0.167</v>
      </c>
      <c r="H5" s="19">
        <f>COUNTIFS(OPI_17[ESTADO],H$3)</f>
        <v>0</v>
      </c>
      <c r="I5" s="19">
        <f>COUNTIFS(OPI_17[ESTADO],I$3)</f>
        <v>0</v>
      </c>
      <c r="J5" s="19">
        <f>COUNTIFS(OPI_17[ESTADO],J$3)</f>
        <v>0</v>
      </c>
      <c r="K5" s="19">
        <f>COUNTIFS(OPI_17[ESTADO],K$3)</f>
        <v>0</v>
      </c>
      <c r="L5" s="19">
        <f>COUNTIFS(OPI_17[ESTADO],L$3)</f>
        <v>0</v>
      </c>
      <c r="M5" s="19">
        <f>COUNTIFS(OPI_17[ESTADO],M$3)</f>
        <v>0</v>
      </c>
      <c r="N5" s="19">
        <f>COUNTIFS(OPI_17[ESTADO],N$3)</f>
        <v>0</v>
      </c>
    </row>
    <row r="9" ht="22.5" customHeight="1">
      <c r="A9" s="21"/>
      <c r="B9" s="22" t="s">
        <v>31</v>
      </c>
      <c r="C9" s="22" t="s">
        <v>33</v>
      </c>
      <c r="D9" s="23" t="s">
        <v>34</v>
      </c>
      <c r="E9" s="22" t="s">
        <v>35</v>
      </c>
      <c r="F9" s="22" t="s">
        <v>36</v>
      </c>
      <c r="G9" s="22" t="s">
        <v>37</v>
      </c>
      <c r="H9" s="22" t="s">
        <v>38</v>
      </c>
      <c r="I9" s="22" t="s">
        <v>39</v>
      </c>
      <c r="J9" s="23" t="s">
        <v>40</v>
      </c>
      <c r="K9" s="22" t="s">
        <v>41</v>
      </c>
      <c r="L9" s="22" t="s">
        <v>42</v>
      </c>
      <c r="M9" s="23" t="s">
        <v>44</v>
      </c>
      <c r="N9" s="22" t="s">
        <v>45</v>
      </c>
      <c r="O9" s="23" t="s">
        <v>46</v>
      </c>
      <c r="P9" s="23" t="s">
        <v>47</v>
      </c>
      <c r="Q9" s="22" t="s">
        <v>48</v>
      </c>
    </row>
    <row r="10" ht="22.5" customHeight="1">
      <c r="B10" s="24" t="s">
        <v>130</v>
      </c>
      <c r="C10" s="25"/>
      <c r="D10" s="26" t="s">
        <v>58</v>
      </c>
      <c r="E10" s="25"/>
      <c r="F10" s="25">
        <v>46233.0</v>
      </c>
      <c r="G10" s="27" t="s">
        <v>871</v>
      </c>
      <c r="H10" s="27" t="s">
        <v>872</v>
      </c>
      <c r="I10" s="24" t="s">
        <v>124</v>
      </c>
      <c r="J10" s="26" t="s">
        <v>11</v>
      </c>
      <c r="K10" s="28">
        <v>84800.0</v>
      </c>
      <c r="L10" s="24" t="s">
        <v>873</v>
      </c>
      <c r="M10" s="113"/>
      <c r="N10" s="32"/>
      <c r="O10" s="113"/>
      <c r="P10" s="49"/>
      <c r="Q10" s="24"/>
    </row>
    <row r="11" ht="22.5" customHeight="1">
      <c r="B11" s="24" t="s">
        <v>130</v>
      </c>
      <c r="C11" s="25"/>
      <c r="D11" s="26" t="s">
        <v>58</v>
      </c>
      <c r="E11" s="25"/>
      <c r="F11" s="25">
        <v>46233.0</v>
      </c>
      <c r="G11" s="27" t="s">
        <v>874</v>
      </c>
      <c r="H11" s="27" t="s">
        <v>875</v>
      </c>
      <c r="I11" s="24" t="s">
        <v>64</v>
      </c>
      <c r="J11" s="26" t="s">
        <v>11</v>
      </c>
      <c r="K11" s="28">
        <v>82200.0</v>
      </c>
      <c r="L11" s="24" t="s">
        <v>873</v>
      </c>
      <c r="M11" s="113"/>
      <c r="N11" s="32"/>
      <c r="O11" s="113"/>
      <c r="P11" s="49"/>
      <c r="Q11" s="32"/>
    </row>
    <row r="12" ht="22.5" customHeight="1">
      <c r="B12" s="24"/>
      <c r="C12" s="25"/>
      <c r="D12" s="113"/>
      <c r="E12" s="75"/>
      <c r="F12" s="75"/>
      <c r="G12" s="27"/>
      <c r="H12" s="27"/>
      <c r="I12" s="24"/>
      <c r="J12" s="113"/>
      <c r="K12" s="28"/>
      <c r="L12" s="24"/>
      <c r="M12" s="113"/>
      <c r="N12" s="32"/>
      <c r="O12" s="113"/>
      <c r="P12" s="49"/>
      <c r="Q12" s="32"/>
    </row>
    <row r="13" ht="22.5" customHeight="1">
      <c r="B13" s="24"/>
      <c r="C13" s="25"/>
      <c r="D13" s="113"/>
      <c r="E13" s="75"/>
      <c r="F13" s="75"/>
      <c r="G13" s="27"/>
      <c r="H13" s="27"/>
      <c r="I13" s="24"/>
      <c r="J13" s="113"/>
      <c r="K13" s="28"/>
      <c r="L13" s="24"/>
      <c r="M13" s="113"/>
      <c r="N13" s="32"/>
      <c r="O13" s="113"/>
      <c r="P13" s="49"/>
      <c r="Q13" s="32"/>
    </row>
    <row r="14" ht="22.5" customHeight="1">
      <c r="B14" s="24"/>
      <c r="C14" s="25"/>
      <c r="D14" s="113"/>
      <c r="E14" s="75"/>
      <c r="F14" s="75"/>
      <c r="G14" s="27"/>
      <c r="H14" s="27"/>
      <c r="I14" s="32"/>
      <c r="J14" s="49"/>
      <c r="K14" s="115"/>
      <c r="L14" s="32"/>
      <c r="M14" s="49"/>
      <c r="N14" s="32"/>
      <c r="O14" s="49"/>
      <c r="P14" s="49"/>
      <c r="Q14" s="32"/>
    </row>
    <row r="15" ht="22.5" customHeight="1">
      <c r="B15" s="32"/>
      <c r="C15" s="75"/>
      <c r="D15" s="113"/>
      <c r="E15" s="75"/>
      <c r="F15" s="75"/>
      <c r="G15" s="114"/>
      <c r="H15" s="114"/>
      <c r="I15" s="32"/>
      <c r="J15" s="49"/>
      <c r="K15" s="115"/>
      <c r="L15" s="32"/>
      <c r="M15" s="49"/>
      <c r="N15" s="32"/>
      <c r="O15" s="49"/>
      <c r="P15" s="49"/>
      <c r="Q15" s="32"/>
    </row>
    <row r="16" ht="22.5" customHeight="1">
      <c r="B16" s="32"/>
      <c r="C16" s="75"/>
      <c r="D16" s="113"/>
      <c r="E16" s="75"/>
      <c r="F16" s="75"/>
      <c r="G16" s="114"/>
      <c r="H16" s="114"/>
      <c r="I16" s="32"/>
      <c r="J16" s="49"/>
      <c r="K16" s="115"/>
      <c r="L16" s="32"/>
      <c r="M16" s="49"/>
      <c r="N16" s="32"/>
      <c r="O16" s="49"/>
      <c r="P16" s="49"/>
      <c r="Q16" s="32"/>
    </row>
    <row r="17" ht="22.5" customHeight="1">
      <c r="B17" s="32"/>
      <c r="C17" s="75"/>
      <c r="D17" s="113"/>
      <c r="E17" s="75"/>
      <c r="F17" s="75"/>
      <c r="G17" s="114"/>
      <c r="H17" s="114"/>
      <c r="I17" s="32"/>
      <c r="J17" s="49"/>
      <c r="K17" s="115"/>
      <c r="L17" s="32"/>
      <c r="M17" s="49"/>
      <c r="N17" s="32"/>
      <c r="O17" s="49"/>
      <c r="P17" s="49"/>
      <c r="Q17" s="32"/>
    </row>
    <row r="18" ht="22.5" customHeight="1">
      <c r="B18" s="32"/>
      <c r="C18" s="75"/>
      <c r="D18" s="113"/>
      <c r="E18" s="75"/>
      <c r="F18" s="75"/>
      <c r="G18" s="114"/>
      <c r="H18" s="114"/>
      <c r="I18" s="32"/>
      <c r="J18" s="49"/>
      <c r="K18" s="115"/>
      <c r="L18" s="32"/>
      <c r="M18" s="49"/>
      <c r="N18" s="32"/>
      <c r="O18" s="49"/>
      <c r="P18" s="49"/>
      <c r="Q18" s="32"/>
    </row>
    <row r="19" ht="22.5" customHeight="1">
      <c r="B19" s="32"/>
      <c r="C19" s="75"/>
      <c r="D19" s="113"/>
      <c r="E19" s="75"/>
      <c r="F19" s="75"/>
      <c r="G19" s="114"/>
      <c r="H19" s="114"/>
      <c r="I19" s="32"/>
      <c r="J19" s="49"/>
      <c r="K19" s="115"/>
      <c r="L19" s="32"/>
      <c r="M19" s="49"/>
      <c r="N19" s="32"/>
      <c r="O19" s="49"/>
      <c r="P19" s="49"/>
      <c r="Q19" s="32"/>
    </row>
    <row r="20" ht="22.5" customHeight="1">
      <c r="B20" s="32"/>
      <c r="C20" s="75"/>
      <c r="D20" s="113"/>
      <c r="E20" s="75"/>
      <c r="F20" s="75"/>
      <c r="G20" s="114"/>
      <c r="H20" s="114"/>
      <c r="I20" s="32"/>
      <c r="J20" s="49"/>
      <c r="K20" s="115"/>
      <c r="L20" s="32"/>
      <c r="M20" s="49"/>
      <c r="N20" s="32"/>
      <c r="O20" s="49"/>
      <c r="P20" s="49"/>
      <c r="Q20" s="32"/>
    </row>
    <row r="21" ht="22.5" customHeight="1">
      <c r="B21" s="32"/>
      <c r="C21" s="75"/>
      <c r="D21" s="113"/>
      <c r="E21" s="75"/>
      <c r="F21" s="75"/>
      <c r="G21" s="114"/>
      <c r="H21" s="114"/>
      <c r="I21" s="32"/>
      <c r="J21" s="49"/>
      <c r="K21" s="115"/>
      <c r="L21" s="32"/>
      <c r="M21" s="49"/>
      <c r="N21" s="32"/>
      <c r="O21" s="49"/>
      <c r="P21" s="49"/>
      <c r="Q21" s="32"/>
    </row>
    <row r="22" ht="22.5" customHeight="1">
      <c r="B22" s="32"/>
      <c r="C22" s="75"/>
      <c r="D22" s="113"/>
      <c r="E22" s="75"/>
      <c r="F22" s="75"/>
      <c r="G22" s="114"/>
      <c r="H22" s="114"/>
      <c r="I22" s="32"/>
      <c r="J22" s="49"/>
      <c r="K22" s="115"/>
      <c r="L22" s="32"/>
      <c r="M22" s="49"/>
      <c r="N22" s="32"/>
      <c r="O22" s="49"/>
      <c r="P22" s="49"/>
      <c r="Q22" s="32"/>
    </row>
    <row r="23" ht="22.5" customHeight="1">
      <c r="B23" s="32"/>
      <c r="C23" s="75"/>
      <c r="D23" s="113"/>
      <c r="E23" s="75"/>
      <c r="F23" s="75"/>
      <c r="G23" s="114"/>
      <c r="H23" s="114"/>
      <c r="I23" s="32"/>
      <c r="J23" s="49"/>
      <c r="K23" s="115"/>
      <c r="L23" s="32"/>
      <c r="M23" s="49"/>
      <c r="N23" s="32"/>
      <c r="O23" s="49"/>
      <c r="P23" s="49"/>
      <c r="Q23" s="32"/>
    </row>
    <row r="24" ht="22.5" customHeight="1">
      <c r="B24" s="32"/>
      <c r="C24" s="75"/>
      <c r="D24" s="113"/>
      <c r="E24" s="75"/>
      <c r="F24" s="75"/>
      <c r="G24" s="114"/>
      <c r="H24" s="114"/>
      <c r="I24" s="32"/>
      <c r="J24" s="49"/>
      <c r="K24" s="115"/>
      <c r="L24" s="32"/>
      <c r="M24" s="49"/>
      <c r="N24" s="32"/>
      <c r="O24" s="49"/>
      <c r="P24" s="49"/>
      <c r="Q24" s="32"/>
    </row>
    <row r="25" ht="22.5" customHeight="1">
      <c r="B25" s="32"/>
      <c r="C25" s="75"/>
      <c r="D25" s="113"/>
      <c r="E25" s="75"/>
      <c r="F25" s="75"/>
      <c r="G25" s="114"/>
      <c r="H25" s="114"/>
      <c r="I25" s="32"/>
      <c r="J25" s="49"/>
      <c r="K25" s="115"/>
      <c r="L25" s="32"/>
      <c r="M25" s="49"/>
      <c r="N25" s="32"/>
      <c r="O25" s="49"/>
      <c r="P25" s="49"/>
      <c r="Q25" s="32"/>
    </row>
    <row r="26" ht="22.5" customHeight="1">
      <c r="B26" s="32"/>
      <c r="C26" s="75"/>
      <c r="D26" s="113"/>
      <c r="E26" s="75"/>
      <c r="F26" s="75"/>
      <c r="G26" s="114"/>
      <c r="H26" s="114"/>
      <c r="I26" s="32"/>
      <c r="J26" s="49"/>
      <c r="K26" s="115"/>
      <c r="L26" s="32"/>
      <c r="M26" s="49"/>
      <c r="N26" s="32"/>
      <c r="O26" s="49"/>
      <c r="P26" s="49"/>
      <c r="Q26" s="32"/>
    </row>
    <row r="27" ht="22.5" customHeight="1">
      <c r="B27" s="32"/>
      <c r="C27" s="75"/>
      <c r="D27" s="113"/>
      <c r="E27" s="75"/>
      <c r="F27" s="75"/>
      <c r="G27" s="114"/>
      <c r="H27" s="114"/>
      <c r="I27" s="32"/>
      <c r="J27" s="49"/>
      <c r="K27" s="115"/>
      <c r="L27" s="32"/>
      <c r="M27" s="49"/>
      <c r="N27" s="32"/>
      <c r="O27" s="49"/>
      <c r="P27" s="49"/>
      <c r="Q27" s="32"/>
    </row>
    <row r="28" ht="22.5" customHeight="1">
      <c r="B28" s="32"/>
      <c r="C28" s="75"/>
      <c r="D28" s="113"/>
      <c r="E28" s="75"/>
      <c r="F28" s="75"/>
      <c r="G28" s="114"/>
      <c r="H28" s="114"/>
      <c r="I28" s="32"/>
      <c r="J28" s="49"/>
      <c r="K28" s="115"/>
      <c r="L28" s="32"/>
      <c r="M28" s="49"/>
      <c r="N28" s="32"/>
      <c r="O28" s="49"/>
      <c r="P28" s="49"/>
      <c r="Q28" s="32"/>
    </row>
    <row r="29" ht="22.5" customHeight="1">
      <c r="B29" s="32"/>
      <c r="C29" s="75"/>
      <c r="D29" s="113"/>
      <c r="E29" s="75"/>
      <c r="F29" s="75"/>
      <c r="G29" s="114"/>
      <c r="H29" s="114"/>
      <c r="I29" s="32"/>
      <c r="J29" s="49"/>
      <c r="K29" s="115"/>
      <c r="L29" s="32"/>
      <c r="M29" s="49"/>
      <c r="N29" s="32"/>
      <c r="O29" s="49"/>
      <c r="P29" s="49"/>
      <c r="Q29" s="32"/>
    </row>
    <row r="30" ht="22.5" customHeight="1">
      <c r="B30" s="32"/>
      <c r="C30" s="75"/>
      <c r="D30" s="113"/>
      <c r="E30" s="75"/>
      <c r="F30" s="75"/>
      <c r="G30" s="114"/>
      <c r="H30" s="114"/>
      <c r="I30" s="32"/>
      <c r="J30" s="49"/>
      <c r="K30" s="115"/>
      <c r="L30" s="32"/>
      <c r="M30" s="49"/>
      <c r="N30" s="32"/>
      <c r="O30" s="49"/>
      <c r="P30" s="49"/>
      <c r="Q30" s="32"/>
    </row>
    <row r="31" ht="22.5" customHeight="1">
      <c r="B31" s="32"/>
      <c r="C31" s="75"/>
      <c r="D31" s="113"/>
      <c r="E31" s="75"/>
      <c r="F31" s="75"/>
      <c r="G31" s="114"/>
      <c r="H31" s="114"/>
      <c r="I31" s="32"/>
      <c r="J31" s="49"/>
      <c r="K31" s="115"/>
      <c r="L31" s="32"/>
      <c r="M31" s="49"/>
      <c r="N31" s="32"/>
      <c r="O31" s="49"/>
      <c r="P31" s="49"/>
      <c r="Q31" s="32"/>
    </row>
    <row r="32" ht="22.5" customHeight="1">
      <c r="B32" s="32"/>
      <c r="C32" s="75"/>
      <c r="D32" s="113"/>
      <c r="E32" s="75"/>
      <c r="F32" s="75"/>
      <c r="G32" s="114"/>
      <c r="H32" s="114"/>
      <c r="I32" s="32"/>
      <c r="J32" s="49"/>
      <c r="K32" s="115"/>
      <c r="L32" s="32"/>
      <c r="M32" s="49"/>
      <c r="N32" s="32"/>
      <c r="O32" s="49"/>
      <c r="P32" s="49"/>
      <c r="Q32" s="32"/>
    </row>
    <row r="33" ht="22.5" customHeight="1">
      <c r="B33" s="32"/>
      <c r="C33" s="75"/>
      <c r="D33" s="113"/>
      <c r="E33" s="75"/>
      <c r="F33" s="75"/>
      <c r="G33" s="114"/>
      <c r="H33" s="114"/>
      <c r="I33" s="32"/>
      <c r="J33" s="49"/>
      <c r="K33" s="115"/>
      <c r="L33" s="32"/>
      <c r="M33" s="49"/>
      <c r="N33" s="32"/>
      <c r="O33" s="49"/>
      <c r="P33" s="49"/>
      <c r="Q33" s="32"/>
    </row>
    <row r="34" ht="22.5" customHeight="1">
      <c r="B34" s="32"/>
      <c r="C34" s="75"/>
      <c r="D34" s="113"/>
      <c r="E34" s="75"/>
      <c r="F34" s="75"/>
      <c r="G34" s="114"/>
      <c r="H34" s="114"/>
      <c r="I34" s="32"/>
      <c r="J34" s="49"/>
      <c r="K34" s="115"/>
      <c r="L34" s="32"/>
      <c r="M34" s="49"/>
      <c r="N34" s="32"/>
      <c r="O34" s="49"/>
      <c r="P34" s="49"/>
      <c r="Q34" s="32"/>
    </row>
    <row r="35" ht="22.5" customHeight="1">
      <c r="B35" s="32"/>
      <c r="C35" s="75"/>
      <c r="D35" s="113"/>
      <c r="E35" s="75"/>
      <c r="F35" s="75"/>
      <c r="G35" s="114"/>
      <c r="H35" s="114"/>
      <c r="I35" s="32"/>
      <c r="J35" s="49"/>
      <c r="K35" s="115"/>
      <c r="L35" s="32"/>
      <c r="M35" s="49"/>
      <c r="N35" s="32"/>
      <c r="O35" s="49"/>
      <c r="P35" s="49"/>
      <c r="Q35" s="32"/>
    </row>
    <row r="36" ht="22.5" customHeight="1">
      <c r="B36" s="32"/>
      <c r="C36" s="75"/>
      <c r="D36" s="113"/>
      <c r="E36" s="75"/>
      <c r="F36" s="75"/>
      <c r="G36" s="114"/>
      <c r="H36" s="114"/>
      <c r="I36" s="32"/>
      <c r="J36" s="49"/>
      <c r="K36" s="115"/>
      <c r="L36" s="32"/>
      <c r="M36" s="49"/>
      <c r="N36" s="32"/>
      <c r="O36" s="49"/>
      <c r="P36" s="49"/>
      <c r="Q36" s="32"/>
    </row>
    <row r="37" ht="22.5" customHeight="1">
      <c r="B37" s="32"/>
      <c r="C37" s="75"/>
      <c r="D37" s="113"/>
      <c r="E37" s="75"/>
      <c r="F37" s="75"/>
      <c r="G37" s="114"/>
      <c r="H37" s="114"/>
      <c r="I37" s="32"/>
      <c r="J37" s="49"/>
      <c r="K37" s="115"/>
      <c r="L37" s="32"/>
      <c r="M37" s="49"/>
      <c r="N37" s="32"/>
      <c r="O37" s="49"/>
      <c r="P37" s="49"/>
      <c r="Q37" s="32"/>
    </row>
    <row r="38" ht="22.5" customHeight="1">
      <c r="B38" s="32"/>
      <c r="C38" s="75"/>
      <c r="D38" s="113"/>
      <c r="E38" s="75"/>
      <c r="F38" s="75"/>
      <c r="G38" s="114"/>
      <c r="H38" s="114"/>
      <c r="I38" s="32"/>
      <c r="J38" s="49"/>
      <c r="K38" s="115"/>
      <c r="L38" s="32"/>
      <c r="M38" s="49"/>
      <c r="N38" s="32"/>
      <c r="O38" s="49"/>
      <c r="P38" s="49"/>
      <c r="Q38" s="32"/>
    </row>
    <row r="39" ht="22.5" customHeight="1">
      <c r="B39" s="32"/>
      <c r="C39" s="75"/>
      <c r="D39" s="113"/>
      <c r="E39" s="75"/>
      <c r="F39" s="75"/>
      <c r="G39" s="114"/>
      <c r="H39" s="114"/>
      <c r="I39" s="32"/>
      <c r="J39" s="49"/>
      <c r="K39" s="115"/>
      <c r="L39" s="32"/>
      <c r="M39" s="49"/>
      <c r="N39" s="32"/>
      <c r="O39" s="49"/>
      <c r="P39" s="49"/>
      <c r="Q39" s="32"/>
    </row>
    <row r="40" ht="22.5" customHeight="1">
      <c r="B40" s="32"/>
      <c r="C40" s="75"/>
      <c r="D40" s="113"/>
      <c r="E40" s="75"/>
      <c r="F40" s="75"/>
      <c r="G40" s="114"/>
      <c r="H40" s="114"/>
      <c r="I40" s="32"/>
      <c r="J40" s="49"/>
      <c r="K40" s="115"/>
      <c r="L40" s="32"/>
      <c r="M40" s="49"/>
      <c r="N40" s="32"/>
      <c r="O40" s="49"/>
      <c r="P40" s="49"/>
      <c r="Q40" s="32"/>
    </row>
    <row r="41" ht="22.5" customHeight="1">
      <c r="B41" s="32"/>
      <c r="C41" s="75"/>
      <c r="D41" s="113"/>
      <c r="E41" s="75"/>
      <c r="F41" s="75"/>
      <c r="G41" s="114"/>
      <c r="H41" s="114"/>
      <c r="I41" s="32"/>
      <c r="J41" s="49"/>
      <c r="K41" s="115"/>
      <c r="L41" s="32"/>
      <c r="M41" s="49"/>
      <c r="N41" s="32"/>
      <c r="O41" s="49"/>
      <c r="P41" s="49"/>
      <c r="Q41" s="32"/>
    </row>
    <row r="42" ht="22.5" customHeight="1">
      <c r="B42" s="32"/>
      <c r="C42" s="75"/>
      <c r="D42" s="113"/>
      <c r="E42" s="75"/>
      <c r="F42" s="75"/>
      <c r="G42" s="114"/>
      <c r="H42" s="114"/>
      <c r="I42" s="32"/>
      <c r="J42" s="49"/>
      <c r="K42" s="115"/>
      <c r="L42" s="32"/>
      <c r="M42" s="49"/>
      <c r="N42" s="32"/>
      <c r="O42" s="49"/>
      <c r="P42" s="49"/>
      <c r="Q42" s="32"/>
    </row>
    <row r="43" ht="22.5" customHeight="1">
      <c r="B43" s="32"/>
      <c r="C43" s="75"/>
      <c r="D43" s="113"/>
      <c r="E43" s="75"/>
      <c r="F43" s="75"/>
      <c r="G43" s="114"/>
      <c r="H43" s="114"/>
      <c r="I43" s="32"/>
      <c r="J43" s="49"/>
      <c r="K43" s="115"/>
      <c r="L43" s="32"/>
      <c r="M43" s="49"/>
      <c r="N43" s="32"/>
      <c r="O43" s="49"/>
      <c r="P43" s="49"/>
      <c r="Q43" s="32"/>
    </row>
    <row r="44" ht="22.5" customHeight="1">
      <c r="B44" s="32"/>
      <c r="C44" s="75"/>
      <c r="D44" s="113"/>
      <c r="E44" s="75"/>
      <c r="F44" s="75"/>
      <c r="G44" s="114"/>
      <c r="H44" s="114"/>
      <c r="I44" s="32"/>
      <c r="J44" s="49"/>
      <c r="K44" s="115"/>
      <c r="L44" s="32"/>
      <c r="M44" s="49"/>
      <c r="N44" s="32"/>
      <c r="O44" s="49"/>
      <c r="P44" s="49"/>
      <c r="Q44" s="32"/>
    </row>
    <row r="45" ht="22.5" customHeight="1">
      <c r="B45" s="32"/>
      <c r="C45" s="75"/>
      <c r="D45" s="113"/>
      <c r="E45" s="75"/>
      <c r="F45" s="75"/>
      <c r="G45" s="114"/>
      <c r="H45" s="114"/>
      <c r="I45" s="32"/>
      <c r="J45" s="49"/>
      <c r="K45" s="115"/>
      <c r="L45" s="32"/>
      <c r="M45" s="49"/>
      <c r="N45" s="32"/>
      <c r="O45" s="49"/>
      <c r="P45" s="49"/>
      <c r="Q45" s="32"/>
    </row>
    <row r="46" ht="22.5" customHeight="1">
      <c r="B46" s="32"/>
      <c r="C46" s="75"/>
      <c r="D46" s="113"/>
      <c r="E46" s="75"/>
      <c r="F46" s="75"/>
      <c r="G46" s="114"/>
      <c r="H46" s="114"/>
      <c r="I46" s="32"/>
      <c r="J46" s="49"/>
      <c r="K46" s="115"/>
      <c r="L46" s="32"/>
      <c r="M46" s="49"/>
      <c r="N46" s="32"/>
      <c r="O46" s="49"/>
      <c r="P46" s="49"/>
      <c r="Q46" s="32"/>
    </row>
    <row r="47" ht="22.5" customHeight="1">
      <c r="B47" s="32"/>
      <c r="C47" s="75"/>
      <c r="D47" s="113"/>
      <c r="E47" s="75"/>
      <c r="F47" s="75"/>
      <c r="G47" s="114"/>
      <c r="H47" s="114"/>
      <c r="I47" s="32"/>
      <c r="J47" s="49"/>
      <c r="K47" s="115"/>
      <c r="L47" s="32"/>
      <c r="M47" s="49"/>
      <c r="N47" s="32"/>
      <c r="O47" s="49"/>
      <c r="P47" s="49"/>
      <c r="Q47" s="32"/>
    </row>
    <row r="48" ht="22.5" customHeight="1">
      <c r="B48" s="32"/>
      <c r="C48" s="75"/>
      <c r="D48" s="113"/>
      <c r="E48" s="75"/>
      <c r="F48" s="75"/>
      <c r="G48" s="114"/>
      <c r="H48" s="114"/>
      <c r="I48" s="32"/>
      <c r="J48" s="49"/>
      <c r="K48" s="115"/>
      <c r="L48" s="32"/>
      <c r="M48" s="49"/>
      <c r="N48" s="32"/>
      <c r="O48" s="49"/>
      <c r="P48" s="49"/>
      <c r="Q48" s="32"/>
    </row>
    <row r="49" ht="22.5" customHeight="1">
      <c r="B49" s="32"/>
      <c r="C49" s="75"/>
      <c r="D49" s="113"/>
      <c r="E49" s="75"/>
      <c r="F49" s="75"/>
      <c r="G49" s="114"/>
      <c r="H49" s="114"/>
      <c r="I49" s="32"/>
      <c r="J49" s="49"/>
      <c r="K49" s="115"/>
      <c r="L49" s="32"/>
      <c r="M49" s="49"/>
      <c r="N49" s="32"/>
      <c r="O49" s="49"/>
      <c r="P49" s="49"/>
      <c r="Q49" s="32"/>
    </row>
    <row r="50" ht="22.5" customHeight="1">
      <c r="B50" s="32"/>
      <c r="C50" s="75"/>
      <c r="D50" s="113"/>
      <c r="E50" s="75"/>
      <c r="F50" s="75"/>
      <c r="G50" s="114"/>
      <c r="H50" s="114"/>
      <c r="I50" s="32"/>
      <c r="J50" s="49"/>
      <c r="K50" s="115"/>
      <c r="L50" s="32"/>
      <c r="M50" s="49"/>
      <c r="N50" s="32"/>
      <c r="O50" s="49"/>
      <c r="P50" s="49"/>
      <c r="Q50" s="32"/>
    </row>
    <row r="51" ht="22.5" customHeight="1">
      <c r="B51" s="32"/>
      <c r="C51" s="75"/>
      <c r="D51" s="113"/>
      <c r="E51" s="75"/>
      <c r="F51" s="75"/>
      <c r="G51" s="114"/>
      <c r="H51" s="114"/>
      <c r="I51" s="32"/>
      <c r="J51" s="49"/>
      <c r="K51" s="115"/>
      <c r="L51" s="32"/>
      <c r="M51" s="49"/>
      <c r="N51" s="32"/>
      <c r="O51" s="49"/>
      <c r="P51" s="49"/>
      <c r="Q51" s="32"/>
    </row>
    <row r="52" ht="22.5" customHeight="1">
      <c r="B52" s="32"/>
      <c r="C52" s="75"/>
      <c r="D52" s="113"/>
      <c r="E52" s="75"/>
      <c r="F52" s="75"/>
      <c r="G52" s="114"/>
      <c r="H52" s="114"/>
      <c r="I52" s="32"/>
      <c r="J52" s="49"/>
      <c r="K52" s="115"/>
      <c r="L52" s="32"/>
      <c r="M52" s="49"/>
      <c r="N52" s="32"/>
      <c r="O52" s="49"/>
      <c r="P52" s="49"/>
      <c r="Q52" s="3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