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 sheetId="1" r:id="rId5"/>
    <sheet state="visible" name="NAHOMI DIAZ" sheetId="2" r:id="rId6"/>
    <sheet state="visible" name="OMAR MINAYA" sheetId="3" r:id="rId7"/>
    <sheet state="visible" name="JHON ZAMORA" sheetId="4" r:id="rId8"/>
    <sheet state="visible" name="ANGIE SILVERA" sheetId="5" r:id="rId9"/>
    <sheet state="visible" name="LUIS CHUSE" sheetId="6" r:id="rId10"/>
    <sheet state="visible" name="JIMMY COLLAZOS" sheetId="7" r:id="rId11"/>
    <sheet state="visible" name="LUIS MENDOZA" sheetId="8" r:id="rId12"/>
    <sheet state="visible" name="KENNY MORALES" sheetId="9" r:id="rId13"/>
    <sheet state="visible" name="MILAGROS TUESTA" sheetId="10" r:id="rId14"/>
    <sheet state="visible" name="MARIELLA PAÑAHUA" sheetId="11" r:id="rId15"/>
    <sheet state="visible" name="WENDY IPANEQUE" sheetId="12" r:id="rId16"/>
    <sheet state="visible" name="ALEXANDRA GUZMAN" sheetId="13" r:id="rId17"/>
    <sheet state="visible" name="AMALIA QUINDE" sheetId="14" r:id="rId18"/>
    <sheet state="visible" name="JORGE CASTILLO" sheetId="15" r:id="rId19"/>
    <sheet state="visible" name="VIOLETA LLERENA" sheetId="16" r:id="rId20"/>
    <sheet state="visible" name="CRISTINA BRACAMONTE" sheetId="17" r:id="rId21"/>
  </sheets>
  <definedNames>
    <definedName hidden="1" localSheetId="7" name="_xlnm._FilterDatabase">'LUIS MENDOZA'!$B$9:$Q$52</definedName>
  </definedNames>
  <calcPr/>
</workbook>
</file>

<file path=xl/sharedStrings.xml><?xml version="1.0" encoding="utf-8"?>
<sst xmlns="http://schemas.openxmlformats.org/spreadsheetml/2006/main" count="1745" uniqueCount="493">
  <si>
    <t xml:space="preserve"> </t>
  </si>
  <si>
    <t>Tablas de Gestión:</t>
  </si>
  <si>
    <t>SUPERVISOR</t>
  </si>
  <si>
    <t>ZONA</t>
  </si>
  <si>
    <t>TOTAL DESEMBOLSO</t>
  </si>
  <si>
    <t>Q DESEMBOLSO</t>
  </si>
  <si>
    <t>EVALUACION BCP</t>
  </si>
  <si>
    <t>PENDIENTE DE BACK</t>
  </si>
  <si>
    <t>PENDIENTE DE REMESA</t>
  </si>
  <si>
    <t>PENDIENTE DE DOCUMENTAR</t>
  </si>
  <si>
    <t>META OBJETIVO</t>
  </si>
  <si>
    <t>AVANCE</t>
  </si>
  <si>
    <t>Q EVALUACION BCP</t>
  </si>
  <si>
    <t>Q PENDIENTE DE BACK</t>
  </si>
  <si>
    <t>ANGIE SILVERA</t>
  </si>
  <si>
    <t>LIMA</t>
  </si>
  <si>
    <t>CHICLAYO</t>
  </si>
  <si>
    <t>Meta</t>
  </si>
  <si>
    <t>Desembolsado</t>
  </si>
  <si>
    <t>Avance</t>
  </si>
  <si>
    <t>Pendiente De Documentar</t>
  </si>
  <si>
    <t>Pendiente De Remesa</t>
  </si>
  <si>
    <t>Pendiente De Backoffice</t>
  </si>
  <si>
    <t>Evaluación BCP</t>
  </si>
  <si>
    <t>Obs Backoffice</t>
  </si>
  <si>
    <t>Obs BCP</t>
  </si>
  <si>
    <t>Rechazado</t>
  </si>
  <si>
    <t>S/.</t>
  </si>
  <si>
    <t>CRISTINA BRACAMONTE</t>
  </si>
  <si>
    <t>JHON ZAMORA</t>
  </si>
  <si>
    <t>JIMMY COLLAZOS</t>
  </si>
  <si>
    <t>TARAPOTO</t>
  </si>
  <si>
    <t>Q / %</t>
  </si>
  <si>
    <t>OMAR MINAYA</t>
  </si>
  <si>
    <t>-</t>
  </si>
  <si>
    <t>KENNY MORALES</t>
  </si>
  <si>
    <t>LUIS CHUSE</t>
  </si>
  <si>
    <t>PLAZA DE VENTA</t>
  </si>
  <si>
    <t>FECHA DE ENVIO DE REMESA</t>
  </si>
  <si>
    <t>ESTADO DE REMESA</t>
  </si>
  <si>
    <t>LUIS MENDOZA</t>
  </si>
  <si>
    <t>FECHA DE INGRESO</t>
  </si>
  <si>
    <t>FECHA DE DESEMBOLSO</t>
  </si>
  <si>
    <t>DOCUMENTO</t>
  </si>
  <si>
    <t>NOMBRES Y APELLIDOS</t>
  </si>
  <si>
    <t>CONVENIO</t>
  </si>
  <si>
    <t>ESTADO</t>
  </si>
  <si>
    <t>MAF NETO</t>
  </si>
  <si>
    <t>EJECUTIVO</t>
  </si>
  <si>
    <t>FILE ENVIADO A BANCO</t>
  </si>
  <si>
    <t>FECHA DE ENVIÓ CARTA PODER A BCP</t>
  </si>
  <si>
    <t>COMPRA DE DEUDA REALIZADA</t>
  </si>
  <si>
    <t>MARIELLA PAÑAHUA</t>
  </si>
  <si>
    <t>LIBERACIÓN</t>
  </si>
  <si>
    <t>FEEDBACK</t>
  </si>
  <si>
    <t>Aprobada</t>
  </si>
  <si>
    <t>MILAGROS TUESTA</t>
  </si>
  <si>
    <t>71448501</t>
  </si>
  <si>
    <t>73865661</t>
  </si>
  <si>
    <t>ACUÑA TERRONES VICTOR AGUSTO</t>
  </si>
  <si>
    <t>GEANPIEER GRIMALDO BRAVO VILLA</t>
  </si>
  <si>
    <t>PNP</t>
  </si>
  <si>
    <t>NAHOMI DIAZ</t>
  </si>
  <si>
    <t>VICTOR CIEZA</t>
  </si>
  <si>
    <t>AZUCENA BARBA</t>
  </si>
  <si>
    <t>Si</t>
  </si>
  <si>
    <t>CAMBIO SCORE</t>
  </si>
  <si>
    <t>05-05.2026</t>
  </si>
  <si>
    <t>VIOLETA LLERENA</t>
  </si>
  <si>
    <t>AREQUIPA</t>
  </si>
  <si>
    <t>70775368</t>
  </si>
  <si>
    <t>PALOMINO VALENCIA KENYO</t>
  </si>
  <si>
    <t>FLOR LLATAS</t>
  </si>
  <si>
    <t>ALEXANDRA GUZMAN</t>
  </si>
  <si>
    <t>PIURA</t>
  </si>
  <si>
    <t>No</t>
  </si>
  <si>
    <t>45489069</t>
  </si>
  <si>
    <t>72774091</t>
  </si>
  <si>
    <t>MORENO SANTA MARIA  PETER WILLY</t>
  </si>
  <si>
    <t>AMALIA QUINDE</t>
  </si>
  <si>
    <t xml:space="preserve">SEGURA RAMOS GUSTAVO EDUARDO </t>
  </si>
  <si>
    <t>JUDITH FARRO</t>
  </si>
  <si>
    <t>JORGE CASTILLO</t>
  </si>
  <si>
    <t>Rechazada</t>
  </si>
  <si>
    <t>74314651</t>
  </si>
  <si>
    <t>CHAFLOQUE LEON CARLOS DHYACO</t>
  </si>
  <si>
    <t>WENDY IPANEQUE</t>
  </si>
  <si>
    <t>70581599</t>
  </si>
  <si>
    <t xml:space="preserve">YUMBATO MURAYARI WALTER </t>
  </si>
  <si>
    <t>77415152</t>
  </si>
  <si>
    <t>EJERCITO</t>
  </si>
  <si>
    <t>JHENNYFER TATIANA DIAZ SANDOVAL</t>
  </si>
  <si>
    <t>VIDALINA ESTELA</t>
  </si>
  <si>
    <t>CLTE CON FOVIPOL NO PROCEDE CD NACION POR FALTA DE LIQUIDEZ</t>
  </si>
  <si>
    <t>TOTAL</t>
  </si>
  <si>
    <t xml:space="preserve">CLIENTE DESISTIÓ DE CREDITO </t>
  </si>
  <si>
    <t>PLAZA</t>
  </si>
  <si>
    <t>71934007</t>
  </si>
  <si>
    <t>VASQUEZ FLORES ELIAS FERNANDO</t>
  </si>
  <si>
    <t>71582043</t>
  </si>
  <si>
    <t>EJERCITO PERUANO</t>
  </si>
  <si>
    <t>BANDA MEDINA JOSE OMAR</t>
  </si>
  <si>
    <t>75771722</t>
  </si>
  <si>
    <t xml:space="preserve">CRISANTO ALVARADO JUNIOR JOSUE </t>
  </si>
  <si>
    <t>REMESA RECHAZADA</t>
  </si>
  <si>
    <t>.</t>
  </si>
  <si>
    <t>46043653</t>
  </si>
  <si>
    <t>76286201</t>
  </si>
  <si>
    <t xml:space="preserve">NECIOSUP CIURLIZZA ARMANDO EDUARDO </t>
  </si>
  <si>
    <t>FRETEL CHANAME EDSON RONALDO</t>
  </si>
  <si>
    <t>NORTE</t>
  </si>
  <si>
    <t>46180058</t>
  </si>
  <si>
    <t>VASQUEZ EFFIO SMITH ALAN</t>
  </si>
  <si>
    <t>DESEMBOLSÓ BBVA</t>
  </si>
  <si>
    <t>El estado de la solicitud para el cliente Vasquez Effio Smith Alan es "Rechazado" (columna J), por lo que no corresponde el envío de una carta poder al BCP. En las filas anteriores con un estado similar o sin el trámite realizado, esta celda se deja vacía. En un formato de celda de texto o vacío, se puede representar con un espacio en blanco o un guion si se sigue la consistencia de las filas vacías de la tabla. Dado el contexto de la fila anterior rechazada que no tiene datos en esa columna:</t>
  </si>
  <si>
    <t>Enviada</t>
  </si>
  <si>
    <t>75793286</t>
  </si>
  <si>
    <t>CASANA VELASQUEZ JEAN CARLO</t>
  </si>
  <si>
    <t>73859445</t>
  </si>
  <si>
    <t>TICLIAHUANCA BRAVO MARLON SAID</t>
  </si>
  <si>
    <t>75910205</t>
  </si>
  <si>
    <t>ORTIZ SANCHEZ JOSEPH ALAIN</t>
  </si>
  <si>
    <t>CLIENTE FIRMÓ OTRO BANCO</t>
  </si>
  <si>
    <t>YURIKO OSPINO</t>
  </si>
  <si>
    <t>46005010</t>
  </si>
  <si>
    <t>PALACIOS SUXO JOSE EDUARDO</t>
  </si>
  <si>
    <t>48681594</t>
  </si>
  <si>
    <t>OJANAMA ACOSTA LARRY</t>
  </si>
  <si>
    <t>46910174</t>
  </si>
  <si>
    <t>FRIAS BERECHE KAREN ANDREA</t>
  </si>
  <si>
    <t>71109206</t>
  </si>
  <si>
    <t>BARDALES VEGA FRANZ WILER</t>
  </si>
  <si>
    <t>remesa rechazada por liquides</t>
  </si>
  <si>
    <t>76354199</t>
  </si>
  <si>
    <t>75831834</t>
  </si>
  <si>
    <t>CASTILLO ZETA KATHERINE LISBETH</t>
  </si>
  <si>
    <t>ZARATE RECALDE YANNER</t>
  </si>
  <si>
    <t xml:space="preserve">VIDALINA ESTELA </t>
  </si>
  <si>
    <t>43128829</t>
  </si>
  <si>
    <t>PERALTA PAREDES WILMER ALBERTO</t>
  </si>
  <si>
    <t>42421324</t>
  </si>
  <si>
    <t>ZULOETA ZULOETA JOSE LUIS</t>
  </si>
  <si>
    <t>47040995</t>
  </si>
  <si>
    <t xml:space="preserve">NUÑEZ TERRONES </t>
  </si>
  <si>
    <t>73265306</t>
  </si>
  <si>
    <t>ACOSTA HUAMAN JESUS ALEXANDER</t>
  </si>
  <si>
    <t>MARIA LLONTOP</t>
  </si>
  <si>
    <t>46146763</t>
  </si>
  <si>
    <t>VERGARA HUALLPARIMACCHI AMILCAR</t>
  </si>
  <si>
    <t>74610530</t>
  </si>
  <si>
    <t>ZAVALA OLIVERA ABRAHAM JONAS</t>
  </si>
  <si>
    <t>MARINA</t>
  </si>
  <si>
    <t>AURELIA FERNANDEZ</t>
  </si>
  <si>
    <t>PUERTO MALDONADO</t>
  </si>
  <si>
    <t>41224372</t>
  </si>
  <si>
    <t>ROMAN ROMAN ISMAEL JACOB</t>
  </si>
  <si>
    <t>47301103</t>
  </si>
  <si>
    <t xml:space="preserve">BURGA REGALADO </t>
  </si>
  <si>
    <t>44781528</t>
  </si>
  <si>
    <t>CAMONES RAMOS GLADYS ELIZABETH</t>
  </si>
  <si>
    <t>A ESPERA DE BOLETA MAYO</t>
  </si>
  <si>
    <t>YESICA HEREDIA</t>
  </si>
  <si>
    <t>47325317</t>
  </si>
  <si>
    <t>FERNANDEZ DAVILA CLEVER RAUL</t>
  </si>
  <si>
    <t>41280974</t>
  </si>
  <si>
    <t>HERMOZA ARANA CARMEN ROSA</t>
  </si>
  <si>
    <t>FAP</t>
  </si>
  <si>
    <t>70046499</t>
  </si>
  <si>
    <t>LLONTOP RAMIREZ BRANDON JANPIER</t>
  </si>
  <si>
    <t>71599463</t>
  </si>
  <si>
    <t>ALIAGA VALERIANO JHEREMY JESUS</t>
  </si>
  <si>
    <t>REFINANCIADO</t>
  </si>
  <si>
    <t xml:space="preserve"> CHICLAYO</t>
  </si>
  <si>
    <t>76392800</t>
  </si>
  <si>
    <t>AVELLANEDA ESPINOZA MILTE NESTOR</t>
  </si>
  <si>
    <t>45920500</t>
  </si>
  <si>
    <t>CHAVEZ PEREZ CESAR GUILLERMO</t>
  </si>
  <si>
    <t>JUAN CORDOVA</t>
  </si>
  <si>
    <t>73741384</t>
  </si>
  <si>
    <t>PILCO BRAVO ROEL NEIL</t>
  </si>
  <si>
    <t>46946411</t>
  </si>
  <si>
    <t>PUANCHA CHIJIAP OMERO</t>
  </si>
  <si>
    <t>46127105</t>
  </si>
  <si>
    <t>SUCLUPE MATALLANA PABLO EDUARDO</t>
  </si>
  <si>
    <t>LE FALTA 1 DSCTO BOLETA</t>
  </si>
  <si>
    <t>TUMBES</t>
  </si>
  <si>
    <t>71314321</t>
  </si>
  <si>
    <t>CHUNGA SANCHEZ CHRISTIAN AUGUSTO</t>
  </si>
  <si>
    <t>EP</t>
  </si>
  <si>
    <t>77239342</t>
  </si>
  <si>
    <t xml:space="preserve">BUSTAMANTE ENRIQUEZ YASSER BILL </t>
  </si>
  <si>
    <t>71374506</t>
  </si>
  <si>
    <t>HUAROTTO CORDOVA ELVIS CRISTIAN</t>
  </si>
  <si>
    <t>48130160</t>
  </si>
  <si>
    <t>VERA RAMOS RICHARD OSMIN</t>
  </si>
  <si>
    <t>70114022</t>
  </si>
  <si>
    <t>JARA FLORENTINO XIOMARA NAOMI</t>
  </si>
  <si>
    <t>73569726</t>
  </si>
  <si>
    <t>SORIANO CARRASCO JEFFERSON JAMIR</t>
  </si>
  <si>
    <t>70204889</t>
  </si>
  <si>
    <t>SANCHEZ LICAPA LUIS ALBERTO</t>
  </si>
  <si>
    <t>26.0</t>
  </si>
  <si>
    <t>74635454</t>
  </si>
  <si>
    <t>IRIGOÍN GONZÁLES FRANKLIN MARLO</t>
  </si>
  <si>
    <t>71238364</t>
  </si>
  <si>
    <t>RENGIFO USHIÑAHUA JESSICA YADIRA</t>
  </si>
  <si>
    <t>pnp</t>
  </si>
  <si>
    <t>74762869</t>
  </si>
  <si>
    <t>ALVARADO TAYPE DIMAS EDWIN</t>
  </si>
  <si>
    <t>73489789</t>
  </si>
  <si>
    <t>VALLEJOS GOICOCHEA LUIS</t>
  </si>
  <si>
    <t>63692650</t>
  </si>
  <si>
    <t>GUZMAN CAHUACHI FRANKLIN ELIAN</t>
  </si>
  <si>
    <t>DESISTIO</t>
  </si>
  <si>
    <t>46949222</t>
  </si>
  <si>
    <t>BAUTISTA ALVA GOMVY NAPOLEON</t>
  </si>
  <si>
    <t>48667414</t>
  </si>
  <si>
    <t>RAMIREZ VALLEJOS DEIBY</t>
  </si>
  <si>
    <t xml:space="preserve">PNP </t>
  </si>
  <si>
    <t>46880757</t>
  </si>
  <si>
    <t>HUAPAYA PERALTA JUAN JESUS</t>
  </si>
  <si>
    <t>72307920</t>
  </si>
  <si>
    <t>FUSTAMANTE HERRERA CARLOS ALBERTO</t>
  </si>
  <si>
    <t>74909280</t>
  </si>
  <si>
    <t>OJEDA PRADA ADRIAN AUGUSTO</t>
  </si>
  <si>
    <t>CARTERA TRANSFERIDA</t>
  </si>
  <si>
    <t>06666637</t>
  </si>
  <si>
    <t>FABIAN CELIS MIRIAM LUISA</t>
  </si>
  <si>
    <t>72225176</t>
  </si>
  <si>
    <t>NIETO VENTURA LUIGGI VLADIMIR</t>
  </si>
  <si>
    <t>74239685</t>
  </si>
  <si>
    <t>SAAVEDRA FARFAN JOEL</t>
  </si>
  <si>
    <t>43261552</t>
  </si>
  <si>
    <t>REJAS VELASCO EVELYN MARGOT</t>
  </si>
  <si>
    <t>73816026</t>
  </si>
  <si>
    <t xml:space="preserve">INSTITUCION RECHAZO EL MAXIMO MONTO </t>
  </si>
  <si>
    <t>PRETEL ROJAS MAURO GIANPIERRE</t>
  </si>
  <si>
    <t>70948146</t>
  </si>
  <si>
    <t>MORE BRAVO RENZO EDGAR JESUS</t>
  </si>
  <si>
    <t>45918277</t>
  </si>
  <si>
    <t>QUISPE CANCHARI ILICH DARWIN</t>
  </si>
  <si>
    <t>47993666</t>
  </si>
  <si>
    <t>CABANILLAS ROMERO MARIA EVILA</t>
  </si>
  <si>
    <t>77344757</t>
  </si>
  <si>
    <t>GONZALO GALLARDO ISRAEL</t>
  </si>
  <si>
    <t>47008812</t>
  </si>
  <si>
    <t>ARAUCO MALLQUI VICTOR OSNAR</t>
  </si>
  <si>
    <t>75080589</t>
  </si>
  <si>
    <t>PALOMINO CAMPOS LUIS ENRIQUE</t>
  </si>
  <si>
    <t>42070935</t>
  </si>
  <si>
    <t>CERRON QUINTANILLA MARCO ANTONIO</t>
  </si>
  <si>
    <t>71696821</t>
  </si>
  <si>
    <t>CAHUANA CARDOZO ANGEL MANUEL</t>
  </si>
  <si>
    <t>45861439</t>
  </si>
  <si>
    <t>MORALES HURTADO NATALI ESTEFANI</t>
  </si>
  <si>
    <t>71246855</t>
  </si>
  <si>
    <t>JIMENEZ MENDOZA DARWIN</t>
  </si>
  <si>
    <t>72201533</t>
  </si>
  <si>
    <t>MAZA RAMOS ANGEL ARNALDO</t>
  </si>
  <si>
    <t>74403892</t>
  </si>
  <si>
    <t>43919534</t>
  </si>
  <si>
    <t>PARAGUAY MEZA FOREX MAYKY</t>
  </si>
  <si>
    <t>SANTE MENDOZA CARLOS CORONADO</t>
  </si>
  <si>
    <t>JEANNETTE MENDEZ</t>
  </si>
  <si>
    <t>73335956</t>
  </si>
  <si>
    <t>TICLIAHUANCA HUANCAS MAYR LOT</t>
  </si>
  <si>
    <t>RAUL ALCA</t>
  </si>
  <si>
    <t>CLIENTE PYME , SE SOLICITO CAMBIO</t>
  </si>
  <si>
    <t>43378472</t>
  </si>
  <si>
    <t>RANTES LOPEZ MICHAEL HOWARD LEE</t>
  </si>
  <si>
    <t>DIRIS CENTRO</t>
  </si>
  <si>
    <t>LUIS SHEPERD</t>
  </si>
  <si>
    <t>40284449</t>
  </si>
  <si>
    <t>IBARRA LEON RICARDO MASIAS</t>
  </si>
  <si>
    <t>DIRIS ESTE</t>
  </si>
  <si>
    <t>71111316</t>
  </si>
  <si>
    <t>CORDOVA CAMACHO LEODAN</t>
  </si>
  <si>
    <t>EDGAR CHOTA</t>
  </si>
  <si>
    <t>45789138</t>
  </si>
  <si>
    <t>JAZMINA REYNA OREJON MARCA</t>
  </si>
  <si>
    <t>ESSALUD</t>
  </si>
  <si>
    <t>CARLOS ESPINOZA</t>
  </si>
  <si>
    <t>42675444</t>
  </si>
  <si>
    <t>FLOREANO RODRIGUEZ TAYLOR ELI</t>
  </si>
  <si>
    <t>47496367</t>
  </si>
  <si>
    <t>QUISPE CONTRERAS MYCKOL JONATHAN</t>
  </si>
  <si>
    <t>JOSSEF</t>
  </si>
  <si>
    <t>09570721</t>
  </si>
  <si>
    <t>ESPINOZA BRAVO ESTHER CARIDAD</t>
  </si>
  <si>
    <t>09655248</t>
  </si>
  <si>
    <t>SALVO CHUQUICAJA ADA LUZ</t>
  </si>
  <si>
    <t>DIRIS LIMA CENTRO</t>
  </si>
  <si>
    <t>46696117</t>
  </si>
  <si>
    <t>VEGA CHUCO ANGELINE MARIA SOLANGE</t>
  </si>
  <si>
    <t>MGP</t>
  </si>
  <si>
    <t>JORGE SALAZAR</t>
  </si>
  <si>
    <t>44864050</t>
  </si>
  <si>
    <t>BENITES ARBULU MIGUEL ARMANDO</t>
  </si>
  <si>
    <t>74357803</t>
  </si>
  <si>
    <t>QUISPE CORONEL LUIS ANGEL</t>
  </si>
  <si>
    <t>73803001</t>
  </si>
  <si>
    <t>ALCIDES FERNANDEZ</t>
  </si>
  <si>
    <t>SANGAMA SANTILLAN CESAR VALERIO</t>
  </si>
  <si>
    <t>76416084</t>
  </si>
  <si>
    <t>VILLACORTA TAPIA ANTHONY JAIR</t>
  </si>
  <si>
    <t>46274228</t>
  </si>
  <si>
    <t>NAVARRETE SALCEDO GLEIDER</t>
  </si>
  <si>
    <t>77232610</t>
  </si>
  <si>
    <t>TAFUR GUERRA CRISTIAN RICARDO</t>
  </si>
  <si>
    <t>71772724</t>
  </si>
  <si>
    <t>RAMIREZ ALVA DEYVI</t>
  </si>
  <si>
    <t>43342601</t>
  </si>
  <si>
    <t xml:space="preserve"> JOSE ANTONIO APAZA HUANCACURI</t>
  </si>
  <si>
    <t>CAROL URBISAGASTEGUI</t>
  </si>
  <si>
    <t>70432835</t>
  </si>
  <si>
    <t>46662556</t>
  </si>
  <si>
    <t>CORDOVA SORIA KIELA JOYS</t>
  </si>
  <si>
    <t xml:space="preserve">SINTIA ESTEFANIA CACHAY LEZCANO </t>
  </si>
  <si>
    <t>77279982</t>
  </si>
  <si>
    <t>GUEVARA MARTINEZ MELVER</t>
  </si>
  <si>
    <t>EN JUNIO</t>
  </si>
  <si>
    <t>45309223</t>
  </si>
  <si>
    <t>MAS GUIVIN GENRY</t>
  </si>
  <si>
    <t>CLAUDIA LEYVA</t>
  </si>
  <si>
    <t>40060107</t>
  </si>
  <si>
    <t>CHIQUIAN FLORES GILBER JAVIER</t>
  </si>
  <si>
    <t>41013455</t>
  </si>
  <si>
    <t>HIGA GUILLEN DIANA</t>
  </si>
  <si>
    <t>72963579</t>
  </si>
  <si>
    <t>CHUQUIPIONDO HIDALGO TEOFILO</t>
  </si>
  <si>
    <t>46610741</t>
  </si>
  <si>
    <t>MORENO PANTOJA ELISBEL</t>
  </si>
  <si>
    <t>72841302</t>
  </si>
  <si>
    <t>RAMIREZ GONZALES DANNY</t>
  </si>
  <si>
    <t>70544838</t>
  </si>
  <si>
    <t>NIMA ZETA JACSON LEANDRO</t>
  </si>
  <si>
    <t>XXX</t>
  </si>
  <si>
    <t xml:space="preserve">     </t>
  </si>
  <si>
    <t>75952684</t>
  </si>
  <si>
    <t>BADAJOS PLASENCIA JASON BRAYAN</t>
  </si>
  <si>
    <t>ROXANA FERNANDEZ</t>
  </si>
  <si>
    <t>VOLVER A CONTACTAR 10 MAYO, AUN NO CARGAN SU TERCERA CUOTA PAGADA DE CREDITO</t>
  </si>
  <si>
    <t>IQUITOS</t>
  </si>
  <si>
    <t>47259225</t>
  </si>
  <si>
    <t>POLANCO SALAZAR LUIS ALFREDO</t>
  </si>
  <si>
    <t>74151082</t>
  </si>
  <si>
    <t>RAMOS QUISPE CRISTHIAN JOSE</t>
  </si>
  <si>
    <t xml:space="preserve">PARA JUNIO LEFALTA 1 DSCTO </t>
  </si>
  <si>
    <t>75737866</t>
  </si>
  <si>
    <t>BENITES ACOSTA JULIO CESAR</t>
  </si>
  <si>
    <t>PAOLA REYES</t>
  </si>
  <si>
    <t>YA NO DESEA</t>
  </si>
  <si>
    <t>46150.0</t>
  </si>
  <si>
    <t>75672282</t>
  </si>
  <si>
    <t>MARTOS AUQUI ERIK VILHEM</t>
  </si>
  <si>
    <t>70780311</t>
  </si>
  <si>
    <t>MEJIA CORONEL ELMER</t>
  </si>
  <si>
    <t>SALY SAAVEDRA</t>
  </si>
  <si>
    <t>APURIMAC</t>
  </si>
  <si>
    <t>40499787</t>
  </si>
  <si>
    <t>GUTIERREZ ONTON JUAN JOSE</t>
  </si>
  <si>
    <t>PRONABEC</t>
  </si>
  <si>
    <t>TOMA DE FIRMAS AGENCIA ANDAHUYLAS</t>
  </si>
  <si>
    <t>77050724</t>
  </si>
  <si>
    <t>FLORES CORMAN MARYORI VERONICA</t>
  </si>
  <si>
    <t>REMESA EN EVALUACION</t>
  </si>
  <si>
    <t>62471942</t>
  </si>
  <si>
    <t>RIVAS GUTIERREZ CARLOS ENRIQUE</t>
  </si>
  <si>
    <t>72217881</t>
  </si>
  <si>
    <t>HILARIO DIAZ DARWIN ALBERTO</t>
  </si>
  <si>
    <t>47109780</t>
  </si>
  <si>
    <t>CALDAS CAMPOS JOSE</t>
  </si>
  <si>
    <t>SILVIA CASTAÑEDA</t>
  </si>
  <si>
    <t>10760910</t>
  </si>
  <si>
    <t>ARIAS DOMINGUEZ JUAN JAVIER</t>
  </si>
  <si>
    <t>AGRORURAL</t>
  </si>
  <si>
    <t xml:space="preserve">LIMA </t>
  </si>
  <si>
    <t>74087321</t>
  </si>
  <si>
    <t xml:space="preserve"> TAPIA DE LA CRUZ DANNY ALEXIS</t>
  </si>
  <si>
    <t xml:space="preserve">PIO FERREYRA </t>
  </si>
  <si>
    <t>47210580</t>
  </si>
  <si>
    <t>CHOCAN VELASCO,ARBEY</t>
  </si>
  <si>
    <t xml:space="preserve">ELIZABETH RAMIREZ </t>
  </si>
  <si>
    <t xml:space="preserve">AUN NO APARECE EN LISTA PARA PAGOS </t>
  </si>
  <si>
    <t>70693424</t>
  </si>
  <si>
    <t xml:space="preserve"> YAPU PORTUGAL EDUARDO ERICK </t>
  </si>
  <si>
    <t xml:space="preserve">MILY FERNANDEZ </t>
  </si>
  <si>
    <t>45437194</t>
  </si>
  <si>
    <t>LONGOBARDI PALOMINO ROY ERWIN</t>
  </si>
  <si>
    <t xml:space="preserve">JOSE CONTRERAS </t>
  </si>
  <si>
    <t xml:space="preserve">PROVINCIA </t>
  </si>
  <si>
    <t>46418564</t>
  </si>
  <si>
    <t>CASTRO QUINTANILLA,ARTURO EDUARDO</t>
  </si>
  <si>
    <t>75410222</t>
  </si>
  <si>
    <t xml:space="preserve">IDROGO RUIZ ROLI </t>
  </si>
  <si>
    <t xml:space="preserve">MGP </t>
  </si>
  <si>
    <t>44818447</t>
  </si>
  <si>
    <t>VITON CUSMA,ELFERES</t>
  </si>
  <si>
    <t xml:space="preserve">LEYDY EGOAVIL </t>
  </si>
  <si>
    <t>70004734</t>
  </si>
  <si>
    <t>JAPURA FLORES,YIANMARCO</t>
  </si>
  <si>
    <t>70355664</t>
  </si>
  <si>
    <t>ALVA RAMOS,FERNANDO ALONSO</t>
  </si>
  <si>
    <t>43679818</t>
  </si>
  <si>
    <t>PORRAS MESCUA HOMERO</t>
  </si>
  <si>
    <t xml:space="preserve">EP </t>
  </si>
  <si>
    <t>ELIZABETH ESQUIVEL</t>
  </si>
  <si>
    <t>73584774</t>
  </si>
  <si>
    <t>HUAMAN APAZA,RICARDO</t>
  </si>
  <si>
    <t>70950330</t>
  </si>
  <si>
    <t xml:space="preserve">CANTORIN HUANCA JOSE </t>
  </si>
  <si>
    <t>44908360</t>
  </si>
  <si>
    <t xml:space="preserve">ZAPATA SILVA EDER </t>
  </si>
  <si>
    <t>73382037</t>
  </si>
  <si>
    <t>RAMIREZ JULCARIMA, JERSON JAMES</t>
  </si>
  <si>
    <t xml:space="preserve">FAP </t>
  </si>
  <si>
    <t>73766227</t>
  </si>
  <si>
    <t>BUSTAMANTE HUAMAN,ESTIVEN ALEJANDRO</t>
  </si>
  <si>
    <t>AYACUCHO</t>
  </si>
  <si>
    <t>43511372</t>
  </si>
  <si>
    <t>KASENG GAMARRA,JOHEL RUDY</t>
  </si>
  <si>
    <t xml:space="preserve">LEYDI EGOAVIL </t>
  </si>
  <si>
    <t>76836821</t>
  </si>
  <si>
    <t>GUERRA DIAZ,DEIVY MOISES</t>
  </si>
  <si>
    <t xml:space="preserve">MILI FERNANDEZ </t>
  </si>
  <si>
    <t>48438639</t>
  </si>
  <si>
    <t>MAMANI PAURO,JUAN MANUEL</t>
  </si>
  <si>
    <t xml:space="preserve">pnp </t>
  </si>
  <si>
    <t>48564560</t>
  </si>
  <si>
    <t>41647421</t>
  </si>
  <si>
    <t>PRADO VELITO, ANTONIO MISAEL</t>
  </si>
  <si>
    <t>ESPINOZA PEZO JACKELINE FRANCESCA</t>
  </si>
  <si>
    <t>DELIA VENTURA</t>
  </si>
  <si>
    <t xml:space="preserve">BANCO COMERCIO, TC NACION </t>
  </si>
  <si>
    <t>75317361</t>
  </si>
  <si>
    <t>GORDILLO YNGA OSMER</t>
  </si>
  <si>
    <t>PIO FERREYRA</t>
  </si>
  <si>
    <t>70875333</t>
  </si>
  <si>
    <t xml:space="preserve">  CALDERON ESPINOZA JUAN ALEXIS </t>
  </si>
  <si>
    <t>71543890</t>
  </si>
  <si>
    <t>SANTAMARIA SANTAMARIA,MIGUEL ANGEL</t>
  </si>
  <si>
    <t>46931432</t>
  </si>
  <si>
    <t>PRADO CERDA, MARIEBEL</t>
  </si>
  <si>
    <t>70071920</t>
  </si>
  <si>
    <t>HUAMANI TORRES,PIERO ROGGER</t>
  </si>
  <si>
    <t>70050053</t>
  </si>
  <si>
    <t>CHUCHON REYMUNDEZ EDITH DORIS</t>
  </si>
  <si>
    <t xml:space="preserve">CARMEN QUISPE </t>
  </si>
  <si>
    <t>70981379</t>
  </si>
  <si>
    <t xml:space="preserve">ACOSTA ROSADO MARCELO PAOLO </t>
  </si>
  <si>
    <t>70396504</t>
  </si>
  <si>
    <t>BUSTAMANTE BARRIOS MAYRA BETSABE</t>
  </si>
  <si>
    <t>72504753</t>
  </si>
  <si>
    <t xml:space="preserve"> PAREDES CARRILLO,ARELIS ELIZBETH </t>
  </si>
  <si>
    <t>72489925</t>
  </si>
  <si>
    <t xml:space="preserve"> QUIROZ YACE,YEREMI ROSA</t>
  </si>
  <si>
    <t>47101769</t>
  </si>
  <si>
    <t>ALVARO HUAMAN,JOSE LUIS</t>
  </si>
  <si>
    <t>70433820</t>
  </si>
  <si>
    <t xml:space="preserve"> CARREON CAHUANA HAROLD FERNANDO0</t>
  </si>
  <si>
    <t>75261316</t>
  </si>
  <si>
    <t>GONZALEZ BERNAL ALEX YENEIBER</t>
  </si>
  <si>
    <t>72461488</t>
  </si>
  <si>
    <t xml:space="preserve">IGLESIAS HINOSTROZA,LUIS ENRIQUE </t>
  </si>
  <si>
    <t>70931728</t>
  </si>
  <si>
    <t>ACOSTA SALAZAR AKEMY CRISTINA</t>
  </si>
  <si>
    <t>76967576</t>
  </si>
  <si>
    <t>ROJAS COLLANTES NOE ELIAS</t>
  </si>
  <si>
    <t>MIXSI SANJINEZ</t>
  </si>
  <si>
    <t>45078558</t>
  </si>
  <si>
    <t>MANDUJANO ROMERO JESUS ERICK</t>
  </si>
  <si>
    <t>RUTH CJURO</t>
  </si>
  <si>
    <t>SCOTIABANK</t>
  </si>
  <si>
    <t xml:space="preserve">PARA JUNIO FALTA 1 DSCTO </t>
  </si>
  <si>
    <t>46924176</t>
  </si>
  <si>
    <t>MEDINA MAMANI YESSICA KARINA</t>
  </si>
  <si>
    <t>BANCO GNB</t>
  </si>
  <si>
    <t>42734844</t>
  </si>
  <si>
    <t>MONTOYA FLORES ANTONIO ELVIS</t>
  </si>
  <si>
    <t>BANCO DE COMERCIO</t>
  </si>
  <si>
    <t>29669391</t>
  </si>
  <si>
    <t>GARATE COAGUILA CARLOS EDUARDO</t>
  </si>
  <si>
    <t>ALESANDRA SANCHEZ</t>
  </si>
  <si>
    <t>EDAD/PLAZO</t>
  </si>
  <si>
    <t>47137304</t>
  </si>
  <si>
    <t>BELLIDO OCHOCHOQUE YOEL</t>
  </si>
  <si>
    <t>BANCO BBVA</t>
  </si>
  <si>
    <t>43571006</t>
  </si>
  <si>
    <t>RAMIREZ TORRES JOHNNY RONALD</t>
  </si>
  <si>
    <t>BANCO DE LA NACION</t>
  </si>
  <si>
    <t>TRUJILLO</t>
  </si>
  <si>
    <t>73488055</t>
  </si>
  <si>
    <t>GARCIA PEÑA DAN CARLOS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</si>
</sst>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S/.]#,##0.00"/>
    <numFmt numFmtId="165" formatCode="00.0%"/>
    <numFmt numFmtId="166" formatCode="d/MM/yyyy"/>
    <numFmt numFmtId="167" formatCode="dd-mm-yyyy"/>
    <numFmt numFmtId="168" formatCode="dd/mm/yyyy"/>
    <numFmt numFmtId="169" formatCode="dd/mm"/>
    <numFmt numFmtId="170" formatCode="dd-mm"/>
  </numFmts>
  <fonts count="28">
    <font>
      <sz val="10.0"/>
      <color rgb="FF000000"/>
      <name val="Arial"/>
      <scheme val="minor"/>
    </font>
    <font>
      <color theme="1"/>
      <name val="Arial"/>
      <scheme val="minor"/>
    </font>
    <font>
      <b/>
      <sz val="14.0"/>
      <color rgb="FF002D74"/>
      <name val="Arial"/>
      <scheme val="minor"/>
    </font>
    <font>
      <b/>
      <sz val="11.0"/>
      <color rgb="FFFFFFFF"/>
      <name val="Calibri"/>
    </font>
    <font>
      <b/>
      <sz val="11.0"/>
      <color rgb="FF000000"/>
      <name val="Calibri"/>
    </font>
    <font>
      <sz val="11.0"/>
      <color rgb="FF000000"/>
      <name val="Calibri"/>
    </font>
    <font>
      <b/>
      <sz val="18.0"/>
      <color rgb="FFFFFFFF"/>
      <name val="Arial"/>
      <scheme val="minor"/>
    </font>
    <font>
      <b/>
      <sz val="11.0"/>
      <color rgb="FFFFFFFF"/>
      <name val="Arial"/>
      <scheme val="minor"/>
    </font>
    <font>
      <b/>
      <sz val="11.0"/>
      <color theme="1"/>
      <name val="Arial"/>
      <scheme val="minor"/>
    </font>
    <font>
      <sz val="11.0"/>
      <color theme="1"/>
      <name val="Arial"/>
      <scheme val="minor"/>
    </font>
    <font>
      <b/>
      <color rgb="FFFFFFFF"/>
      <name val="Arial"/>
      <scheme val="minor"/>
    </font>
    <font>
      <b/>
      <color theme="1"/>
      <name val="Arial"/>
      <scheme val="minor"/>
    </font>
    <font>
      <color rgb="FF000000"/>
      <name val="Roboto"/>
    </font>
    <font>
      <sz val="10.0"/>
      <color rgb="FF000000"/>
      <name val="Roboto"/>
    </font>
    <font>
      <sz val="9.0"/>
      <color rgb="FF000000"/>
      <name val="Roboto"/>
    </font>
    <font>
      <color rgb="FF000000"/>
      <name val="Arial"/>
      <scheme val="minor"/>
    </font>
    <font>
      <b/>
      <sz val="11.0"/>
      <color rgb="FFFF4F00"/>
      <name val="Calibri"/>
    </font>
    <font>
      <b/>
      <sz val="11.0"/>
      <color rgb="FF002D74"/>
      <name val="Calibri"/>
    </font>
    <font/>
    <font>
      <sz val="9.0"/>
      <color rgb="FF000000"/>
      <name val="Arial"/>
      <scheme val="minor"/>
    </font>
    <font>
      <sz val="9.0"/>
      <color rgb="FF000000"/>
      <name val="&quot;Google Sans&quot;"/>
    </font>
    <font>
      <sz val="9.0"/>
      <color rgb="FF000000"/>
      <name val="-apple-system"/>
    </font>
    <font>
      <sz val="9.0"/>
      <color rgb="FF000000"/>
      <name val="&quot;open sans&quot;"/>
    </font>
    <font>
      <color rgb="FF000000"/>
      <name val="Arial"/>
    </font>
    <font>
      <color rgb="FF000000"/>
      <name val="-apple-system"/>
    </font>
    <font>
      <sz val="9.0"/>
      <color rgb="FF1F1F1F"/>
      <name val="&quot;Google Sans&quot;"/>
    </font>
    <font>
      <sz val="11.0"/>
      <color rgb="FF1F1F1F"/>
      <name val="&quot;Google Sans&quot;"/>
    </font>
    <font>
      <sz val="8.0"/>
      <color theme="1"/>
      <name val="Arial"/>
      <scheme val="minor"/>
    </font>
  </fonts>
  <fills count="13">
    <fill>
      <patternFill patternType="none"/>
    </fill>
    <fill>
      <patternFill patternType="lightGray"/>
    </fill>
    <fill>
      <patternFill patternType="solid">
        <fgColor theme="8"/>
        <bgColor theme="8"/>
      </patternFill>
    </fill>
    <fill>
      <patternFill patternType="solid">
        <fgColor rgb="FF002D74"/>
        <bgColor rgb="FF002D74"/>
      </patternFill>
    </fill>
    <fill>
      <patternFill patternType="solid">
        <fgColor rgb="FFEFEFEF"/>
        <bgColor rgb="FFEFEFEF"/>
      </patternFill>
    </fill>
    <fill>
      <patternFill patternType="solid">
        <fgColor rgb="FFC4090F"/>
        <bgColor rgb="FFC4090F"/>
      </patternFill>
    </fill>
    <fill>
      <patternFill patternType="solid">
        <fgColor rgb="FFFF4F00"/>
        <bgColor rgb="FFFF4F00"/>
      </patternFill>
    </fill>
    <fill>
      <patternFill patternType="solid">
        <fgColor rgb="FF6AA84F"/>
        <bgColor rgb="FF6AA84F"/>
      </patternFill>
    </fill>
    <fill>
      <patternFill patternType="solid">
        <fgColor rgb="FFD9D9D9"/>
        <bgColor rgb="FFD9D9D9"/>
      </patternFill>
    </fill>
    <fill>
      <patternFill patternType="solid">
        <fgColor rgb="FF93C47D"/>
        <bgColor rgb="FF93C47D"/>
      </patternFill>
    </fill>
    <fill>
      <patternFill patternType="solid">
        <fgColor rgb="FFFCE5CD"/>
        <bgColor rgb="FFFCE5CD"/>
      </patternFill>
    </fill>
    <fill>
      <patternFill patternType="solid">
        <fgColor rgb="FFC9DAF8"/>
        <bgColor rgb="FFC9DAF8"/>
      </patternFill>
    </fill>
    <fill>
      <patternFill patternType="solid">
        <fgColor rgb="FFFFFFFF"/>
        <bgColor rgb="FFFFFFFF"/>
      </patternFill>
    </fill>
  </fills>
  <borders count="14">
    <border/>
    <border>
      <left style="thin">
        <color rgb="FFFFFFFF"/>
      </left>
      <right style="thin">
        <color rgb="FFFFFFFF"/>
      </right>
      <top style="thin">
        <color rgb="FFFFFFFF"/>
      </top>
      <bottom style="thin">
        <color rgb="FFFFFFFF"/>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left style="thin">
        <color rgb="FF999999"/>
      </left>
      <right style="thin">
        <color rgb="FF999999"/>
      </right>
      <bottom style="thin">
        <color rgb="FF999999"/>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B7B7B7"/>
      </left>
      <right style="thin">
        <color rgb="FFB7B7B7"/>
      </right>
      <top style="thin">
        <color rgb="FFB7B7B7"/>
      </top>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readingOrder="0" shrinkToFit="0" vertical="center" wrapText="0"/>
    </xf>
    <xf borderId="1" fillId="3" fontId="3" numFmtId="0" xfId="0" applyAlignment="1" applyBorder="1" applyFill="1" applyFont="1">
      <alignment horizontal="center" readingOrder="0" shrinkToFit="0" vertical="center" wrapText="0"/>
    </xf>
    <xf borderId="1" fillId="2" fontId="3" numFmtId="0" xfId="0" applyAlignment="1" applyBorder="1" applyFill="1" applyFont="1">
      <alignment horizontal="center" readingOrder="0" shrinkToFit="0" vertical="center" wrapText="0"/>
    </xf>
    <xf borderId="1" fillId="4" fontId="4" numFmtId="0" xfId="0" applyAlignment="1" applyBorder="1" applyFill="1" applyFont="1">
      <alignment readingOrder="0" shrinkToFit="0" vertical="center" wrapText="0"/>
    </xf>
    <xf borderId="1" fillId="4" fontId="5" numFmtId="164" xfId="0" applyAlignment="1" applyBorder="1" applyFill="1" applyFont="1" applyNumberFormat="1">
      <alignment horizontal="center" readingOrder="0" shrinkToFit="0" vertical="center" wrapText="0"/>
    </xf>
    <xf borderId="1" fillId="4" fontId="5" numFmtId="0" xfId="0" applyAlignment="1" applyBorder="1" applyFill="1" applyFont="1">
      <alignment horizontal="center" readingOrder="0" shrinkToFit="0" vertical="center" wrapText="0"/>
    </xf>
    <xf borderId="0" fillId="5" fontId="6" numFmtId="0" xfId="0" applyAlignment="1" applyFill="1" applyFont="1">
      <alignment horizontal="center" readingOrder="0" vertical="center"/>
    </xf>
    <xf borderId="2" fillId="6" fontId="7" numFmtId="0" xfId="0" applyAlignment="1" applyBorder="1" applyFill="1" applyFont="1">
      <alignment horizontal="center" readingOrder="0" vertical="center"/>
    </xf>
    <xf borderId="2" fillId="3" fontId="7" numFmtId="0" xfId="0" applyAlignment="1" applyBorder="1" applyFill="1" applyFont="1">
      <alignment horizontal="center" readingOrder="0" vertical="center"/>
    </xf>
    <xf borderId="2" fillId="7" fontId="7" numFmtId="0" xfId="0" applyAlignment="1" applyBorder="1" applyFill="1" applyFont="1">
      <alignment horizontal="center" readingOrder="0" vertical="center"/>
    </xf>
    <xf borderId="2" fillId="8" fontId="8" numFmtId="164" xfId="0" applyAlignment="1" applyBorder="1" applyFill="1" applyFont="1" applyNumberFormat="1">
      <alignment horizontal="center" readingOrder="0" vertical="center"/>
    </xf>
    <xf borderId="1" fillId="4" fontId="5" numFmtId="165" xfId="0" applyAlignment="1" applyBorder="1" applyFill="1" applyFont="1" applyNumberFormat="1">
      <alignment horizontal="center" readingOrder="0" shrinkToFit="0" vertical="center" wrapText="0"/>
    </xf>
    <xf borderId="2" fillId="8" fontId="8" numFmtId="164" xfId="0" applyAlignment="1" applyBorder="1" applyFill="1" applyFont="1" applyNumberFormat="1">
      <alignment horizontal="center" vertical="center"/>
    </xf>
    <xf borderId="2" fillId="8" fontId="9" numFmtId="164" xfId="0" applyAlignment="1" applyBorder="1" applyFill="1" applyFont="1" applyNumberFormat="1">
      <alignment horizontal="center" vertical="center"/>
    </xf>
    <xf borderId="2" fillId="9" fontId="7" numFmtId="0" xfId="0" applyAlignment="1" applyBorder="1" applyFill="1" applyFont="1">
      <alignment horizontal="center" readingOrder="0" vertical="center"/>
    </xf>
    <xf borderId="2" fillId="8" fontId="8" numFmtId="0" xfId="0" applyAlignment="1" applyBorder="1" applyFill="1" applyFont="1">
      <alignment horizontal="center" readingOrder="0" vertical="center"/>
    </xf>
    <xf borderId="2" fillId="8" fontId="8" numFmtId="0" xfId="0" applyAlignment="1" applyBorder="1" applyFill="1" applyFont="1">
      <alignment horizontal="center" vertical="center"/>
    </xf>
    <xf borderId="2" fillId="8" fontId="8" numFmtId="10" xfId="0" applyAlignment="1" applyBorder="1" applyFill="1" applyFont="1" applyNumberFormat="1">
      <alignment horizontal="center" vertical="center"/>
    </xf>
    <xf borderId="0" fillId="0" fontId="10" numFmtId="0" xfId="0" applyAlignment="1" applyFont="1">
      <alignment readingOrder="0"/>
    </xf>
    <xf borderId="0" fillId="0" fontId="11" numFmtId="0" xfId="0" applyAlignment="1" applyFont="1">
      <alignment horizontal="center" readingOrder="0" shrinkToFit="0" vertical="center" wrapText="0"/>
    </xf>
    <xf borderId="0" fillId="6" fontId="11" numFmtId="0" xfId="0" applyAlignment="1" applyFill="1" applyFont="1">
      <alignment horizontal="center" readingOrder="0" shrinkToFit="0" vertical="center" wrapText="0"/>
    </xf>
    <xf borderId="2" fillId="4" fontId="12" numFmtId="0" xfId="0" applyAlignment="1" applyBorder="1" applyFill="1" applyFont="1">
      <alignment horizontal="center" readingOrder="0" shrinkToFit="0" vertical="center" wrapText="0"/>
    </xf>
    <xf borderId="3" fillId="4" fontId="1" numFmtId="0" xfId="0" applyAlignment="1" applyBorder="1" applyFill="1" applyFont="1">
      <alignment horizontal="center" readingOrder="0" shrinkToFit="0" vertical="center" wrapText="0"/>
    </xf>
    <xf borderId="2" fillId="4" fontId="12" numFmtId="166" xfId="0" applyAlignment="1" applyBorder="1" applyFill="1" applyFont="1" applyNumberFormat="1">
      <alignment horizontal="center" readingOrder="0" shrinkToFit="0" vertical="center" wrapText="0"/>
    </xf>
    <xf borderId="3" fillId="4" fontId="1" numFmtId="166" xfId="0" applyAlignment="1" applyBorder="1" applyFill="1" applyFont="1" applyNumberFormat="1">
      <alignment horizontal="center" readingOrder="0" shrinkToFit="0" vertical="center" wrapText="0"/>
    </xf>
    <xf borderId="2" fillId="4" fontId="12" numFmtId="0" xfId="0" applyAlignment="1" applyBorder="1" applyFill="1" applyFont="1">
      <alignment horizontal="center" readingOrder="0" shrinkToFit="0" vertical="center" wrapText="0"/>
    </xf>
    <xf borderId="3" fillId="4" fontId="1" numFmtId="0" xfId="0" applyAlignment="1" applyBorder="1" applyFill="1" applyFont="1">
      <alignment horizontal="center" readingOrder="0" shrinkToFit="0" vertical="center" wrapText="0"/>
    </xf>
    <xf borderId="2" fillId="4" fontId="13" numFmtId="166" xfId="0" applyAlignment="1" applyBorder="1" applyFill="1" applyFont="1" applyNumberFormat="1">
      <alignment horizontal="center" readingOrder="0" shrinkToFit="0" vertical="center" wrapText="0"/>
    </xf>
    <xf borderId="2" fillId="4" fontId="13" numFmtId="166" xfId="0" applyAlignment="1" applyBorder="1" applyFill="1" applyFont="1" applyNumberFormat="1">
      <alignment horizontal="center" shrinkToFit="0" vertical="center" wrapText="0"/>
    </xf>
    <xf borderId="3" fillId="4" fontId="1" numFmtId="166" xfId="0" applyAlignment="1" applyBorder="1" applyFill="1" applyFont="1" applyNumberFormat="1">
      <alignment horizontal="center" shrinkToFit="0" vertical="center" wrapText="0"/>
    </xf>
    <xf borderId="2" fillId="4" fontId="14" numFmtId="49" xfId="0" applyAlignment="1" applyBorder="1" applyFill="1" applyFont="1" applyNumberFormat="1">
      <alignment horizontal="center" readingOrder="0" shrinkToFit="0" vertical="center" wrapText="0"/>
    </xf>
    <xf borderId="3" fillId="4" fontId="1" numFmtId="49" xfId="0" applyAlignment="1" applyBorder="1" applyFill="1" applyFont="1" applyNumberFormat="1">
      <alignment horizontal="center" readingOrder="0" shrinkToFit="0" vertical="center" wrapText="0"/>
    </xf>
    <xf borderId="2" fillId="4" fontId="14" numFmtId="49" xfId="0" applyAlignment="1" applyBorder="1" applyFill="1" applyFont="1" applyNumberFormat="1">
      <alignment horizontal="left" readingOrder="0" shrinkToFit="0" vertical="center" wrapText="0"/>
    </xf>
    <xf borderId="2" fillId="4" fontId="13" numFmtId="0" xfId="0" applyAlignment="1" applyBorder="1" applyFill="1" applyFont="1">
      <alignment horizontal="center" readingOrder="0" shrinkToFit="0" vertical="center" wrapText="0"/>
    </xf>
    <xf borderId="2" fillId="4" fontId="13" numFmtId="0" xfId="0" applyAlignment="1" applyBorder="1" applyFill="1" applyFont="1">
      <alignment horizontal="center" readingOrder="0" shrinkToFit="0" vertical="center" wrapText="0"/>
    </xf>
    <xf borderId="3" fillId="4" fontId="11" numFmtId="164" xfId="0" applyAlignment="1" applyBorder="1" applyFill="1" applyFont="1" applyNumberFormat="1">
      <alignment horizontal="center" readingOrder="0" shrinkToFit="0" vertical="center" wrapText="0"/>
    </xf>
    <xf borderId="2" fillId="4" fontId="13" numFmtId="164" xfId="0" applyAlignment="1" applyBorder="1" applyFill="1" applyFont="1" applyNumberFormat="1">
      <alignment horizontal="center" readingOrder="0" shrinkToFit="0" vertical="center" wrapText="0"/>
    </xf>
    <xf borderId="2" fillId="4" fontId="12" numFmtId="0" xfId="0" applyAlignment="1" applyBorder="1" applyFill="1" applyFont="1">
      <alignment horizontal="center" readingOrder="0" shrinkToFit="0" vertical="center" wrapText="0"/>
    </xf>
    <xf borderId="3" fillId="4" fontId="1" numFmtId="0" xfId="0" applyAlignment="1" applyBorder="1" applyFill="1" applyFont="1">
      <alignment horizontal="center" shrinkToFit="0" vertical="center" wrapText="0"/>
    </xf>
    <xf borderId="2" fillId="4" fontId="15" numFmtId="0" xfId="0" applyAlignment="1" applyBorder="1" applyFill="1" applyFont="1">
      <alignment horizontal="center" shrinkToFit="0" vertical="center" wrapText="0"/>
    </xf>
    <xf borderId="2" fillId="4" fontId="15" numFmtId="0" xfId="0" applyAlignment="1" applyBorder="1" applyFill="1" applyFont="1">
      <alignment horizontal="center" shrinkToFit="0" vertical="center" wrapText="0"/>
    </xf>
    <xf borderId="2" fillId="4" fontId="15" numFmtId="0" xfId="0" applyAlignment="1" applyBorder="1" applyFill="1" applyFont="1">
      <alignment horizontal="center" readingOrder="0" shrinkToFit="0" vertical="center" wrapText="0"/>
    </xf>
    <xf borderId="4" fillId="4" fontId="5" numFmtId="49" xfId="0" applyAlignment="1" applyBorder="1" applyFill="1" applyFont="1" applyNumberFormat="1">
      <alignment horizontal="center" readingOrder="0" shrinkToFit="0" vertical="bottom" wrapText="0"/>
    </xf>
    <xf borderId="5" fillId="4" fontId="1" numFmtId="49" xfId="0" applyAlignment="1" applyBorder="1" applyFill="1" applyFont="1" applyNumberFormat="1">
      <alignment horizontal="center" readingOrder="0" shrinkToFit="0" vertical="center" wrapText="0"/>
    </xf>
    <xf borderId="0" fillId="0" fontId="1" numFmtId="0" xfId="0" applyAlignment="1" applyFont="1">
      <alignment readingOrder="0" shrinkToFit="0" vertical="center" wrapText="0"/>
    </xf>
    <xf borderId="2" fillId="4" fontId="12" numFmtId="0" xfId="0" applyAlignment="1" applyBorder="1" applyFill="1" applyFont="1">
      <alignment horizontal="center" shrinkToFit="0" vertical="center" wrapText="0"/>
    </xf>
    <xf borderId="3" fillId="4" fontId="11" numFmtId="164" xfId="0" applyAlignment="1" applyBorder="1" applyFill="1" applyFont="1" applyNumberFormat="1">
      <alignment horizontal="center" shrinkToFit="0" vertical="center" wrapText="0"/>
    </xf>
    <xf borderId="3" fillId="4" fontId="1" numFmtId="0" xfId="0" applyAlignment="1" applyBorder="1" applyFill="1" applyFont="1">
      <alignment horizontal="center" shrinkToFit="0" vertical="center" wrapText="0"/>
    </xf>
    <xf borderId="3" fillId="4" fontId="1" numFmtId="0" xfId="0" applyAlignment="1" applyBorder="1" applyFill="1" applyFont="1">
      <alignment shrinkToFit="0" vertical="center" wrapText="0"/>
    </xf>
    <xf borderId="1" fillId="10" fontId="16" numFmtId="0" xfId="0" applyAlignment="1" applyBorder="1" applyFill="1" applyFont="1">
      <alignment readingOrder="0" shrinkToFit="0" vertical="center" wrapText="0"/>
    </xf>
    <xf borderId="1" fillId="10" fontId="16" numFmtId="0" xfId="0" applyAlignment="1" applyBorder="1" applyFill="1" applyFont="1">
      <alignment vertical="center"/>
    </xf>
    <xf borderId="1" fillId="11" fontId="17" numFmtId="164" xfId="0" applyAlignment="1" applyBorder="1" applyFill="1" applyFont="1" applyNumberFormat="1">
      <alignment horizontal="center" readingOrder="0" shrinkToFit="0" vertical="center" wrapText="0"/>
    </xf>
    <xf borderId="1" fillId="11" fontId="17" numFmtId="0" xfId="0" applyAlignment="1" applyBorder="1" applyFill="1" applyFont="1">
      <alignment horizontal="center" readingOrder="0" shrinkToFit="0" vertical="center" wrapText="0"/>
    </xf>
    <xf borderId="1" fillId="10" fontId="16" numFmtId="164" xfId="0" applyAlignment="1" applyBorder="1" applyFill="1" applyFont="1" applyNumberFormat="1">
      <alignment horizontal="center" readingOrder="0" shrinkToFit="0" vertical="center" wrapText="0"/>
    </xf>
    <xf borderId="1" fillId="10" fontId="16" numFmtId="165" xfId="0" applyAlignment="1" applyBorder="1" applyFill="1" applyFont="1" applyNumberFormat="1">
      <alignment horizontal="center" readingOrder="0" shrinkToFit="0" vertical="center" wrapText="0"/>
    </xf>
    <xf borderId="1" fillId="10" fontId="16" numFmtId="0" xfId="0" applyAlignment="1" applyBorder="1" applyFill="1" applyFont="1">
      <alignment horizontal="center" readingOrder="0" shrinkToFit="0" vertical="center" wrapText="0"/>
    </xf>
    <xf borderId="6" fillId="2" fontId="3" numFmtId="0" xfId="0" applyAlignment="1" applyBorder="1" applyFill="1" applyFont="1">
      <alignment readingOrder="0" shrinkToFit="0" vertical="center" wrapText="0"/>
    </xf>
    <xf borderId="7" fillId="0" fontId="18" numFmtId="0" xfId="0" applyBorder="1" applyFont="1"/>
    <xf borderId="6" fillId="4" fontId="4" numFmtId="0" xfId="0" applyAlignment="1" applyBorder="1" applyFill="1" applyFont="1">
      <alignment readingOrder="0" shrinkToFit="0" vertical="center" wrapText="0"/>
    </xf>
    <xf borderId="2" fillId="4" fontId="12" numFmtId="164" xfId="0" applyAlignment="1" applyBorder="1" applyFill="1" applyFont="1" applyNumberFormat="1">
      <alignment horizontal="center" readingOrder="0" shrinkToFit="0" vertical="center" wrapText="0"/>
    </xf>
    <xf borderId="2" fillId="4" fontId="12" numFmtId="166" xfId="0" applyAlignment="1" applyBorder="1" applyFill="1" applyFont="1" applyNumberFormat="1">
      <alignment horizontal="center" shrinkToFit="0" vertical="center" wrapText="0"/>
    </xf>
    <xf borderId="3" fillId="4" fontId="1" numFmtId="167" xfId="0" applyAlignment="1" applyBorder="1" applyFill="1" applyFont="1" applyNumberFormat="1">
      <alignment horizontal="center" readingOrder="0" shrinkToFit="0" vertical="center" wrapText="0"/>
    </xf>
    <xf borderId="3" fillId="4" fontId="1" numFmtId="0" xfId="0" applyAlignment="1" applyBorder="1" applyFill="1" applyFont="1">
      <alignment readingOrder="0" shrinkToFit="0" vertical="center" wrapText="0"/>
    </xf>
    <xf borderId="3" fillId="4" fontId="1" numFmtId="0" xfId="0" applyAlignment="1" applyBorder="1" applyFill="1" applyFont="1">
      <alignment horizontal="center" readingOrder="0" shrinkToFit="0" vertical="center" wrapText="0"/>
    </xf>
    <xf borderId="3" fillId="4" fontId="1" numFmtId="49" xfId="0" applyAlignment="1" applyBorder="1" applyFill="1" applyFont="1" applyNumberFormat="1">
      <alignment horizontal="center" shrinkToFit="0" vertical="center" wrapText="0"/>
    </xf>
    <xf borderId="6" fillId="10" fontId="16" numFmtId="0" xfId="0" applyAlignment="1" applyBorder="1" applyFill="1" applyFont="1">
      <alignment readingOrder="0" shrinkToFit="0" vertical="center" wrapText="0"/>
    </xf>
    <xf borderId="2" fillId="4" fontId="1" numFmtId="166" xfId="0" applyAlignment="1" applyBorder="1" applyFill="1" applyFont="1" applyNumberFormat="1">
      <alignment horizontal="center" shrinkToFit="0" vertical="center" wrapText="0"/>
    </xf>
    <xf borderId="2" fillId="4" fontId="15" numFmtId="0" xfId="0" applyAlignment="1" applyBorder="1" applyFill="1" applyFont="1">
      <alignment horizontal="center" readingOrder="0" shrinkToFit="0" vertical="center" wrapText="0"/>
    </xf>
    <xf borderId="2" fillId="4" fontId="15" numFmtId="166" xfId="0" applyAlignment="1" applyBorder="1" applyFill="1" applyFont="1" applyNumberFormat="1">
      <alignment horizontal="center" shrinkToFit="0" vertical="center" wrapText="0"/>
    </xf>
    <xf borderId="8" fillId="4" fontId="1" numFmtId="166" xfId="0" applyAlignment="1" applyBorder="1" applyFill="1" applyFont="1" applyNumberFormat="1">
      <alignment horizontal="center" readingOrder="0" shrinkToFit="0" vertical="center" wrapText="0"/>
    </xf>
    <xf borderId="9" fillId="4" fontId="1" numFmtId="0" xfId="0" applyAlignment="1" applyBorder="1" applyFill="1" applyFont="1">
      <alignment horizontal="center" readingOrder="0" shrinkToFit="0" vertical="center" wrapText="0"/>
    </xf>
    <xf borderId="2" fillId="4" fontId="15" numFmtId="164" xfId="0" applyAlignment="1" applyBorder="1" applyFill="1" applyFont="1" applyNumberFormat="1">
      <alignment horizontal="center" readingOrder="0" shrinkToFit="0" vertical="center" wrapText="0"/>
    </xf>
    <xf borderId="2" fillId="4" fontId="15" numFmtId="166" xfId="0" applyAlignment="1" applyBorder="1" applyFill="1" applyFont="1" applyNumberFormat="1">
      <alignment horizontal="center" readingOrder="0" shrinkToFit="0" vertical="center" wrapText="0"/>
    </xf>
    <xf borderId="2" fillId="4" fontId="19" numFmtId="166" xfId="0" applyAlignment="1" applyBorder="1" applyFill="1" applyFont="1" applyNumberFormat="1">
      <alignment horizontal="center" readingOrder="0" shrinkToFit="0" vertical="center" wrapText="0"/>
    </xf>
    <xf borderId="2" fillId="4" fontId="20" numFmtId="49" xfId="0" applyAlignment="1" applyBorder="1" applyFill="1" applyFont="1" applyNumberFormat="1">
      <alignment horizontal="center" readingOrder="0" shrinkToFit="0" vertical="center" wrapText="0"/>
    </xf>
    <xf borderId="2" fillId="4" fontId="19" numFmtId="49" xfId="0" applyAlignment="1" applyBorder="1" applyFill="1" applyFont="1" applyNumberFormat="1">
      <alignment horizontal="center" readingOrder="0" shrinkToFit="0" vertical="center" wrapText="0"/>
    </xf>
    <xf borderId="2" fillId="4" fontId="19" numFmtId="49" xfId="0" applyAlignment="1" applyBorder="1" applyFill="1" applyFont="1" applyNumberFormat="1">
      <alignment horizontal="left" readingOrder="0" shrinkToFit="0" vertical="center" wrapText="0"/>
    </xf>
    <xf borderId="3" fillId="4" fontId="1" numFmtId="168" xfId="0" applyAlignment="1" applyBorder="1" applyFill="1" applyFont="1" applyNumberFormat="1">
      <alignment horizontal="center" readingOrder="0" shrinkToFit="0" vertical="center" wrapText="0"/>
    </xf>
    <xf borderId="2" fillId="4" fontId="21" numFmtId="49" xfId="0" applyAlignment="1" applyBorder="1" applyFill="1" applyFont="1" applyNumberFormat="1">
      <alignment horizontal="center" readingOrder="0" shrinkToFit="0" vertical="center" wrapText="0"/>
    </xf>
    <xf borderId="2" fillId="4" fontId="22" numFmtId="49" xfId="0" applyAlignment="1" applyBorder="1" applyFill="1" applyFont="1" applyNumberFormat="1">
      <alignment horizontal="left" readingOrder="0" shrinkToFit="0" vertical="center" wrapText="0"/>
    </xf>
    <xf borderId="2" fillId="4" fontId="20" numFmtId="49" xfId="0" applyAlignment="1" applyBorder="1" applyFill="1" applyFont="1" applyNumberFormat="1">
      <alignment readingOrder="0" shrinkToFit="0" vertical="center" wrapText="0"/>
    </xf>
    <xf borderId="2" fillId="4" fontId="23" numFmtId="164" xfId="0" applyAlignment="1" applyBorder="1" applyFill="1" applyFont="1" applyNumberFormat="1">
      <alignment horizontal="center" readingOrder="0" shrinkToFit="0" vertical="center" wrapText="0"/>
    </xf>
    <xf borderId="2" fillId="4" fontId="23" numFmtId="164" xfId="0" applyAlignment="1" applyBorder="1" applyFill="1" applyFont="1" applyNumberFormat="1">
      <alignment horizontal="center" readingOrder="0" shrinkToFit="0" vertical="center" wrapText="0"/>
    </xf>
    <xf borderId="2" fillId="4" fontId="15" numFmtId="49" xfId="0" applyAlignment="1" applyBorder="1" applyFill="1" applyFont="1" applyNumberFormat="1">
      <alignment horizontal="center" readingOrder="0" shrinkToFit="0" vertical="center" wrapText="0"/>
    </xf>
    <xf borderId="2" fillId="4" fontId="19" numFmtId="166" xfId="0" applyAlignment="1" applyBorder="1" applyFill="1" applyFont="1" applyNumberFormat="1">
      <alignment horizontal="center" shrinkToFit="0" vertical="center" wrapText="0"/>
    </xf>
    <xf borderId="10" fillId="4" fontId="20" numFmtId="49" xfId="0" applyAlignment="1" applyBorder="1" applyFill="1" applyFont="1" applyNumberFormat="1">
      <alignment horizontal="center" readingOrder="0" shrinkToFit="0" vertical="center" wrapText="0"/>
    </xf>
    <xf borderId="10" fillId="4" fontId="20" numFmtId="49" xfId="0" applyAlignment="1" applyBorder="1" applyFill="1" applyFont="1" applyNumberFormat="1">
      <alignment readingOrder="0" shrinkToFit="0" vertical="center" wrapText="0"/>
    </xf>
    <xf borderId="2" fillId="4" fontId="24" numFmtId="164" xfId="0" applyAlignment="1" applyBorder="1" applyFill="1" applyFont="1" applyNumberFormat="1">
      <alignment horizontal="center" readingOrder="0" shrinkToFit="0" vertical="center" wrapText="0"/>
    </xf>
    <xf borderId="11" fillId="4" fontId="15" numFmtId="166" xfId="0" applyAlignment="1" applyBorder="1" applyFill="1" applyFont="1" applyNumberFormat="1">
      <alignment horizontal="center" shrinkToFit="0" vertical="center" wrapText="0"/>
    </xf>
    <xf borderId="4" fillId="4" fontId="25" numFmtId="49" xfId="0" applyAlignment="1" applyBorder="1" applyFill="1" applyFont="1" applyNumberFormat="1">
      <alignment horizontal="center" readingOrder="0" shrinkToFit="0" vertical="center" wrapText="0"/>
    </xf>
    <xf borderId="4" fillId="4" fontId="25" numFmtId="49" xfId="0" applyAlignment="1" applyBorder="1" applyFill="1" applyFont="1" applyNumberFormat="1">
      <alignment horizontal="left" readingOrder="0" shrinkToFit="0" vertical="center" wrapText="0"/>
    </xf>
    <xf borderId="12" fillId="4" fontId="15" numFmtId="0" xfId="0" applyAlignment="1" applyBorder="1" applyFill="1" applyFont="1">
      <alignment horizontal="center" readingOrder="0" shrinkToFit="0" vertical="center" wrapText="0"/>
    </xf>
    <xf borderId="2" fillId="4" fontId="15" numFmtId="0" xfId="0" applyAlignment="1" applyBorder="1" applyFill="1" applyFont="1">
      <alignment horizontal="center" readingOrder="0" shrinkToFit="0" vertical="center" wrapText="0"/>
    </xf>
    <xf borderId="13" fillId="4" fontId="15" numFmtId="49" xfId="0" applyAlignment="1" applyBorder="1" applyFill="1" applyFont="1" applyNumberFormat="1">
      <alignment horizontal="center" shrinkToFit="0" vertical="center" wrapText="0"/>
    </xf>
    <xf borderId="2" fillId="4" fontId="15" numFmtId="164" xfId="0" applyAlignment="1" applyBorder="1" applyFill="1" applyFont="1" applyNumberFormat="1">
      <alignment horizontal="center" shrinkToFit="0" vertical="center" wrapText="0"/>
    </xf>
    <xf borderId="2" fillId="4" fontId="15" numFmtId="49" xfId="0" applyAlignment="1" applyBorder="1" applyFill="1" applyFont="1" applyNumberFormat="1">
      <alignment horizontal="center" shrinkToFit="0" vertical="center" wrapText="0"/>
    </xf>
    <xf borderId="3" fillId="4" fontId="1" numFmtId="169" xfId="0" applyAlignment="1" applyBorder="1" applyFill="1" applyFont="1" applyNumberFormat="1">
      <alignment horizontal="center" readingOrder="0" shrinkToFit="0" vertical="center" wrapText="0"/>
    </xf>
    <xf borderId="0" fillId="12" fontId="26" numFmtId="49" xfId="0" applyAlignment="1" applyFill="1" applyFont="1" applyNumberFormat="1">
      <alignment readingOrder="0" shrinkToFit="0" vertical="center" wrapText="0"/>
    </xf>
    <xf borderId="3" fillId="4" fontId="1" numFmtId="170" xfId="0" applyAlignment="1" applyBorder="1" applyFill="1" applyFont="1" applyNumberFormat="1">
      <alignment horizontal="center" readingOrder="0" shrinkToFit="0" vertical="center" wrapText="0"/>
    </xf>
    <xf borderId="3" fillId="4" fontId="27" numFmtId="0" xfId="0" applyAlignment="1" applyBorder="1" applyFill="1" applyFont="1">
      <alignment horizontal="center" readingOrder="0" shrinkToFit="0" textRotation="0" vertical="top" wrapText="0"/>
    </xf>
  </cellXfs>
  <cellStyles count="1">
    <cellStyle xfId="0" name="Normal" builtinId="0"/>
  </cellStyles>
  <dxfs count="7">
    <dxf>
      <font/>
      <fill>
        <patternFill patternType="none"/>
      </fill>
      <border/>
    </dxf>
    <dxf>
      <font/>
      <fill>
        <patternFill patternType="solid">
          <fgColor rgb="FF002D74"/>
          <bgColor rgb="FF002D74"/>
        </patternFill>
      </fill>
      <border/>
    </dxf>
    <dxf>
      <font/>
      <fill>
        <patternFill patternType="solid">
          <fgColor rgb="FFFF9900"/>
          <bgColor rgb="FFFF9900"/>
        </patternFill>
      </fill>
      <border/>
    </dxf>
    <dxf>
      <font/>
      <fill>
        <patternFill patternType="solid">
          <fgColor rgb="FFF6F8F9"/>
          <bgColor rgb="FFF6F8F9"/>
        </patternFill>
      </fill>
      <border/>
    </dxf>
    <dxf>
      <border>
        <left style="thin">
          <color rgb="FF002D74"/>
        </left>
        <right style="thin">
          <color rgb="FF002D74"/>
        </right>
        <top style="thin">
          <color rgb="FF002D74"/>
        </top>
        <bottom style="thin">
          <color rgb="FF002D74"/>
        </bottom>
      </border>
    </dxf>
    <dxf>
      <font/>
      <fill>
        <patternFill patternType="solid">
          <fgColor rgb="FFF4C7C3"/>
          <bgColor rgb="FFF4C7C3"/>
        </patternFill>
      </fill>
      <border/>
    </dxf>
    <dxf>
      <font/>
      <fill>
        <patternFill patternType="solid">
          <fgColor rgb="FFB7E1CD"/>
          <bgColor rgb="FFB7E1CD"/>
        </patternFill>
      </fill>
      <border/>
    </dxf>
  </dxfs>
  <tableStyles count="16">
    <tableStyle count="4" pivot="0" name="OMAR MINAYA-style">
      <tableStyleElement dxfId="1" type="headerRow"/>
      <tableStyleElement dxfId="2" type="firstRowStripe"/>
      <tableStyleElement dxfId="3" type="secondRowStripe"/>
      <tableStyleElement dxfId="4" size="0" type="wholeTable"/>
    </tableStyle>
    <tableStyle count="4" pivot="0" name="NAHOMI DIAZ-style">
      <tableStyleElement dxfId="1" type="headerRow"/>
      <tableStyleElement dxfId="2" type="firstRowStripe"/>
      <tableStyleElement dxfId="3" type="secondRowStripe"/>
      <tableStyleElement dxfId="4" size="0" type="wholeTable"/>
    </tableStyle>
    <tableStyle count="4" pivot="0" name="JHON ZAMORA-style">
      <tableStyleElement dxfId="1" type="headerRow"/>
      <tableStyleElement dxfId="2" type="firstRowStripe"/>
      <tableStyleElement dxfId="3" type="secondRowStripe"/>
      <tableStyleElement dxfId="4" size="0" type="wholeTable"/>
    </tableStyle>
    <tableStyle count="4" pivot="0" name="ANGIE SILVERA-style">
      <tableStyleElement dxfId="1" type="headerRow"/>
      <tableStyleElement dxfId="2" type="firstRowStripe"/>
      <tableStyleElement dxfId="3" type="secondRowStripe"/>
      <tableStyleElement dxfId="4" size="0" type="wholeTable"/>
    </tableStyle>
    <tableStyle count="4" pivot="0" name="LUIS CHUSE-style">
      <tableStyleElement dxfId="1" type="headerRow"/>
      <tableStyleElement dxfId="2" type="firstRowStripe"/>
      <tableStyleElement dxfId="3" type="secondRowStripe"/>
      <tableStyleElement dxfId="4" size="0" type="wholeTable"/>
    </tableStyle>
    <tableStyle count="4" pivot="0" name="JIMMY COLLAZOS-style">
      <tableStyleElement dxfId="1" type="headerRow"/>
      <tableStyleElement dxfId="2" type="firstRowStripe"/>
      <tableStyleElement dxfId="3" type="secondRowStripe"/>
      <tableStyleElement dxfId="4" size="0" type="wholeTable"/>
    </tableStyle>
    <tableStyle count="4" pivot="0" name="LUIS MENDOZA-style">
      <tableStyleElement dxfId="1" type="headerRow"/>
      <tableStyleElement dxfId="2" type="firstRowStripe"/>
      <tableStyleElement dxfId="3" type="secondRowStripe"/>
      <tableStyleElement dxfId="4" size="0" type="wholeTable"/>
    </tableStyle>
    <tableStyle count="4" pivot="0" name="KENNY MORALES-style">
      <tableStyleElement dxfId="1" type="headerRow"/>
      <tableStyleElement dxfId="2" type="firstRowStripe"/>
      <tableStyleElement dxfId="3" type="secondRowStripe"/>
      <tableStyleElement dxfId="4" size="0" type="wholeTable"/>
    </tableStyle>
    <tableStyle count="4" pivot="0" name="MILAGROS TUESTA-style">
      <tableStyleElement dxfId="1" type="headerRow"/>
      <tableStyleElement dxfId="2" type="firstRowStripe"/>
      <tableStyleElement dxfId="3" type="secondRowStripe"/>
      <tableStyleElement dxfId="4" size="0" type="wholeTable"/>
    </tableStyle>
    <tableStyle count="4" pivot="0" name="MARIELLA PAÑAHUA-style">
      <tableStyleElement dxfId="1" type="headerRow"/>
      <tableStyleElement dxfId="2" type="firstRowStripe"/>
      <tableStyleElement dxfId="3" type="secondRowStripe"/>
      <tableStyleElement dxfId="4" size="0" type="wholeTable"/>
    </tableStyle>
    <tableStyle count="4" pivot="0" name="WENDY IPANEQUE-style">
      <tableStyleElement dxfId="1" type="headerRow"/>
      <tableStyleElement dxfId="2" type="firstRowStripe"/>
      <tableStyleElement dxfId="3" type="secondRowStripe"/>
      <tableStyleElement dxfId="4" size="0" type="wholeTable"/>
    </tableStyle>
    <tableStyle count="4" pivot="0" name="ALEXANDRA GUZMAN-style">
      <tableStyleElement dxfId="1" type="headerRow"/>
      <tableStyleElement dxfId="2" type="firstRowStripe"/>
      <tableStyleElement dxfId="3" type="secondRowStripe"/>
      <tableStyleElement dxfId="4" size="0" type="wholeTable"/>
    </tableStyle>
    <tableStyle count="4" pivot="0" name="AMALIA QUINDE-style">
      <tableStyleElement dxfId="1" type="headerRow"/>
      <tableStyleElement dxfId="2" type="firstRowStripe"/>
      <tableStyleElement dxfId="3" type="secondRowStripe"/>
      <tableStyleElement dxfId="4" size="0" type="wholeTable"/>
    </tableStyle>
    <tableStyle count="4" pivot="0" name="JORGE CASTILLO-style">
      <tableStyleElement dxfId="1" type="headerRow"/>
      <tableStyleElement dxfId="2" type="firstRowStripe"/>
      <tableStyleElement dxfId="3" type="secondRowStripe"/>
      <tableStyleElement dxfId="4" size="0" type="wholeTable"/>
    </tableStyle>
    <tableStyle count="4" pivot="0" name="VIOLETA LLERENA-style">
      <tableStyleElement dxfId="1" type="headerRow"/>
      <tableStyleElement dxfId="2" type="firstRowStripe"/>
      <tableStyleElement dxfId="3" type="secondRowStripe"/>
      <tableStyleElement dxfId="4" size="0" type="wholeTable"/>
    </tableStyle>
    <tableStyle count="4" pivot="0" name="CRISTINA BRACAMONT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152400</xdr:rowOff>
    </xdr:from>
    <xdr:ext cx="244792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B9:Q52" displayName="OPI_11" name="OPI_11" id="1">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NAHOMI DIAZ-style" showColumnStripes="0" showFirstColumn="1" showLastColumn="1" showRowStripes="1"/>
</table>
</file>

<file path=xl/tables/table2.xml><?xml version="1.0" encoding="utf-8"?>
<table xmlns="http://schemas.openxmlformats.org/spreadsheetml/2006/main" ref="B9:Q52" displayName="OPI_5" name="OPI_5" id="2">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OMAR MINAYA-style" showColumnStripes="0" showFirstColumn="1" showLastColumn="1" showRowStripes="1"/>
</table>
</file>

<file path=xl/tables/table3.xml><?xml version="1.0" encoding="utf-8"?>
<table xmlns="http://schemas.openxmlformats.org/spreadsheetml/2006/main" ref="B9:Q52" displayName="OPI_3" name="OPI_3" id="3">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JHON ZAMORA-style" showColumnStripes="0" showFirstColumn="1" showLastColumn="1" showRowStripes="1"/>
</table>
</file>

<file path=xl/tables/table4.xml><?xml version="1.0" encoding="utf-8"?>
<table xmlns="http://schemas.openxmlformats.org/spreadsheetml/2006/main" ref="B9:Q52" displayName="OPI" name="OPI" id="4">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ANGIE SILVERA-style" showColumnStripes="0" showFirstColumn="1" showLastColumn="1" showRowStripes="1"/>
</table>
</file>

<file path=xl/tables/table5.xml><?xml version="1.0" encoding="utf-8"?>
<table xmlns="http://schemas.openxmlformats.org/spreadsheetml/2006/main" ref="B9:Q52" displayName="OPI_7" name="OPI_7" id="5">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LUIS CHUSE-style" showColumnStripes="0" showFirstColumn="1" showLastColumn="1" showRowStripes="1"/>
</table>
</file>

<file path=xl/tables/table6.xml><?xml version="1.0" encoding="utf-8"?>
<table xmlns="http://schemas.openxmlformats.org/spreadsheetml/2006/main" ref="B9:Q52" displayName="OPI_4" name="OPI_4" id="6">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JIMMY COLLAZOS-style" showColumnStripes="0" showFirstColumn="1" showLastColumn="1" showRowStripes="1"/>
</table>
</file>

<file path=xl/tables/table7.xml><?xml version="1.0" encoding="utf-8"?>
<table xmlns="http://schemas.openxmlformats.org/spreadsheetml/2006/main" ref="B9:Q52" displayName="OPI_8" name="OPI_8" id="7">
  <autoFilter ref="$B$9:$Q$52"/>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LUIS MENDOZA-style" showColumnStripes="0" showFirstColumn="1" showLastColumn="1" showRowStripes="1"/>
</table>
</file>

<file path=xl/tables/table8.xml><?xml version="1.0" encoding="utf-8"?>
<table xmlns="http://schemas.openxmlformats.org/spreadsheetml/2006/main" ref="B9:Q52" displayName="OPI_6" name="OPI_6" id="8">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KENNY MORALES-style" showColumnStripes="0" showFirstColumn="1" showLastColumn="1" showRowStripes="1"/>
</table>
</file>

<file path=xl/tables/table9.xml><?xml version="1.0" encoding="utf-8"?>
<table xmlns="http://schemas.openxmlformats.org/spreadsheetml/2006/main" ref="B9:Q52" displayName="OPI_10" name="OPI_10" id="9">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MILAGROS TUESTA-style" showColumnStripes="0" showFirstColumn="1" showLastColumn="1" showRowStripes="1"/>
</table>
</file>

<file path=xl/tables/table10.xml><?xml version="1.0" encoding="utf-8"?>
<table xmlns="http://schemas.openxmlformats.org/spreadsheetml/2006/main" ref="B9:Q52" displayName="OPI_9" name="OPI_9" id="10">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MARIELLA PAÑAHUA-style" showColumnStripes="0" showFirstColumn="1" showLastColumn="1" showRowStripes="1"/>
</table>
</file>

<file path=xl/tables/table11.xml><?xml version="1.0" encoding="utf-8"?>
<table xmlns="http://schemas.openxmlformats.org/spreadsheetml/2006/main" ref="B9:Q52" displayName="OPI_14" name="OPI_14" id="11">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WENDY IPANEQUE-style" showColumnStripes="0" showFirstColumn="1" showLastColumn="1" showRowStripes="1"/>
</table>
</file>

<file path=xl/tables/table12.xml><?xml version="1.0" encoding="utf-8"?>
<table xmlns="http://schemas.openxmlformats.org/spreadsheetml/2006/main" ref="B9:Q52" displayName="OPI_15" name="OPI_15" id="12">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ALEXANDRA GUZMAN-style" showColumnStripes="0" showFirstColumn="1" showLastColumn="1" showRowStripes="1"/>
</table>
</file>

<file path=xl/tables/table13.xml><?xml version="1.0" encoding="utf-8"?>
<table xmlns="http://schemas.openxmlformats.org/spreadsheetml/2006/main" ref="B9:Q52" displayName="OPI_16" name="OPI_16" id="13">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AMALIA QUINDE-style" showColumnStripes="0" showFirstColumn="1" showLastColumn="1" showRowStripes="1"/>
</table>
</file>

<file path=xl/tables/table14.xml><?xml version="1.0" encoding="utf-8"?>
<table xmlns="http://schemas.openxmlformats.org/spreadsheetml/2006/main" ref="B9:Q52" displayName="OPI_17" name="OPI_17" id="14">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JORGE CASTILLO-style" showColumnStripes="0" showFirstColumn="1" showLastColumn="1" showRowStripes="1"/>
</table>
</file>

<file path=xl/tables/table15.xml><?xml version="1.0" encoding="utf-8"?>
<table xmlns="http://schemas.openxmlformats.org/spreadsheetml/2006/main" ref="B9:Q52" displayName="OPI_13" name="OPI_13" id="15">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VIOLETA LLERENA-style" showColumnStripes="0" showFirstColumn="1" showLastColumn="1" showRowStripes="1"/>
</table>
</file>

<file path=xl/tables/table16.xml><?xml version="1.0" encoding="utf-8"?>
<table xmlns="http://schemas.openxmlformats.org/spreadsheetml/2006/main" ref="B9:Q52" displayName="OPI_2" name="OPI_2" id="16">
  <tableColumns count="16">
    <tableColumn name="PLAZA DE VENTA" id="1"/>
    <tableColumn name="FECHA DE ENVIO DE REMESA" id="2"/>
    <tableColumn name="ESTADO DE REMESA" id="3"/>
    <tableColumn name="FECHA DE INGRESO" id="4"/>
    <tableColumn name="FECHA DE DESEMBOLSO" id="5"/>
    <tableColumn name="DOCUMENTO" id="6"/>
    <tableColumn name="NOMBRES Y APELLIDOS" id="7"/>
    <tableColumn name="CONVENIO" id="8"/>
    <tableColumn name="ESTADO" id="9"/>
    <tableColumn name="MAF NETO" id="10"/>
    <tableColumn name="EJECUTIVO" id="11"/>
    <tableColumn name="FILE ENVIADO A BANCO" id="12"/>
    <tableColumn name="FECHA DE ENVIÓ CARTA PODER A BCP" id="13"/>
    <tableColumn name="COMPRA DE DEUDA REALIZADA" id="14"/>
    <tableColumn name="LIBERACIÓN" id="15"/>
    <tableColumn name="FEEDBACK" id="16"/>
  </tableColumns>
  <tableStyleInfo name="CRISTINA BRACAMON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63"/>
    <col customWidth="1" min="3" max="3" width="9.13"/>
    <col customWidth="1" min="4" max="4" width="16.5"/>
    <col customWidth="1" min="5" max="5" width="13.13"/>
    <col customWidth="1" min="6" max="6" width="14.13"/>
    <col customWidth="1" min="7" max="7" width="16.38"/>
    <col customWidth="1" min="8" max="8" width="18.75"/>
    <col customWidth="1" min="9" max="9" width="23.88"/>
    <col customWidth="1" min="10" max="10" width="13.88"/>
    <col customWidth="1" min="11" max="11" width="10.88"/>
    <col customWidth="1" min="12" max="12" width="15.75"/>
    <col customWidth="1" min="13" max="13" width="18.13"/>
    <col hidden="1" min="15" max="23" width="12.63"/>
  </cols>
  <sheetData>
    <row r="1">
      <c r="A1" s="1" t="s">
        <v>0</v>
      </c>
    </row>
    <row r="2">
      <c r="B2" s="2" t="s">
        <v>1</v>
      </c>
    </row>
    <row r="4" ht="22.5" customHeight="1">
      <c r="B4" s="3" t="s">
        <v>2</v>
      </c>
      <c r="C4" s="3" t="s">
        <v>3</v>
      </c>
      <c r="D4" s="4" t="s">
        <v>4</v>
      </c>
      <c r="E4" s="4" t="s">
        <v>5</v>
      </c>
      <c r="F4" s="5" t="s">
        <v>6</v>
      </c>
      <c r="G4" s="5" t="s">
        <v>7</v>
      </c>
      <c r="H4" s="5" t="s">
        <v>8</v>
      </c>
      <c r="I4" s="5" t="s">
        <v>9</v>
      </c>
      <c r="J4" s="5" t="s">
        <v>10</v>
      </c>
      <c r="K4" s="5" t="s">
        <v>11</v>
      </c>
      <c r="L4" s="5" t="s">
        <v>12</v>
      </c>
      <c r="M4" s="5" t="s">
        <v>13</v>
      </c>
    </row>
    <row r="5">
      <c r="B5" s="6" t="s">
        <v>14</v>
      </c>
      <c r="C5" s="6" t="s">
        <v>15</v>
      </c>
      <c r="D5" s="7">
        <f>'ANGIE SILVERA'!$F$4</f>
        <v>2071000</v>
      </c>
      <c r="E5" s="8">
        <f>'ANGIE SILVERA'!$F$5</f>
        <v>30</v>
      </c>
      <c r="F5" s="7">
        <f>'ANGIE SILVERA'!$K$4</f>
        <v>0</v>
      </c>
      <c r="G5" s="7">
        <f>'ANGIE SILVERA'!$J$4</f>
        <v>0</v>
      </c>
      <c r="H5" s="7">
        <f>'ANGIE SILVERA'!$I$4</f>
        <v>0</v>
      </c>
      <c r="I5" s="7">
        <f>'ANGIE SILVERA'!$H$4</f>
        <v>0</v>
      </c>
      <c r="J5" s="7">
        <v>2500000.0</v>
      </c>
      <c r="K5" s="14">
        <f t="shared" ref="K5:K21" si="1">D5/J5</f>
        <v>0.8284</v>
      </c>
      <c r="L5" s="8">
        <f>'ANGIE SILVERA'!$K$5</f>
        <v>0</v>
      </c>
      <c r="M5" s="8">
        <f>'ANGIE SILVERA'!$J$5</f>
        <v>0</v>
      </c>
    </row>
    <row r="6">
      <c r="B6" s="6" t="s">
        <v>28</v>
      </c>
      <c r="C6" s="6" t="s">
        <v>16</v>
      </c>
      <c r="D6" s="7">
        <f>'CRISTINA BRACAMONTE'!$F$4</f>
        <v>46000</v>
      </c>
      <c r="E6" s="8">
        <f>'CRISTINA BRACAMONTE'!$F$5</f>
        <v>1</v>
      </c>
      <c r="F6" s="7">
        <f>'CRISTINA BRACAMONTE'!$K$4</f>
        <v>0</v>
      </c>
      <c r="G6" s="7">
        <f>'CRISTINA BRACAMONTE'!$J$4</f>
        <v>0</v>
      </c>
      <c r="H6" s="7">
        <f>'CRISTINA BRACAMONTE'!$I$4</f>
        <v>0</v>
      </c>
      <c r="I6" s="7">
        <f>'CRISTINA BRACAMONTE'!$H$4</f>
        <v>0</v>
      </c>
      <c r="J6" s="7">
        <v>1000000.0</v>
      </c>
      <c r="K6" s="14">
        <f t="shared" si="1"/>
        <v>0.046</v>
      </c>
      <c r="L6" s="8">
        <f>'CRISTINA BRACAMONTE'!$K$5</f>
        <v>0</v>
      </c>
      <c r="M6" s="8">
        <f>'CRISTINA BRACAMONTE'!$J$5</f>
        <v>0</v>
      </c>
    </row>
    <row r="7">
      <c r="B7" s="6" t="s">
        <v>29</v>
      </c>
      <c r="C7" s="6" t="s">
        <v>16</v>
      </c>
      <c r="D7" s="7">
        <f>'JHON ZAMORA'!$F$4</f>
        <v>554150</v>
      </c>
      <c r="E7" s="8">
        <f>'JHON ZAMORA'!$F$5</f>
        <v>7</v>
      </c>
      <c r="F7" s="7">
        <f>'JHON ZAMORA'!$K$4</f>
        <v>0</v>
      </c>
      <c r="G7" s="7">
        <f>'JHON ZAMORA'!$J$4</f>
        <v>0</v>
      </c>
      <c r="H7" s="7">
        <f>'JHON ZAMORA'!$I$4</f>
        <v>0</v>
      </c>
      <c r="I7" s="7">
        <f>'JHON ZAMORA'!$H$4</f>
        <v>0</v>
      </c>
      <c r="J7" s="7">
        <v>1000000.0</v>
      </c>
      <c r="K7" s="14">
        <f t="shared" si="1"/>
        <v>0.55415</v>
      </c>
      <c r="L7" s="8">
        <f>'JHON ZAMORA'!$K$5</f>
        <v>0</v>
      </c>
      <c r="M7" s="8">
        <f>'JHON ZAMORA'!$J$5</f>
        <v>0</v>
      </c>
    </row>
    <row r="8">
      <c r="B8" s="6" t="s">
        <v>30</v>
      </c>
      <c r="C8" s="6" t="s">
        <v>31</v>
      </c>
      <c r="D8" s="7">
        <f>'JIMMY COLLAZOS'!$F$4</f>
        <v>447530</v>
      </c>
      <c r="E8" s="8">
        <f>'JIMMY COLLAZOS'!$F$5</f>
        <v>6</v>
      </c>
      <c r="F8" s="7">
        <f>'JIMMY COLLAZOS'!$K$4</f>
        <v>0</v>
      </c>
      <c r="G8" s="7">
        <f>'JIMMY COLLAZOS'!$J$4</f>
        <v>0</v>
      </c>
      <c r="H8" s="7">
        <f>'JIMMY COLLAZOS'!$I$4</f>
        <v>0</v>
      </c>
      <c r="I8" s="7">
        <f>'JIMMY COLLAZOS'!$H$4</f>
        <v>0</v>
      </c>
      <c r="J8" s="7">
        <v>1000000.0</v>
      </c>
      <c r="K8" s="14">
        <f t="shared" si="1"/>
        <v>0.44753</v>
      </c>
      <c r="L8" s="8">
        <f>'JIMMY COLLAZOS'!$K$5</f>
        <v>0</v>
      </c>
      <c r="M8" s="8">
        <f>'JIMMY COLLAZOS'!$J$5</f>
        <v>0</v>
      </c>
    </row>
    <row r="9">
      <c r="B9" s="6" t="s">
        <v>33</v>
      </c>
      <c r="C9" s="6" t="s">
        <v>16</v>
      </c>
      <c r="D9" s="7">
        <f>'OMAR MINAYA'!$F$4</f>
        <v>157100</v>
      </c>
      <c r="E9" s="8">
        <f>'OMAR MINAYA'!$F$5</f>
        <v>3</v>
      </c>
      <c r="F9" s="7">
        <f>'OMAR MINAYA'!$K$4</f>
        <v>0</v>
      </c>
      <c r="G9" s="7">
        <f>'OMAR MINAYA'!$J$4</f>
        <v>0</v>
      </c>
      <c r="H9" s="7">
        <f>'OMAR MINAYA'!$I$4</f>
        <v>0</v>
      </c>
      <c r="I9" s="7">
        <f>'OMAR MINAYA'!$H$4</f>
        <v>0</v>
      </c>
      <c r="J9" s="7">
        <v>1000000.0</v>
      </c>
      <c r="K9" s="14">
        <f t="shared" si="1"/>
        <v>0.1571</v>
      </c>
      <c r="L9" s="8">
        <f>'OMAR MINAYA'!$K$5</f>
        <v>0</v>
      </c>
      <c r="M9" s="8">
        <f>'OMAR MINAYA'!$J$5</f>
        <v>0</v>
      </c>
    </row>
    <row r="10">
      <c r="B10" s="6" t="s">
        <v>35</v>
      </c>
      <c r="C10" s="6" t="s">
        <v>15</v>
      </c>
      <c r="D10" s="7">
        <f>'KENNY MORALES'!$F$4</f>
        <v>292600</v>
      </c>
      <c r="E10" s="8">
        <f>'KENNY MORALES'!$F$5</f>
        <v>6</v>
      </c>
      <c r="F10" s="7">
        <f>'KENNY MORALES'!$K$4</f>
        <v>0</v>
      </c>
      <c r="G10" s="7">
        <f>'KENNY MORALES'!$J$4</f>
        <v>0</v>
      </c>
      <c r="H10" s="7">
        <f>'KENNY MORALES'!$I$4</f>
        <v>0</v>
      </c>
      <c r="I10" s="7">
        <f>'KENNY MORALES'!$H$4</f>
        <v>0</v>
      </c>
      <c r="J10" s="7">
        <v>1000000.0</v>
      </c>
      <c r="K10" s="14">
        <f t="shared" si="1"/>
        <v>0.2926</v>
      </c>
      <c r="L10" s="8">
        <f>'KENNY MORALES'!$K$5</f>
        <v>0</v>
      </c>
      <c r="M10" s="8">
        <f>'KENNY MORALES'!$J$5</f>
        <v>0</v>
      </c>
    </row>
    <row r="11">
      <c r="B11" s="6" t="s">
        <v>36</v>
      </c>
      <c r="C11" s="6" t="s">
        <v>15</v>
      </c>
      <c r="D11" s="7">
        <f>'LUIS CHUSE'!$F$4</f>
        <v>789451</v>
      </c>
      <c r="E11" s="8">
        <f>'LUIS CHUSE'!$F$5</f>
        <v>10</v>
      </c>
      <c r="F11" s="7">
        <f>'LUIS CHUSE'!$K$4</f>
        <v>0</v>
      </c>
      <c r="G11" s="7">
        <f>'LUIS CHUSE'!$J$4</f>
        <v>0</v>
      </c>
      <c r="H11" s="7">
        <f>'LUIS CHUSE'!$I$4</f>
        <v>0</v>
      </c>
      <c r="I11" s="7">
        <f>'LUIS CHUSE'!$H$4</f>
        <v>0</v>
      </c>
      <c r="J11" s="7">
        <v>1500000.0</v>
      </c>
      <c r="K11" s="14">
        <f t="shared" si="1"/>
        <v>0.5263006667</v>
      </c>
      <c r="L11" s="8">
        <f>'LUIS CHUSE'!$K$5</f>
        <v>0</v>
      </c>
      <c r="M11" s="8">
        <f>'LUIS CHUSE'!$J$5</f>
        <v>0</v>
      </c>
    </row>
    <row r="12">
      <c r="B12" s="6" t="s">
        <v>40</v>
      </c>
      <c r="C12" s="6" t="s">
        <v>15</v>
      </c>
      <c r="D12" s="7">
        <f>'LUIS MENDOZA'!$F$4</f>
        <v>444390</v>
      </c>
      <c r="E12" s="8">
        <f>'LUIS MENDOZA'!$F$5</f>
        <v>6</v>
      </c>
      <c r="F12" s="7">
        <f>'LUIS MENDOZA'!$K$4</f>
        <v>0</v>
      </c>
      <c r="G12" s="7">
        <f>'LUIS MENDOZA'!$J$4</f>
        <v>0</v>
      </c>
      <c r="H12" s="7">
        <f>'LUIS MENDOZA'!$I$4</f>
        <v>0</v>
      </c>
      <c r="I12" s="7">
        <f>'LUIS MENDOZA'!$H$4</f>
        <v>0</v>
      </c>
      <c r="J12" s="7">
        <v>1000000.0</v>
      </c>
      <c r="K12" s="14">
        <f t="shared" si="1"/>
        <v>0.44439</v>
      </c>
      <c r="L12" s="8">
        <f>'LUIS MENDOZA'!$K$5</f>
        <v>0</v>
      </c>
      <c r="M12" s="8">
        <f>'LUIS MENDOZA'!$J$5</f>
        <v>0</v>
      </c>
    </row>
    <row r="13">
      <c r="B13" s="6" t="s">
        <v>52</v>
      </c>
      <c r="C13" s="6" t="s">
        <v>15</v>
      </c>
      <c r="D13" s="7">
        <f>'MARIELLA PAÑAHUA'!$F$4</f>
        <v>287000</v>
      </c>
      <c r="E13" s="8">
        <f>'MARIELLA PAÑAHUA'!$F$5</f>
        <v>5</v>
      </c>
      <c r="F13" s="7">
        <f>'MARIELLA PAÑAHUA'!$K$4</f>
        <v>0</v>
      </c>
      <c r="G13" s="7">
        <f>'MARIELLA PAÑAHUA'!$J$4</f>
        <v>0</v>
      </c>
      <c r="H13" s="7">
        <f>'MARIELLA PAÑAHUA'!$I$4</f>
        <v>0</v>
      </c>
      <c r="I13" s="7">
        <f>'MARIELLA PAÑAHUA'!$H$4</f>
        <v>0</v>
      </c>
      <c r="J13" s="7">
        <v>1000000.0</v>
      </c>
      <c r="K13" s="14">
        <f t="shared" si="1"/>
        <v>0.287</v>
      </c>
      <c r="L13" s="8">
        <f>'MARIELLA PAÑAHUA'!$K$5</f>
        <v>0</v>
      </c>
      <c r="M13" s="8">
        <f>'MARIELLA PAÑAHUA'!$J$5</f>
        <v>0</v>
      </c>
    </row>
    <row r="14">
      <c r="B14" s="6" t="s">
        <v>56</v>
      </c>
      <c r="C14" s="6" t="s">
        <v>15</v>
      </c>
      <c r="D14" s="7">
        <f>'MILAGROS TUESTA'!$F$4</f>
        <v>2081240</v>
      </c>
      <c r="E14" s="8">
        <f>'MILAGROS TUESTA'!$F$5</f>
        <v>28</v>
      </c>
      <c r="F14" s="7">
        <f>'MILAGROS TUESTA'!$K$4</f>
        <v>0</v>
      </c>
      <c r="G14" s="7">
        <f>'MILAGROS TUESTA'!$J$4</f>
        <v>0</v>
      </c>
      <c r="H14" s="7">
        <f>'MILAGROS TUESTA'!$I$4</f>
        <v>0</v>
      </c>
      <c r="I14" s="7">
        <f>'MILAGROS TUESTA'!$H$4</f>
        <v>0</v>
      </c>
      <c r="J14" s="7">
        <v>1500000.0</v>
      </c>
      <c r="K14" s="14">
        <f t="shared" si="1"/>
        <v>1.387493333</v>
      </c>
      <c r="L14" s="8">
        <f>'MILAGROS TUESTA'!$K$5</f>
        <v>0</v>
      </c>
      <c r="M14" s="8">
        <f>'MILAGROS TUESTA'!$J$5</f>
        <v>0</v>
      </c>
    </row>
    <row r="15">
      <c r="B15" s="6" t="s">
        <v>62</v>
      </c>
      <c r="C15" s="6" t="s">
        <v>16</v>
      </c>
      <c r="D15" s="7">
        <f>'NAHOMI DIAZ'!$F$4</f>
        <v>1225220</v>
      </c>
      <c r="E15" s="8">
        <f>'NAHOMI DIAZ'!$F$5</f>
        <v>18</v>
      </c>
      <c r="F15" s="7">
        <f>'NAHOMI DIAZ'!$K$4</f>
        <v>0</v>
      </c>
      <c r="G15" s="7">
        <f>'NAHOMI DIAZ'!$J$4</f>
        <v>0</v>
      </c>
      <c r="H15" s="7">
        <f>'NAHOMI DIAZ'!$I$4</f>
        <v>54000</v>
      </c>
      <c r="I15" s="7">
        <f>'NAHOMI DIAZ'!$H$4</f>
        <v>0</v>
      </c>
      <c r="J15" s="7">
        <v>1000000.0</v>
      </c>
      <c r="K15" s="14">
        <f t="shared" si="1"/>
        <v>1.22522</v>
      </c>
      <c r="L15" s="8">
        <f>'NAHOMI DIAZ'!$K$5</f>
        <v>0</v>
      </c>
      <c r="M15" s="8">
        <f>'NAHOMI DIAZ'!$J$5</f>
        <v>0</v>
      </c>
    </row>
    <row r="16">
      <c r="B16" s="6" t="s">
        <v>68</v>
      </c>
      <c r="C16" s="6" t="s">
        <v>69</v>
      </c>
      <c r="D16" s="7">
        <f>'VIOLETA LLERENA'!$F$4</f>
        <v>279880</v>
      </c>
      <c r="E16" s="8">
        <f>'VIOLETA LLERENA'!$F$5</f>
        <v>4</v>
      </c>
      <c r="F16" s="7">
        <f>'VIOLETA LLERENA'!$K$4</f>
        <v>0</v>
      </c>
      <c r="G16" s="7">
        <f>'VIOLETA LLERENA'!$J$4</f>
        <v>0</v>
      </c>
      <c r="H16" s="7">
        <f>'VIOLETA LLERENA'!$I$4</f>
        <v>0</v>
      </c>
      <c r="I16" s="7">
        <f>'VIOLETA LLERENA'!$H$4</f>
        <v>0</v>
      </c>
      <c r="J16" s="7">
        <v>1000000.0</v>
      </c>
      <c r="K16" s="14">
        <f t="shared" si="1"/>
        <v>0.27988</v>
      </c>
      <c r="L16" s="8">
        <f>'VIOLETA LLERENA'!$K$5</f>
        <v>0</v>
      </c>
      <c r="M16" s="8">
        <f>'VIOLETA LLERENA'!$J$5</f>
        <v>0</v>
      </c>
    </row>
    <row r="17">
      <c r="B17" s="6" t="s">
        <v>73</v>
      </c>
      <c r="C17" s="6" t="s">
        <v>74</v>
      </c>
      <c r="D17" s="7">
        <f>'ALEXANDRA GUZMAN'!$F$4</f>
        <v>0</v>
      </c>
      <c r="E17" s="8">
        <f>'ALEXANDRA GUZMAN'!$F$5</f>
        <v>0</v>
      </c>
      <c r="F17" s="7">
        <f>'ALEXANDRA GUZMAN'!$K$4</f>
        <v>0</v>
      </c>
      <c r="G17" s="7">
        <f>'ALEXANDRA GUZMAN'!$J$4</f>
        <v>0</v>
      </c>
      <c r="H17" s="7">
        <f>'ALEXANDRA GUZMAN'!$I$4</f>
        <v>0</v>
      </c>
      <c r="I17" s="7">
        <f>'ALEXANDRA GUZMAN'!$H$4</f>
        <v>0</v>
      </c>
      <c r="J17" s="7">
        <v>1000000.0</v>
      </c>
      <c r="K17" s="14">
        <f t="shared" si="1"/>
        <v>0</v>
      </c>
      <c r="L17" s="8">
        <f>'ALEXANDRA GUZMAN'!$K$5</f>
        <v>0</v>
      </c>
      <c r="M17" s="8">
        <f>'ALEXANDRA GUZMAN'!$J$5</f>
        <v>0</v>
      </c>
    </row>
    <row r="18">
      <c r="B18" s="6" t="s">
        <v>79</v>
      </c>
      <c r="C18" s="6" t="s">
        <v>74</v>
      </c>
      <c r="D18" s="7">
        <f>'AMALIA QUINDE'!$F$4</f>
        <v>62000</v>
      </c>
      <c r="E18" s="8">
        <f>'AMALIA QUINDE'!$F$5</f>
        <v>1</v>
      </c>
      <c r="F18" s="7">
        <f>'AMALIA QUINDE'!$K$4</f>
        <v>0</v>
      </c>
      <c r="G18" s="7">
        <f>'AMALIA QUINDE'!$J$4</f>
        <v>0</v>
      </c>
      <c r="H18" s="7">
        <f>'AMALIA QUINDE'!$I$4</f>
        <v>0</v>
      </c>
      <c r="I18" s="7">
        <f>'AMALIA QUINDE'!$H$4</f>
        <v>0</v>
      </c>
      <c r="J18" s="7">
        <v>1000000.0</v>
      </c>
      <c r="K18" s="14">
        <f t="shared" si="1"/>
        <v>0.062</v>
      </c>
      <c r="L18" s="8">
        <f>'AMALIA QUINDE'!$K$5</f>
        <v>0</v>
      </c>
      <c r="M18" s="8">
        <f>'AMALIA QUINDE'!$J$5</f>
        <v>0</v>
      </c>
    </row>
    <row r="19">
      <c r="B19" s="6" t="s">
        <v>82</v>
      </c>
      <c r="C19" s="6" t="s">
        <v>74</v>
      </c>
      <c r="D19" s="7">
        <f>'JORGE CASTILLO'!$F$4</f>
        <v>0</v>
      </c>
      <c r="E19" s="8">
        <f>'JORGE CASTILLO'!$F$5</f>
        <v>0</v>
      </c>
      <c r="F19" s="7">
        <f>'JORGE CASTILLO'!$K$4</f>
        <v>0</v>
      </c>
      <c r="G19" s="7">
        <f>'JORGE CASTILLO'!$J$4</f>
        <v>0</v>
      </c>
      <c r="H19" s="7">
        <f>'JORGE CASTILLO'!$I$4</f>
        <v>0</v>
      </c>
      <c r="I19" s="7">
        <f>'JORGE CASTILLO'!$H$4</f>
        <v>0</v>
      </c>
      <c r="J19" s="7">
        <v>1000000.0</v>
      </c>
      <c r="K19" s="14">
        <f t="shared" si="1"/>
        <v>0</v>
      </c>
      <c r="L19" s="8">
        <f>'JORGE CASTILLO'!$K$5</f>
        <v>0</v>
      </c>
      <c r="M19" s="8">
        <f>'JORGE CASTILLO'!$J$5</f>
        <v>0</v>
      </c>
    </row>
    <row r="20">
      <c r="B20" s="6" t="s">
        <v>86</v>
      </c>
      <c r="C20" s="6" t="s">
        <v>74</v>
      </c>
      <c r="D20" s="7">
        <f>'WENDY IPANEQUE'!$F$4</f>
        <v>0</v>
      </c>
      <c r="E20" s="8">
        <f>'WENDY IPANEQUE'!$F$5</f>
        <v>0</v>
      </c>
      <c r="F20" s="7">
        <f>'WENDY IPANEQUE'!$K$4</f>
        <v>0</v>
      </c>
      <c r="G20" s="7">
        <f>'WENDY IPANEQUE'!$J$4</f>
        <v>0</v>
      </c>
      <c r="H20" s="7">
        <f>'WENDY IPANEQUE'!$I$4</f>
        <v>0</v>
      </c>
      <c r="I20" s="7">
        <f>'WENDY IPANEQUE'!$H$4</f>
        <v>0</v>
      </c>
      <c r="J20" s="7">
        <v>1000000.0</v>
      </c>
      <c r="K20" s="14">
        <f t="shared" si="1"/>
        <v>0</v>
      </c>
      <c r="L20" s="8">
        <f>'WENDY IPANEQUE'!$K$5</f>
        <v>0</v>
      </c>
      <c r="M20" s="8">
        <f>'WENDY IPANEQUE'!$J$5</f>
        <v>0</v>
      </c>
    </row>
    <row r="21">
      <c r="B21" s="52" t="s">
        <v>94</v>
      </c>
      <c r="C21" s="53"/>
      <c r="D21" s="54">
        <f t="shared" ref="D21:J21" si="2">SUM(D5:D20)</f>
        <v>8737561</v>
      </c>
      <c r="E21" s="55">
        <f t="shared" si="2"/>
        <v>125</v>
      </c>
      <c r="F21" s="56">
        <f t="shared" si="2"/>
        <v>0</v>
      </c>
      <c r="G21" s="56">
        <f t="shared" si="2"/>
        <v>0</v>
      </c>
      <c r="H21" s="56">
        <f t="shared" si="2"/>
        <v>54000</v>
      </c>
      <c r="I21" s="56">
        <f t="shared" si="2"/>
        <v>0</v>
      </c>
      <c r="J21" s="56">
        <f t="shared" si="2"/>
        <v>18500000</v>
      </c>
      <c r="K21" s="57">
        <f t="shared" si="1"/>
        <v>0.4723005946</v>
      </c>
      <c r="L21" s="58">
        <f t="shared" ref="L21:M21" si="3">SUM(L5:L20)</f>
        <v>0</v>
      </c>
      <c r="M21" s="58">
        <f t="shared" si="3"/>
        <v>0</v>
      </c>
    </row>
    <row r="24">
      <c r="B24" s="59" t="s">
        <v>96</v>
      </c>
      <c r="C24" s="60"/>
      <c r="D24" s="4" t="s">
        <v>4</v>
      </c>
      <c r="E24" s="4" t="s">
        <v>5</v>
      </c>
      <c r="F24" s="5" t="s">
        <v>6</v>
      </c>
      <c r="G24" s="5" t="s">
        <v>7</v>
      </c>
      <c r="H24" s="5" t="s">
        <v>8</v>
      </c>
      <c r="I24" s="5" t="s">
        <v>9</v>
      </c>
      <c r="J24" s="5" t="s">
        <v>10</v>
      </c>
      <c r="K24" s="5" t="s">
        <v>11</v>
      </c>
      <c r="L24" s="5" t="s">
        <v>12</v>
      </c>
      <c r="M24" s="5" t="s">
        <v>13</v>
      </c>
    </row>
    <row r="25">
      <c r="B25" s="61" t="s">
        <v>15</v>
      </c>
      <c r="C25" s="60"/>
      <c r="D25" s="7">
        <f t="shared" ref="D25:J25" si="4">SUMIFS(D$5:D$20,$C$5:$C$20,$B25)</f>
        <v>5965681</v>
      </c>
      <c r="E25" s="8">
        <f t="shared" si="4"/>
        <v>85</v>
      </c>
      <c r="F25" s="7">
        <f t="shared" si="4"/>
        <v>0</v>
      </c>
      <c r="G25" s="7">
        <f t="shared" si="4"/>
        <v>0</v>
      </c>
      <c r="H25" s="7">
        <f t="shared" si="4"/>
        <v>0</v>
      </c>
      <c r="I25" s="7">
        <f t="shared" si="4"/>
        <v>0</v>
      </c>
      <c r="J25" s="7">
        <f t="shared" si="4"/>
        <v>8500000</v>
      </c>
      <c r="K25" s="14">
        <f t="shared" ref="K25:K29" si="7">D25/J25</f>
        <v>0.7018448235</v>
      </c>
      <c r="L25" s="8">
        <f t="shared" ref="L25:M25" si="5">SUMIFS(L$5:L$20,$C$5:$C$20,$B25)</f>
        <v>0</v>
      </c>
      <c r="M25" s="8">
        <f t="shared" si="5"/>
        <v>0</v>
      </c>
    </row>
    <row r="26">
      <c r="B26" s="61" t="s">
        <v>110</v>
      </c>
      <c r="C26" s="60"/>
      <c r="D26" s="7">
        <f t="shared" ref="D26:J26" si="6">SUMIFS(D5:D20,$C$5:$C$20,"CHICLAYO")+SUMIFS(D5:D20,$C$5:$C$20,"TRUJILLO")+SUMIFS(D5:D20,$C$5:$C$20,"PIURA")</f>
        <v>2044470</v>
      </c>
      <c r="E26" s="8">
        <f t="shared" si="6"/>
        <v>30</v>
      </c>
      <c r="F26" s="7">
        <f t="shared" si="6"/>
        <v>0</v>
      </c>
      <c r="G26" s="7">
        <f t="shared" si="6"/>
        <v>0</v>
      </c>
      <c r="H26" s="7">
        <f t="shared" si="6"/>
        <v>54000</v>
      </c>
      <c r="I26" s="7">
        <f t="shared" si="6"/>
        <v>0</v>
      </c>
      <c r="J26" s="7">
        <f t="shared" si="6"/>
        <v>8000000</v>
      </c>
      <c r="K26" s="14">
        <f t="shared" si="7"/>
        <v>0.25555875</v>
      </c>
      <c r="L26" s="8">
        <f t="shared" ref="L26:M26" si="8">SUMIFS(L5:L20,$C$5:$C$20,"CHICLAYO")+SUMIFS(L5:L20,$C$5:$C$20,"TRUJILLO")+SUMIFS(L5:L20,$C$5:$C$20,"PIURA")</f>
        <v>0</v>
      </c>
      <c r="M26" s="8">
        <f t="shared" si="8"/>
        <v>0</v>
      </c>
    </row>
    <row r="27">
      <c r="B27" s="61" t="s">
        <v>31</v>
      </c>
      <c r="C27" s="60"/>
      <c r="D27" s="7">
        <f t="shared" ref="D27:J27" si="9">SUMIFS(D5:D20,$C$5:$C$20,"TARAPOTO")</f>
        <v>447530</v>
      </c>
      <c r="E27" s="8">
        <f t="shared" si="9"/>
        <v>6</v>
      </c>
      <c r="F27" s="7">
        <f t="shared" si="9"/>
        <v>0</v>
      </c>
      <c r="G27" s="7">
        <f t="shared" si="9"/>
        <v>0</v>
      </c>
      <c r="H27" s="7">
        <f t="shared" si="9"/>
        <v>0</v>
      </c>
      <c r="I27" s="7">
        <f t="shared" si="9"/>
        <v>0</v>
      </c>
      <c r="J27" s="7">
        <f t="shared" si="9"/>
        <v>1000000</v>
      </c>
      <c r="K27" s="14">
        <f t="shared" si="7"/>
        <v>0.44753</v>
      </c>
      <c r="L27" s="8">
        <f t="shared" ref="L27:M27" si="10">SUMIFS(L5:L20,$C$5:$C$20,"TARAPOTO")</f>
        <v>0</v>
      </c>
      <c r="M27" s="8">
        <f t="shared" si="10"/>
        <v>0</v>
      </c>
    </row>
    <row r="28">
      <c r="B28" s="61" t="s">
        <v>69</v>
      </c>
      <c r="C28" s="60"/>
      <c r="D28" s="7">
        <f t="shared" ref="D28:J28" si="11">SUMIFS(D5:D20,$C$5:$C$20,"AREQUIPA")</f>
        <v>279880</v>
      </c>
      <c r="E28" s="8">
        <f t="shared" si="11"/>
        <v>4</v>
      </c>
      <c r="F28" s="7">
        <f t="shared" si="11"/>
        <v>0</v>
      </c>
      <c r="G28" s="7">
        <f t="shared" si="11"/>
        <v>0</v>
      </c>
      <c r="H28" s="7">
        <f t="shared" si="11"/>
        <v>0</v>
      </c>
      <c r="I28" s="7">
        <f t="shared" si="11"/>
        <v>0</v>
      </c>
      <c r="J28" s="7">
        <f t="shared" si="11"/>
        <v>1000000</v>
      </c>
      <c r="K28" s="14">
        <f t="shared" si="7"/>
        <v>0.27988</v>
      </c>
      <c r="L28" s="8">
        <f>SUMIFS(L5:L20,$C$5:$C$20,"AREQUIPA")</f>
        <v>0</v>
      </c>
      <c r="M28" s="8">
        <f>SUMIFS(M6:M21,$C$5:$C$20,"TARAPOTO")</f>
        <v>0</v>
      </c>
    </row>
    <row r="29">
      <c r="B29" s="68" t="s">
        <v>94</v>
      </c>
      <c r="C29" s="60"/>
      <c r="D29" s="54">
        <f t="shared" ref="D29:J29" si="12">SUM(D25:D28)</f>
        <v>8737561</v>
      </c>
      <c r="E29" s="55">
        <f t="shared" si="12"/>
        <v>125</v>
      </c>
      <c r="F29" s="56">
        <f t="shared" si="12"/>
        <v>0</v>
      </c>
      <c r="G29" s="56">
        <f t="shared" si="12"/>
        <v>0</v>
      </c>
      <c r="H29" s="56">
        <f t="shared" si="12"/>
        <v>54000</v>
      </c>
      <c r="I29" s="56">
        <f t="shared" si="12"/>
        <v>0</v>
      </c>
      <c r="J29" s="56">
        <f t="shared" si="12"/>
        <v>18500000</v>
      </c>
      <c r="K29" s="57">
        <f t="shared" si="7"/>
        <v>0.4723005946</v>
      </c>
      <c r="L29" s="58">
        <f t="shared" ref="L29:M29" si="13">SUM(L25:L28)</f>
        <v>0</v>
      </c>
      <c r="M29" s="58">
        <f t="shared" si="13"/>
        <v>0</v>
      </c>
    </row>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sheetData>
  <mergeCells count="6">
    <mergeCell ref="B24:C24"/>
    <mergeCell ref="B25:C25"/>
    <mergeCell ref="B26:C26"/>
    <mergeCell ref="B27:C27"/>
    <mergeCell ref="B28:C28"/>
    <mergeCell ref="B29:C2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7.0"/>
    <col customWidth="1" min="9" max="9" width="19.25"/>
    <col customWidth="1" min="10" max="10" width="22.88"/>
    <col customWidth="1" min="11" max="11" width="17.0"/>
    <col customWidth="1" min="12" max="12" width="15.0"/>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16</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SUMIFS(OPI_11[MAF NETO],OPI_11[ESTADO],"Desembolsado")</f>
        <v>1225220</v>
      </c>
      <c r="G4" s="15">
        <f>F4-E4</f>
        <v>225220</v>
      </c>
      <c r="H4" s="16">
        <f>SUMIFS(OPI_11[MAF NETO],OPI_11[ESTADO],H$3)</f>
        <v>0</v>
      </c>
      <c r="I4" s="16">
        <f>SUMIFS(OPI_11[MAF NETO],OPI_11[ESTADO],I$3)</f>
        <v>54000</v>
      </c>
      <c r="J4" s="16">
        <f>SUMIFS(OPI_11[MAF NETO],OPI_11[ESTADO],J$3)</f>
        <v>0</v>
      </c>
      <c r="K4" s="16">
        <f>SUMIFS(OPI_11[MAF NETO],OPI_11[ESTADO],K$3)</f>
        <v>0</v>
      </c>
      <c r="L4" s="16">
        <f>SUMIFS(OPI_11[MAF NETO],OPI_11[ESTADO],L$3)</f>
        <v>0</v>
      </c>
      <c r="M4" s="16">
        <f>SUMIFS(OPI_11[MAF NETO],OPI_11[ESTADO],M$3)</f>
        <v>0</v>
      </c>
      <c r="N4" s="16">
        <f>SUMIFS(OPI_11[MAF NETO],OPI_11[ESTADO],N$3)</f>
        <v>727840</v>
      </c>
    </row>
    <row r="5" ht="26.25" customHeight="1">
      <c r="D5" s="17" t="s">
        <v>32</v>
      </c>
      <c r="E5" s="18" t="s">
        <v>34</v>
      </c>
      <c r="F5" s="19">
        <f>COUNTIFS(OPI_11[ESTADO],"Desembolsado")</f>
        <v>18</v>
      </c>
      <c r="G5" s="20">
        <f>IFERROR(F4/E4,"")</f>
        <v>1.22522</v>
      </c>
      <c r="H5" s="19">
        <f>COUNTIFS(OPI_11[ESTADO],H$3)</f>
        <v>0</v>
      </c>
      <c r="I5" s="19">
        <f>COUNTIFS(OPI_11[ESTADO],I$3)</f>
        <v>1</v>
      </c>
      <c r="J5" s="19">
        <f>COUNTIFS(OPI_11[ESTADO],J$3)</f>
        <v>0</v>
      </c>
      <c r="K5" s="19">
        <f>COUNTIFS(OPI_11[ESTADO],K$3)</f>
        <v>0</v>
      </c>
      <c r="L5" s="19">
        <f>COUNTIFS(OPI_11[ESTADO],L$3)</f>
        <v>0</v>
      </c>
      <c r="M5" s="19">
        <f>COUNTIFS(OPI_11[ESTADO],M$3)</f>
        <v>0</v>
      </c>
      <c r="N5" s="19">
        <f>COUNTIFS(OPI_11[ESTADO],N$3)</f>
        <v>10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4" t="s">
        <v>16</v>
      </c>
      <c r="C10" s="26">
        <v>46147.0</v>
      </c>
      <c r="D10" s="28" t="s">
        <v>55</v>
      </c>
      <c r="E10" s="30">
        <v>46148.0</v>
      </c>
      <c r="F10" s="31"/>
      <c r="G10" s="33" t="s">
        <v>57</v>
      </c>
      <c r="H10" s="35" t="s">
        <v>59</v>
      </c>
      <c r="I10" s="36" t="s">
        <v>61</v>
      </c>
      <c r="J10" s="37" t="s">
        <v>26</v>
      </c>
      <c r="K10" s="39">
        <v>71450.0</v>
      </c>
      <c r="L10" s="36" t="s">
        <v>64</v>
      </c>
      <c r="M10" s="40"/>
      <c r="N10" s="42"/>
      <c r="O10" s="43"/>
      <c r="P10" s="43"/>
      <c r="Q10" s="44" t="s">
        <v>66</v>
      </c>
    </row>
    <row r="11" ht="22.5" customHeight="1">
      <c r="B11" s="24" t="s">
        <v>16</v>
      </c>
      <c r="C11" s="26">
        <v>46147.0</v>
      </c>
      <c r="D11" s="28" t="s">
        <v>55</v>
      </c>
      <c r="E11" s="30">
        <v>46148.0</v>
      </c>
      <c r="F11" s="30">
        <v>46149.0</v>
      </c>
      <c r="G11" s="33" t="s">
        <v>76</v>
      </c>
      <c r="H11" s="35" t="s">
        <v>78</v>
      </c>
      <c r="I11" s="36" t="s">
        <v>61</v>
      </c>
      <c r="J11" s="37" t="s">
        <v>18</v>
      </c>
      <c r="K11" s="39">
        <v>82850.0</v>
      </c>
      <c r="L11" s="36" t="s">
        <v>81</v>
      </c>
      <c r="M11" s="48"/>
      <c r="N11" s="42"/>
      <c r="O11" s="43"/>
      <c r="P11" s="43"/>
      <c r="Q11" s="42"/>
    </row>
    <row r="12" ht="22.5" customHeight="1">
      <c r="B12" s="24" t="s">
        <v>16</v>
      </c>
      <c r="C12" s="26">
        <v>46146.0</v>
      </c>
      <c r="D12" s="28" t="s">
        <v>55</v>
      </c>
      <c r="E12" s="30">
        <v>46147.0</v>
      </c>
      <c r="F12" s="30">
        <v>46147.0</v>
      </c>
      <c r="G12" s="33" t="s">
        <v>87</v>
      </c>
      <c r="H12" s="35" t="s">
        <v>88</v>
      </c>
      <c r="I12" s="36" t="s">
        <v>90</v>
      </c>
      <c r="J12" s="37" t="s">
        <v>18</v>
      </c>
      <c r="K12" s="39">
        <v>62900.0</v>
      </c>
      <c r="L12" s="36" t="s">
        <v>92</v>
      </c>
      <c r="M12" s="48"/>
      <c r="N12" s="42"/>
      <c r="O12" s="43"/>
      <c r="P12" s="43"/>
      <c r="Q12" s="42"/>
    </row>
    <row r="13" ht="22.5" customHeight="1">
      <c r="B13" s="24" t="s">
        <v>16</v>
      </c>
      <c r="C13" s="26">
        <v>46150.0</v>
      </c>
      <c r="D13" s="28" t="s">
        <v>55</v>
      </c>
      <c r="E13" s="26">
        <v>46153.0</v>
      </c>
      <c r="F13" s="26">
        <v>46157.0</v>
      </c>
      <c r="G13" s="33" t="s">
        <v>99</v>
      </c>
      <c r="H13" s="35" t="s">
        <v>101</v>
      </c>
      <c r="I13" s="24" t="s">
        <v>61</v>
      </c>
      <c r="J13" s="28" t="s">
        <v>18</v>
      </c>
      <c r="K13" s="62">
        <v>14500.0</v>
      </c>
      <c r="L13" s="24" t="s">
        <v>64</v>
      </c>
      <c r="M13" s="48"/>
      <c r="N13" s="42"/>
      <c r="O13" s="43"/>
      <c r="P13" s="43"/>
      <c r="Q13" s="42"/>
    </row>
    <row r="14" ht="22.5" customHeight="1">
      <c r="B14" s="24" t="s">
        <v>16</v>
      </c>
      <c r="C14" s="26">
        <v>46150.0</v>
      </c>
      <c r="D14" s="28" t="s">
        <v>83</v>
      </c>
      <c r="E14" s="63"/>
      <c r="F14" s="63"/>
      <c r="G14" s="33" t="s">
        <v>107</v>
      </c>
      <c r="H14" s="35" t="s">
        <v>109</v>
      </c>
      <c r="I14" s="24" t="s">
        <v>61</v>
      </c>
      <c r="J14" s="28" t="s">
        <v>26</v>
      </c>
      <c r="K14" s="62">
        <v>75700.0</v>
      </c>
      <c r="L14" s="24" t="s">
        <v>92</v>
      </c>
      <c r="M14" s="48"/>
      <c r="N14" s="42"/>
      <c r="O14" s="43"/>
      <c r="P14" s="43"/>
      <c r="Q14" s="44" t="s">
        <v>113</v>
      </c>
    </row>
    <row r="15" ht="22.5" customHeight="1">
      <c r="B15" s="24" t="s">
        <v>16</v>
      </c>
      <c r="C15" s="26">
        <v>46150.0</v>
      </c>
      <c r="D15" s="28" t="s">
        <v>55</v>
      </c>
      <c r="E15" s="26">
        <v>46156.0</v>
      </c>
      <c r="F15" s="26">
        <v>46156.0</v>
      </c>
      <c r="G15" s="33" t="s">
        <v>116</v>
      </c>
      <c r="H15" s="35" t="s">
        <v>117</v>
      </c>
      <c r="I15" s="24" t="s">
        <v>61</v>
      </c>
      <c r="J15" s="28" t="s">
        <v>18</v>
      </c>
      <c r="K15" s="62">
        <v>66400.0</v>
      </c>
      <c r="L15" s="24" t="s">
        <v>92</v>
      </c>
      <c r="M15" s="48"/>
      <c r="N15" s="42"/>
      <c r="O15" s="43"/>
      <c r="P15" s="43"/>
      <c r="Q15" s="42"/>
    </row>
    <row r="16" ht="22.5" customHeight="1">
      <c r="B16" s="24" t="s">
        <v>16</v>
      </c>
      <c r="C16" s="26">
        <v>46150.0</v>
      </c>
      <c r="D16" s="28" t="s">
        <v>83</v>
      </c>
      <c r="E16" s="63"/>
      <c r="F16" s="63"/>
      <c r="G16" s="33" t="s">
        <v>120</v>
      </c>
      <c r="H16" s="35" t="s">
        <v>121</v>
      </c>
      <c r="I16" s="24" t="s">
        <v>61</v>
      </c>
      <c r="J16" s="28" t="s">
        <v>26</v>
      </c>
      <c r="K16" s="62">
        <v>78190.0</v>
      </c>
      <c r="L16" s="24" t="s">
        <v>123</v>
      </c>
      <c r="M16" s="48"/>
      <c r="N16" s="42"/>
      <c r="O16" s="43"/>
      <c r="P16" s="43"/>
      <c r="Q16" s="42"/>
    </row>
    <row r="17" ht="22.5" customHeight="1">
      <c r="B17" s="24" t="s">
        <v>16</v>
      </c>
      <c r="C17" s="69">
        <v>46150.0</v>
      </c>
      <c r="D17" s="70" t="s">
        <v>83</v>
      </c>
      <c r="E17" s="71"/>
      <c r="F17" s="71"/>
      <c r="G17" s="33" t="s">
        <v>124</v>
      </c>
      <c r="H17" s="35" t="s">
        <v>125</v>
      </c>
      <c r="I17" s="44" t="s">
        <v>90</v>
      </c>
      <c r="J17" s="70" t="s">
        <v>26</v>
      </c>
      <c r="K17" s="74">
        <v>74600.0</v>
      </c>
      <c r="L17" s="44" t="s">
        <v>81</v>
      </c>
      <c r="M17" s="43"/>
      <c r="N17" s="42"/>
      <c r="O17" s="43"/>
      <c r="P17" s="43"/>
      <c r="Q17" s="42"/>
    </row>
    <row r="18" ht="22.5" customHeight="1">
      <c r="B18" s="24" t="s">
        <v>16</v>
      </c>
      <c r="C18" s="69">
        <v>46153.0</v>
      </c>
      <c r="D18" s="70" t="s">
        <v>55</v>
      </c>
      <c r="E18" s="75">
        <v>46153.0</v>
      </c>
      <c r="F18" s="76">
        <v>46153.0</v>
      </c>
      <c r="G18" s="77" t="s">
        <v>134</v>
      </c>
      <c r="H18" s="35" t="s">
        <v>136</v>
      </c>
      <c r="I18" s="44" t="s">
        <v>61</v>
      </c>
      <c r="J18" s="70" t="s">
        <v>18</v>
      </c>
      <c r="K18" s="74">
        <v>69100.0</v>
      </c>
      <c r="L18" s="44" t="s">
        <v>137</v>
      </c>
      <c r="M18" s="43"/>
      <c r="N18" s="42"/>
      <c r="O18" s="43"/>
      <c r="P18" s="43"/>
      <c r="Q18" s="42"/>
    </row>
    <row r="19" ht="22.5" customHeight="1">
      <c r="B19" s="24" t="s">
        <v>16</v>
      </c>
      <c r="C19" s="75">
        <v>46151.0</v>
      </c>
      <c r="D19" s="70" t="s">
        <v>55</v>
      </c>
      <c r="E19" s="44" t="s">
        <v>105</v>
      </c>
      <c r="F19" s="71"/>
      <c r="G19" s="78" t="s">
        <v>142</v>
      </c>
      <c r="H19" s="79" t="s">
        <v>143</v>
      </c>
      <c r="I19" s="44" t="s">
        <v>61</v>
      </c>
      <c r="J19" s="70" t="s">
        <v>18</v>
      </c>
      <c r="K19" s="74">
        <v>79760.0</v>
      </c>
      <c r="L19" s="44" t="s">
        <v>81</v>
      </c>
      <c r="M19" s="43"/>
      <c r="N19" s="42"/>
      <c r="O19" s="43"/>
      <c r="P19" s="43"/>
      <c r="Q19" s="42"/>
    </row>
    <row r="20" ht="22.5" customHeight="1">
      <c r="B20" s="24" t="s">
        <v>16</v>
      </c>
      <c r="C20" s="75">
        <v>42502.0</v>
      </c>
      <c r="D20" s="70" t="s">
        <v>55</v>
      </c>
      <c r="E20" s="75">
        <v>46155.0</v>
      </c>
      <c r="F20" s="75">
        <v>46156.0</v>
      </c>
      <c r="G20" s="78" t="s">
        <v>147</v>
      </c>
      <c r="H20" s="79" t="s">
        <v>148</v>
      </c>
      <c r="I20" s="44" t="s">
        <v>61</v>
      </c>
      <c r="J20" s="70" t="s">
        <v>18</v>
      </c>
      <c r="K20" s="74">
        <v>77550.0</v>
      </c>
      <c r="L20" s="44" t="s">
        <v>81</v>
      </c>
      <c r="M20" s="43"/>
      <c r="N20" s="42"/>
      <c r="O20" s="43"/>
      <c r="P20" s="43"/>
      <c r="Q20" s="42"/>
    </row>
    <row r="21" ht="22.5" customHeight="1">
      <c r="B21" s="24" t="s">
        <v>16</v>
      </c>
      <c r="C21" s="71"/>
      <c r="D21" s="70" t="s">
        <v>83</v>
      </c>
      <c r="E21" s="71"/>
      <c r="F21" s="71"/>
      <c r="G21" s="81" t="s">
        <v>156</v>
      </c>
      <c r="H21" s="79" t="s">
        <v>157</v>
      </c>
      <c r="I21" s="44" t="s">
        <v>61</v>
      </c>
      <c r="J21" s="70" t="s">
        <v>26</v>
      </c>
      <c r="K21" s="74">
        <v>83000.0</v>
      </c>
      <c r="L21" s="44" t="s">
        <v>123</v>
      </c>
      <c r="M21" s="70" t="s">
        <v>75</v>
      </c>
      <c r="N21" s="42"/>
      <c r="O21" s="43"/>
      <c r="P21" s="43"/>
      <c r="Q21" s="44" t="s">
        <v>160</v>
      </c>
    </row>
    <row r="22" ht="22.5" customHeight="1">
      <c r="B22" s="24" t="s">
        <v>16</v>
      </c>
      <c r="C22" s="75">
        <v>46157.0</v>
      </c>
      <c r="D22" s="70" t="s">
        <v>83</v>
      </c>
      <c r="E22" s="71"/>
      <c r="F22" s="71"/>
      <c r="G22" s="81" t="s">
        <v>162</v>
      </c>
      <c r="H22" s="82" t="s">
        <v>163</v>
      </c>
      <c r="I22" s="44" t="s">
        <v>61</v>
      </c>
      <c r="J22" s="70" t="s">
        <v>26</v>
      </c>
      <c r="K22" s="74">
        <v>71900.0</v>
      </c>
      <c r="L22" s="44" t="s">
        <v>137</v>
      </c>
      <c r="M22" s="43"/>
      <c r="N22" s="42"/>
      <c r="O22" s="43"/>
      <c r="P22" s="43"/>
      <c r="Q22" s="44" t="s">
        <v>171</v>
      </c>
    </row>
    <row r="23" ht="22.5" customHeight="1">
      <c r="B23" s="44" t="s">
        <v>172</v>
      </c>
      <c r="C23" s="71"/>
      <c r="D23" s="70" t="s">
        <v>55</v>
      </c>
      <c r="E23" s="71"/>
      <c r="F23" s="71"/>
      <c r="G23" s="78" t="s">
        <v>173</v>
      </c>
      <c r="H23" s="83" t="s">
        <v>174</v>
      </c>
      <c r="I23" s="44" t="s">
        <v>90</v>
      </c>
      <c r="J23" s="70" t="s">
        <v>18</v>
      </c>
      <c r="K23" s="74">
        <v>70390.0</v>
      </c>
      <c r="L23" s="44" t="s">
        <v>64</v>
      </c>
      <c r="M23" s="43"/>
      <c r="N23" s="42"/>
      <c r="O23" s="43"/>
      <c r="P23" s="43"/>
      <c r="Q23" s="44" t="s">
        <v>105</v>
      </c>
    </row>
    <row r="24" ht="22.5" customHeight="1">
      <c r="B24" s="44" t="s">
        <v>16</v>
      </c>
      <c r="C24" s="75">
        <v>46158.0</v>
      </c>
      <c r="D24" s="70" t="s">
        <v>83</v>
      </c>
      <c r="E24" s="71"/>
      <c r="F24" s="71"/>
      <c r="G24" s="78" t="s">
        <v>182</v>
      </c>
      <c r="H24" s="83" t="s">
        <v>183</v>
      </c>
      <c r="I24" s="44" t="s">
        <v>90</v>
      </c>
      <c r="J24" s="70" t="s">
        <v>26</v>
      </c>
      <c r="K24" s="74">
        <v>88600.0</v>
      </c>
      <c r="L24" s="44" t="s">
        <v>92</v>
      </c>
      <c r="M24" s="43"/>
      <c r="N24" s="42"/>
      <c r="O24" s="43"/>
      <c r="P24" s="43"/>
      <c r="Q24" s="44" t="s">
        <v>184</v>
      </c>
    </row>
    <row r="25" ht="22.5" customHeight="1">
      <c r="B25" s="44" t="s">
        <v>16</v>
      </c>
      <c r="C25" s="75">
        <v>46161.0</v>
      </c>
      <c r="D25" s="70" t="s">
        <v>55</v>
      </c>
      <c r="E25" s="75">
        <v>46161.0</v>
      </c>
      <c r="F25" s="75">
        <v>46162.0</v>
      </c>
      <c r="G25" s="77" t="s">
        <v>189</v>
      </c>
      <c r="H25" s="83" t="s">
        <v>190</v>
      </c>
      <c r="I25" s="44" t="s">
        <v>90</v>
      </c>
      <c r="J25" s="70" t="s">
        <v>18</v>
      </c>
      <c r="K25" s="74">
        <v>90500.0</v>
      </c>
      <c r="L25" s="44" t="s">
        <v>92</v>
      </c>
      <c r="M25" s="43"/>
      <c r="N25" s="42"/>
      <c r="O25" s="43"/>
      <c r="P25" s="43"/>
      <c r="Q25" s="42"/>
    </row>
    <row r="26" ht="22.5" customHeight="1">
      <c r="B26" s="44" t="s">
        <v>16</v>
      </c>
      <c r="C26" s="75">
        <v>46162.0</v>
      </c>
      <c r="D26" s="70" t="s">
        <v>55</v>
      </c>
      <c r="E26" s="75">
        <v>46162.0</v>
      </c>
      <c r="F26" s="71"/>
      <c r="G26" s="77" t="s">
        <v>191</v>
      </c>
      <c r="H26" s="83" t="s">
        <v>192</v>
      </c>
      <c r="I26" s="44" t="s">
        <v>61</v>
      </c>
      <c r="J26" s="70" t="s">
        <v>18</v>
      </c>
      <c r="K26" s="74">
        <v>35700.0</v>
      </c>
      <c r="L26" s="44" t="s">
        <v>92</v>
      </c>
      <c r="M26" s="43"/>
      <c r="N26" s="42"/>
      <c r="O26" s="43"/>
      <c r="P26" s="43"/>
      <c r="Q26" s="42"/>
    </row>
    <row r="27" ht="22.5" customHeight="1">
      <c r="B27" s="44" t="s">
        <v>16</v>
      </c>
      <c r="C27" s="75">
        <v>46163.0</v>
      </c>
      <c r="D27" s="70" t="s">
        <v>55</v>
      </c>
      <c r="E27" s="75">
        <v>46165.0</v>
      </c>
      <c r="F27" s="71"/>
      <c r="G27" s="77" t="s">
        <v>193</v>
      </c>
      <c r="H27" s="83" t="s">
        <v>194</v>
      </c>
      <c r="I27" s="44" t="s">
        <v>61</v>
      </c>
      <c r="J27" s="70" t="s">
        <v>18</v>
      </c>
      <c r="K27" s="84">
        <v>80900.0</v>
      </c>
      <c r="L27" s="44" t="s">
        <v>92</v>
      </c>
      <c r="M27" s="43"/>
      <c r="N27" s="42"/>
      <c r="O27" s="43"/>
      <c r="P27" s="43"/>
      <c r="Q27" s="42"/>
    </row>
    <row r="28" ht="22.5" customHeight="1">
      <c r="B28" s="44" t="s">
        <v>16</v>
      </c>
      <c r="C28" s="75">
        <v>46163.0</v>
      </c>
      <c r="D28" s="70" t="s">
        <v>55</v>
      </c>
      <c r="E28" s="75">
        <v>46168.0</v>
      </c>
      <c r="F28" s="71"/>
      <c r="G28" s="77" t="s">
        <v>197</v>
      </c>
      <c r="H28" s="83" t="s">
        <v>198</v>
      </c>
      <c r="I28" s="44" t="s">
        <v>90</v>
      </c>
      <c r="J28" s="70" t="s">
        <v>18</v>
      </c>
      <c r="K28" s="85">
        <v>76500.0</v>
      </c>
      <c r="L28" s="44" t="s">
        <v>123</v>
      </c>
      <c r="M28" s="43"/>
      <c r="N28" s="42"/>
      <c r="O28" s="43"/>
      <c r="P28" s="43"/>
      <c r="Q28" s="42"/>
    </row>
    <row r="29" ht="22.5" customHeight="1">
      <c r="B29" s="44" t="s">
        <v>16</v>
      </c>
      <c r="C29" s="75">
        <v>46167.0</v>
      </c>
      <c r="D29" s="70" t="s">
        <v>115</v>
      </c>
      <c r="E29" s="71"/>
      <c r="F29" s="44" t="s">
        <v>201</v>
      </c>
      <c r="G29" s="86" t="s">
        <v>202</v>
      </c>
      <c r="H29" s="83" t="s">
        <v>203</v>
      </c>
      <c r="I29" s="44" t="s">
        <v>61</v>
      </c>
      <c r="J29" s="70" t="s">
        <v>18</v>
      </c>
      <c r="K29" s="74">
        <v>78000.0</v>
      </c>
      <c r="L29" s="44" t="s">
        <v>92</v>
      </c>
      <c r="M29" s="43"/>
      <c r="N29" s="42"/>
      <c r="O29" s="43"/>
      <c r="P29" s="43"/>
      <c r="Q29" s="42"/>
    </row>
    <row r="30" ht="22.5" customHeight="1">
      <c r="B30" s="44" t="s">
        <v>16</v>
      </c>
      <c r="C30" s="75">
        <v>46164.0</v>
      </c>
      <c r="D30" s="70" t="s">
        <v>55</v>
      </c>
      <c r="E30" s="75">
        <v>46168.0</v>
      </c>
      <c r="F30" s="71"/>
      <c r="G30" s="77" t="s">
        <v>204</v>
      </c>
      <c r="H30" s="83" t="s">
        <v>205</v>
      </c>
      <c r="I30" s="44" t="s">
        <v>206</v>
      </c>
      <c r="J30" s="70" t="s">
        <v>18</v>
      </c>
      <c r="K30" s="74">
        <v>33000.0</v>
      </c>
      <c r="L30" s="44" t="s">
        <v>64</v>
      </c>
      <c r="M30" s="43"/>
      <c r="N30" s="42"/>
      <c r="O30" s="43"/>
      <c r="P30" s="43"/>
      <c r="Q30" s="42"/>
    </row>
    <row r="31" ht="22.5" customHeight="1">
      <c r="B31" s="44" t="s">
        <v>16</v>
      </c>
      <c r="C31" s="75">
        <v>46165.0</v>
      </c>
      <c r="D31" s="70" t="s">
        <v>83</v>
      </c>
      <c r="E31" s="71"/>
      <c r="F31" s="71"/>
      <c r="G31" s="77" t="s">
        <v>209</v>
      </c>
      <c r="H31" s="83" t="s">
        <v>210</v>
      </c>
      <c r="I31" s="44" t="s">
        <v>206</v>
      </c>
      <c r="J31" s="70" t="s">
        <v>26</v>
      </c>
      <c r="K31" s="74">
        <v>33000.0</v>
      </c>
      <c r="L31" s="44" t="s">
        <v>92</v>
      </c>
      <c r="M31" s="43"/>
      <c r="N31" s="42"/>
      <c r="O31" s="43"/>
      <c r="P31" s="43"/>
      <c r="Q31" s="44" t="s">
        <v>213</v>
      </c>
    </row>
    <row r="32" ht="22.5" customHeight="1">
      <c r="B32" s="44" t="s">
        <v>16</v>
      </c>
      <c r="C32" s="75">
        <v>46168.0</v>
      </c>
      <c r="D32" s="70" t="s">
        <v>55</v>
      </c>
      <c r="E32" s="71"/>
      <c r="F32" s="87"/>
      <c r="G32" s="77" t="s">
        <v>214</v>
      </c>
      <c r="H32" s="83" t="s">
        <v>215</v>
      </c>
      <c r="I32" s="44" t="s">
        <v>61</v>
      </c>
      <c r="J32" s="70" t="s">
        <v>18</v>
      </c>
      <c r="K32" s="74">
        <v>81600.0</v>
      </c>
      <c r="L32" s="44" t="s">
        <v>123</v>
      </c>
      <c r="M32" s="43"/>
      <c r="N32" s="42"/>
      <c r="O32" s="43"/>
      <c r="P32" s="43"/>
      <c r="Q32" s="42"/>
    </row>
    <row r="33" ht="22.5" customHeight="1">
      <c r="B33" s="44" t="s">
        <v>16</v>
      </c>
      <c r="C33" s="75">
        <v>46199.0</v>
      </c>
      <c r="D33" s="70" t="s">
        <v>55</v>
      </c>
      <c r="E33" s="75">
        <v>46200.0</v>
      </c>
      <c r="F33" s="87"/>
      <c r="G33" s="77" t="s">
        <v>216</v>
      </c>
      <c r="H33" s="83" t="s">
        <v>217</v>
      </c>
      <c r="I33" s="44" t="s">
        <v>218</v>
      </c>
      <c r="J33" s="70" t="s">
        <v>18</v>
      </c>
      <c r="K33" s="74">
        <v>78550.0</v>
      </c>
      <c r="L33" s="44" t="s">
        <v>92</v>
      </c>
      <c r="M33" s="43"/>
      <c r="N33" s="42"/>
      <c r="O33" s="43"/>
      <c r="P33" s="43"/>
      <c r="Q33" s="42"/>
    </row>
    <row r="34" ht="22.5" customHeight="1">
      <c r="B34" s="44" t="s">
        <v>16</v>
      </c>
      <c r="C34" s="75">
        <v>46168.0</v>
      </c>
      <c r="D34" s="70" t="s">
        <v>115</v>
      </c>
      <c r="E34" s="71"/>
      <c r="F34" s="87"/>
      <c r="G34" s="77" t="s">
        <v>221</v>
      </c>
      <c r="H34" s="83" t="s">
        <v>222</v>
      </c>
      <c r="I34" s="44" t="s">
        <v>61</v>
      </c>
      <c r="J34" s="70" t="s">
        <v>21</v>
      </c>
      <c r="K34" s="74">
        <v>54000.0</v>
      </c>
      <c r="L34" s="44" t="s">
        <v>123</v>
      </c>
      <c r="M34" s="43"/>
      <c r="N34" s="42"/>
      <c r="O34" s="43"/>
      <c r="P34" s="43"/>
      <c r="Q34" s="42"/>
    </row>
    <row r="35" ht="22.5" customHeight="1">
      <c r="B35" s="44" t="s">
        <v>16</v>
      </c>
      <c r="C35" s="75">
        <v>46169.0</v>
      </c>
      <c r="D35" s="70" t="s">
        <v>83</v>
      </c>
      <c r="E35" s="71"/>
      <c r="F35" s="71"/>
      <c r="G35" s="77" t="s">
        <v>223</v>
      </c>
      <c r="H35" s="83" t="s">
        <v>224</v>
      </c>
      <c r="I35" s="44" t="s">
        <v>90</v>
      </c>
      <c r="J35" s="70" t="s">
        <v>26</v>
      </c>
      <c r="K35" s="74">
        <v>63600.0</v>
      </c>
      <c r="L35" s="44" t="s">
        <v>92</v>
      </c>
      <c r="M35" s="43"/>
      <c r="N35" s="42"/>
      <c r="O35" s="43"/>
      <c r="P35" s="43"/>
      <c r="Q35" s="44" t="s">
        <v>225</v>
      </c>
    </row>
    <row r="36" ht="22.5" customHeight="1">
      <c r="B36" s="44" t="s">
        <v>16</v>
      </c>
      <c r="C36" s="75">
        <v>46169.0</v>
      </c>
      <c r="D36" s="70" t="s">
        <v>115</v>
      </c>
      <c r="E36" s="71"/>
      <c r="F36" s="71"/>
      <c r="G36" s="86" t="s">
        <v>228</v>
      </c>
      <c r="H36" s="83" t="s">
        <v>229</v>
      </c>
      <c r="I36" s="44" t="s">
        <v>61</v>
      </c>
      <c r="J36" s="70" t="s">
        <v>18</v>
      </c>
      <c r="K36" s="74">
        <v>63500.0</v>
      </c>
      <c r="L36" s="44" t="s">
        <v>92</v>
      </c>
      <c r="M36" s="43"/>
      <c r="N36" s="42"/>
      <c r="O36" s="43"/>
      <c r="P36" s="43"/>
      <c r="Q36" s="42"/>
    </row>
    <row r="37" ht="22.5" customHeight="1">
      <c r="B37" s="44" t="s">
        <v>16</v>
      </c>
      <c r="C37" s="75">
        <v>46170.0</v>
      </c>
      <c r="D37" s="70" t="s">
        <v>115</v>
      </c>
      <c r="E37" s="71"/>
      <c r="F37" s="71"/>
      <c r="G37" s="88" t="s">
        <v>232</v>
      </c>
      <c r="H37" s="89" t="s">
        <v>233</v>
      </c>
      <c r="I37" s="44" t="s">
        <v>90</v>
      </c>
      <c r="J37" s="70" t="s">
        <v>26</v>
      </c>
      <c r="K37" s="90">
        <v>87800.0</v>
      </c>
      <c r="L37" s="44" t="s">
        <v>137</v>
      </c>
      <c r="M37" s="43"/>
      <c r="N37" s="42"/>
      <c r="O37" s="43"/>
      <c r="P37" s="43"/>
      <c r="Q37" s="44" t="s">
        <v>235</v>
      </c>
    </row>
    <row r="38" ht="22.5" customHeight="1">
      <c r="B38" s="42"/>
      <c r="C38" s="75">
        <v>47266.0</v>
      </c>
      <c r="D38" s="70" t="s">
        <v>55</v>
      </c>
      <c r="E38" s="75">
        <v>46170.0</v>
      </c>
      <c r="F38" s="91"/>
      <c r="G38" s="92" t="s">
        <v>237</v>
      </c>
      <c r="H38" s="93" t="s">
        <v>238</v>
      </c>
      <c r="I38" s="94" t="s">
        <v>90</v>
      </c>
      <c r="J38" s="70" t="s">
        <v>18</v>
      </c>
      <c r="K38" s="74">
        <v>83520.0</v>
      </c>
      <c r="L38" s="44" t="s">
        <v>123</v>
      </c>
      <c r="M38" s="43"/>
      <c r="N38" s="42"/>
      <c r="O38" s="43"/>
      <c r="P38" s="43"/>
      <c r="Q38" s="42"/>
    </row>
    <row r="39" ht="22.5" customHeight="1">
      <c r="B39" s="42"/>
      <c r="C39" s="71"/>
      <c r="D39" s="95"/>
      <c r="E39" s="71"/>
      <c r="F39" s="71"/>
      <c r="G39" s="96"/>
      <c r="H39" s="96"/>
      <c r="I39" s="42"/>
      <c r="J39" s="43"/>
      <c r="K39" s="97"/>
      <c r="L39" s="42"/>
      <c r="M39" s="43"/>
      <c r="N39" s="42"/>
      <c r="O39" s="43"/>
      <c r="P39" s="43"/>
      <c r="Q39" s="42"/>
    </row>
    <row r="40" ht="22.5" customHeight="1">
      <c r="B40" s="42"/>
      <c r="C40" s="71"/>
      <c r="D40" s="95"/>
      <c r="E40" s="71"/>
      <c r="F40" s="71"/>
      <c r="G40" s="98"/>
      <c r="H40" s="98"/>
      <c r="I40" s="42"/>
      <c r="J40" s="43"/>
      <c r="K40" s="97"/>
      <c r="L40" s="42"/>
      <c r="M40" s="43"/>
      <c r="N40" s="42"/>
      <c r="O40" s="43"/>
      <c r="P40" s="43"/>
      <c r="Q40" s="42"/>
    </row>
    <row r="41" ht="22.5" customHeight="1">
      <c r="B41" s="42"/>
      <c r="C41" s="71"/>
      <c r="D41" s="95"/>
      <c r="E41" s="71"/>
      <c r="F41" s="71"/>
      <c r="G41" s="98"/>
      <c r="H41" s="98"/>
      <c r="I41" s="42"/>
      <c r="J41" s="43"/>
      <c r="K41" s="97"/>
      <c r="L41" s="42"/>
      <c r="M41" s="43"/>
      <c r="N41" s="42"/>
      <c r="O41" s="43"/>
      <c r="P41" s="43"/>
      <c r="Q41" s="42"/>
    </row>
    <row r="42" ht="22.5" customHeight="1">
      <c r="B42" s="42"/>
      <c r="C42" s="71"/>
      <c r="D42" s="95"/>
      <c r="E42" s="71"/>
      <c r="F42" s="71"/>
      <c r="G42" s="98"/>
      <c r="H42" s="98"/>
      <c r="I42" s="42"/>
      <c r="J42" s="43"/>
      <c r="K42" s="97"/>
      <c r="L42" s="42"/>
      <c r="M42" s="43"/>
      <c r="N42" s="42"/>
      <c r="O42" s="43"/>
      <c r="P42" s="43"/>
      <c r="Q42" s="42"/>
    </row>
    <row r="43" ht="22.5" customHeight="1">
      <c r="B43" s="42"/>
      <c r="C43" s="71"/>
      <c r="D43" s="95"/>
      <c r="E43" s="71"/>
      <c r="F43" s="71"/>
      <c r="G43" s="98"/>
      <c r="H43" s="98"/>
      <c r="I43" s="42"/>
      <c r="J43" s="43"/>
      <c r="K43" s="97"/>
      <c r="L43" s="42"/>
      <c r="M43" s="43"/>
      <c r="N43" s="42"/>
      <c r="O43" s="43"/>
      <c r="P43" s="43"/>
      <c r="Q43" s="42"/>
    </row>
    <row r="44" ht="22.5" customHeight="1">
      <c r="B44" s="42"/>
      <c r="C44" s="71"/>
      <c r="D44" s="95"/>
      <c r="E44" s="71"/>
      <c r="F44" s="71"/>
      <c r="G44" s="98"/>
      <c r="H44" s="98"/>
      <c r="I44" s="42"/>
      <c r="J44" s="43"/>
      <c r="K44" s="97"/>
      <c r="L44" s="42"/>
      <c r="M44" s="43"/>
      <c r="N44" s="42"/>
      <c r="O44" s="43"/>
      <c r="P44" s="43"/>
      <c r="Q44" s="42"/>
    </row>
    <row r="45" ht="22.5" customHeight="1">
      <c r="B45" s="42"/>
      <c r="C45" s="71"/>
      <c r="D45" s="95"/>
      <c r="E45" s="71"/>
      <c r="F45" s="71"/>
      <c r="G45" s="98"/>
      <c r="H45" s="98"/>
      <c r="I45" s="42"/>
      <c r="J45" s="43"/>
      <c r="K45" s="97"/>
      <c r="L45" s="42"/>
      <c r="M45" s="43"/>
      <c r="N45" s="42"/>
      <c r="O45" s="43"/>
      <c r="P45" s="43"/>
      <c r="Q45" s="42"/>
    </row>
    <row r="46" ht="22.5" customHeight="1">
      <c r="B46" s="42"/>
      <c r="C46" s="71"/>
      <c r="D46" s="95"/>
      <c r="E46" s="71"/>
      <c r="F46" s="71"/>
      <c r="G46" s="98"/>
      <c r="H46" s="98"/>
      <c r="I46" s="42"/>
      <c r="J46" s="43"/>
      <c r="K46" s="97"/>
      <c r="L46" s="42"/>
      <c r="M46" s="43"/>
      <c r="N46" s="42"/>
      <c r="O46" s="43"/>
      <c r="P46" s="43"/>
      <c r="Q46" s="42"/>
    </row>
    <row r="47" ht="22.5" customHeight="1">
      <c r="B47" s="42"/>
      <c r="C47" s="71"/>
      <c r="D47" s="95"/>
      <c r="E47" s="71"/>
      <c r="F47" s="71"/>
      <c r="G47" s="98"/>
      <c r="H47" s="98"/>
      <c r="I47" s="42"/>
      <c r="J47" s="43"/>
      <c r="K47" s="97"/>
      <c r="L47" s="42"/>
      <c r="M47" s="43"/>
      <c r="N47" s="42"/>
      <c r="O47" s="43"/>
      <c r="P47" s="43"/>
      <c r="Q47" s="42"/>
    </row>
    <row r="48" ht="22.5" customHeight="1">
      <c r="B48" s="42"/>
      <c r="C48" s="71"/>
      <c r="D48" s="95"/>
      <c r="E48" s="71"/>
      <c r="F48" s="71"/>
      <c r="G48" s="98"/>
      <c r="H48" s="98"/>
      <c r="I48" s="42"/>
      <c r="J48" s="43"/>
      <c r="K48" s="97"/>
      <c r="L48" s="42"/>
      <c r="M48" s="43"/>
      <c r="N48" s="42"/>
      <c r="O48" s="43"/>
      <c r="P48" s="43"/>
      <c r="Q48" s="42"/>
    </row>
    <row r="49" ht="22.5" customHeight="1">
      <c r="B49" s="42"/>
      <c r="C49" s="71"/>
      <c r="D49" s="95"/>
      <c r="E49" s="71"/>
      <c r="F49" s="71"/>
      <c r="G49" s="98"/>
      <c r="H49" s="98"/>
      <c r="I49" s="42"/>
      <c r="J49" s="43"/>
      <c r="K49" s="97"/>
      <c r="L49" s="42"/>
      <c r="M49" s="43"/>
      <c r="N49" s="42"/>
      <c r="O49" s="43"/>
      <c r="P49" s="43"/>
      <c r="Q49" s="42"/>
    </row>
    <row r="50" ht="22.5" customHeight="1">
      <c r="B50" s="42"/>
      <c r="C50" s="71"/>
      <c r="D50" s="95"/>
      <c r="E50" s="71"/>
      <c r="F50" s="71"/>
      <c r="G50" s="98"/>
      <c r="H50" s="98"/>
      <c r="I50" s="42"/>
      <c r="J50" s="43"/>
      <c r="K50" s="97"/>
      <c r="L50" s="42"/>
      <c r="M50" s="43"/>
      <c r="N50" s="42"/>
      <c r="O50" s="43"/>
      <c r="P50" s="43"/>
      <c r="Q50" s="42"/>
    </row>
    <row r="51" ht="22.5" customHeight="1">
      <c r="B51" s="42"/>
      <c r="C51" s="71"/>
      <c r="D51" s="95"/>
      <c r="E51" s="71"/>
      <c r="F51" s="71"/>
      <c r="G51" s="98"/>
      <c r="H51" s="98"/>
      <c r="I51" s="42"/>
      <c r="J51" s="43"/>
      <c r="K51" s="97"/>
      <c r="L51" s="42"/>
      <c r="M51" s="43"/>
      <c r="N51" s="42"/>
      <c r="O51" s="43"/>
      <c r="P51" s="43"/>
      <c r="Q51" s="42"/>
    </row>
    <row r="52" ht="22.5" customHeight="1">
      <c r="B52" s="42"/>
      <c r="C52" s="71"/>
      <c r="D52" s="95"/>
      <c r="E52" s="71"/>
      <c r="F52" s="71"/>
      <c r="G52" s="98"/>
      <c r="H52" s="98"/>
      <c r="I52" s="42"/>
      <c r="J52" s="43"/>
      <c r="K52" s="97"/>
      <c r="L52" s="42"/>
      <c r="M52" s="43"/>
      <c r="N52" s="42"/>
      <c r="O52" s="43"/>
      <c r="P52" s="43"/>
      <c r="Q52" s="42"/>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2.63"/>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16</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SUMIFS(OPI_5[MAF NETO],OPI_5[ESTADO],"Desembolsado")</f>
        <v>157100</v>
      </c>
      <c r="G4" s="15">
        <f>F4-E4</f>
        <v>-842900</v>
      </c>
      <c r="H4" s="16">
        <f>SUMIFS(OPI_5[MAF NETO],OPI_5[ESTADO],H$3)</f>
        <v>0</v>
      </c>
      <c r="I4" s="16">
        <f>SUMIFS(OPI_5[MAF NETO],OPI_5[ESTADO],I$3)</f>
        <v>0</v>
      </c>
      <c r="J4" s="16">
        <f>SUMIFS(OPI_5[MAF NETO],OPI_5[ESTADO],J$3)</f>
        <v>0</v>
      </c>
      <c r="K4" s="16">
        <f>SUMIFS(OPI_5[MAF NETO],OPI_5[ESTADO],K$3)</f>
        <v>0</v>
      </c>
      <c r="L4" s="16">
        <f>SUMIFS(OPI_5[MAF NETO],OPI_5[ESTADO],L$3)</f>
        <v>0</v>
      </c>
      <c r="M4" s="16">
        <f>SUMIFS(OPI_5[MAF NETO],OPI_5[ESTADO],M$3)</f>
        <v>0</v>
      </c>
      <c r="N4" s="16">
        <f>SUMIFS(OPI_5[MAF NETO],OPI_5[ESTADO],N$3)</f>
        <v>118300</v>
      </c>
    </row>
    <row r="5" ht="26.25" customHeight="1">
      <c r="D5" s="17" t="s">
        <v>32</v>
      </c>
      <c r="E5" s="18" t="s">
        <v>34</v>
      </c>
      <c r="F5" s="19">
        <f>COUNTIFS(OPI_5[ESTADO],"Desembolsado")</f>
        <v>3</v>
      </c>
      <c r="G5" s="20">
        <f>IFERROR(F4/E4,"")</f>
        <v>0.1571</v>
      </c>
      <c r="H5" s="19">
        <f>COUNTIFS(OPI_5[ESTADO],H$3)</f>
        <v>0</v>
      </c>
      <c r="I5" s="19">
        <f>COUNTIFS(OPI_5[ESTADO],I$3)</f>
        <v>0</v>
      </c>
      <c r="J5" s="19">
        <f>COUNTIFS(OPI_5[ESTADO],J$3)</f>
        <v>0</v>
      </c>
      <c r="K5" s="19">
        <f>COUNTIFS(OPI_5[ESTADO],K$3)</f>
        <v>0</v>
      </c>
      <c r="L5" s="19">
        <f>COUNTIFS(OPI_5[ESTADO],L$3)</f>
        <v>0</v>
      </c>
      <c r="M5" s="19">
        <f>COUNTIFS(OPI_5[ESTADO],M$3)</f>
        <v>0</v>
      </c>
      <c r="N5" s="19">
        <f>COUNTIFS(OPI_5[ESTADO],N$3)</f>
        <v>2</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16</v>
      </c>
      <c r="C10" s="27">
        <v>46154.0</v>
      </c>
      <c r="D10" s="29" t="s">
        <v>55</v>
      </c>
      <c r="E10" s="27">
        <v>46157.0</v>
      </c>
      <c r="F10" s="32"/>
      <c r="G10" s="34" t="s">
        <v>58</v>
      </c>
      <c r="H10" s="34" t="s">
        <v>60</v>
      </c>
      <c r="I10" s="25" t="s">
        <v>61</v>
      </c>
      <c r="J10" s="29" t="s">
        <v>18</v>
      </c>
      <c r="K10" s="38">
        <v>52300.0</v>
      </c>
      <c r="L10" s="25" t="s">
        <v>63</v>
      </c>
      <c r="M10" s="29" t="s">
        <v>65</v>
      </c>
      <c r="N10" s="41"/>
      <c r="O10" s="29" t="s">
        <v>65</v>
      </c>
      <c r="P10" s="29" t="s">
        <v>65</v>
      </c>
      <c r="Q10" s="41"/>
    </row>
    <row r="11" ht="22.5" customHeight="1">
      <c r="B11" s="25" t="s">
        <v>16</v>
      </c>
      <c r="C11" s="27">
        <v>46161.0</v>
      </c>
      <c r="D11" s="29" t="s">
        <v>55</v>
      </c>
      <c r="E11" s="27">
        <v>46163.0</v>
      </c>
      <c r="F11" s="32"/>
      <c r="G11" s="34" t="s">
        <v>77</v>
      </c>
      <c r="H11" s="34" t="s">
        <v>80</v>
      </c>
      <c r="I11" s="25" t="s">
        <v>61</v>
      </c>
      <c r="J11" s="29" t="s">
        <v>18</v>
      </c>
      <c r="K11" s="38">
        <v>64250.0</v>
      </c>
      <c r="L11" s="25" t="s">
        <v>63</v>
      </c>
      <c r="M11" s="29" t="s">
        <v>75</v>
      </c>
      <c r="N11" s="41"/>
      <c r="O11" s="29" t="s">
        <v>65</v>
      </c>
      <c r="P11" s="29" t="s">
        <v>75</v>
      </c>
      <c r="Q11" s="41"/>
    </row>
    <row r="12" ht="22.5" customHeight="1">
      <c r="B12" s="25" t="s">
        <v>16</v>
      </c>
      <c r="C12" s="27">
        <v>46161.0</v>
      </c>
      <c r="D12" s="29" t="s">
        <v>55</v>
      </c>
      <c r="E12" s="32"/>
      <c r="F12" s="32"/>
      <c r="G12" s="34" t="s">
        <v>89</v>
      </c>
      <c r="H12" s="34" t="s">
        <v>91</v>
      </c>
      <c r="I12" s="25" t="s">
        <v>61</v>
      </c>
      <c r="J12" s="29" t="s">
        <v>26</v>
      </c>
      <c r="K12" s="38">
        <v>83700.0</v>
      </c>
      <c r="L12" s="25" t="s">
        <v>63</v>
      </c>
      <c r="M12" s="29" t="s">
        <v>65</v>
      </c>
      <c r="N12" s="41"/>
      <c r="O12" s="50"/>
      <c r="P12" s="50"/>
      <c r="Q12" s="25" t="s">
        <v>95</v>
      </c>
    </row>
    <row r="13" ht="22.5" customHeight="1">
      <c r="B13" s="25" t="s">
        <v>16</v>
      </c>
      <c r="C13" s="27">
        <v>46168.0</v>
      </c>
      <c r="D13" s="29" t="s">
        <v>55</v>
      </c>
      <c r="E13" s="27">
        <v>46169.0</v>
      </c>
      <c r="F13" s="32"/>
      <c r="G13" s="34" t="s">
        <v>102</v>
      </c>
      <c r="H13" s="34" t="s">
        <v>103</v>
      </c>
      <c r="I13" s="25" t="s">
        <v>61</v>
      </c>
      <c r="J13" s="29" t="s">
        <v>18</v>
      </c>
      <c r="K13" s="38">
        <v>40550.0</v>
      </c>
      <c r="L13" s="25" t="s">
        <v>63</v>
      </c>
      <c r="M13" s="29" t="s">
        <v>75</v>
      </c>
      <c r="N13" s="41"/>
      <c r="O13" s="50"/>
      <c r="P13" s="50"/>
      <c r="Q13" s="25" t="s">
        <v>105</v>
      </c>
    </row>
    <row r="14" ht="22.5" customHeight="1">
      <c r="B14" s="25" t="s">
        <v>16</v>
      </c>
      <c r="C14" s="27">
        <v>46168.0</v>
      </c>
      <c r="D14" s="29" t="s">
        <v>55</v>
      </c>
      <c r="E14" s="27">
        <v>46169.0</v>
      </c>
      <c r="F14" s="32"/>
      <c r="G14" s="34" t="s">
        <v>111</v>
      </c>
      <c r="H14" s="34" t="s">
        <v>112</v>
      </c>
      <c r="I14" s="25" t="s">
        <v>61</v>
      </c>
      <c r="J14" s="29" t="s">
        <v>26</v>
      </c>
      <c r="K14" s="38">
        <v>34600.0</v>
      </c>
      <c r="L14" s="25" t="s">
        <v>63</v>
      </c>
      <c r="M14" s="29" t="s">
        <v>65</v>
      </c>
      <c r="N14" s="25" t="s">
        <v>114</v>
      </c>
      <c r="O14" s="50"/>
      <c r="P14" s="50"/>
      <c r="Q14" s="25" t="s">
        <v>105</v>
      </c>
    </row>
    <row r="15" ht="22.5" customHeight="1">
      <c r="B15" s="41"/>
      <c r="C15" s="32"/>
      <c r="D15" s="66"/>
      <c r="E15" s="32"/>
      <c r="F15" s="32"/>
      <c r="G15" s="67"/>
      <c r="H15" s="67"/>
      <c r="I15" s="41"/>
      <c r="J15" s="50"/>
      <c r="K15" s="49"/>
      <c r="L15" s="41"/>
      <c r="M15" s="50"/>
      <c r="N15" s="41"/>
      <c r="O15" s="50"/>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34.25"/>
    <col customWidth="1" min="9" max="9" width="19.25"/>
    <col customWidth="1" min="10" max="10" width="22.88"/>
    <col customWidth="1" min="11" max="11" width="17.0"/>
    <col customWidth="1" min="12" max="12" width="14.38"/>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16</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SUMIFS(OPI_3[MAF NETO],OPI_3[ESTADO],"Desembolsado")</f>
        <v>554150</v>
      </c>
      <c r="G4" s="15">
        <f>F4-E4</f>
        <v>-445850</v>
      </c>
      <c r="H4" s="16">
        <f>SUMIFS(OPI_3[MAF NETO],OPI_3[ESTADO],H$3)</f>
        <v>0</v>
      </c>
      <c r="I4" s="16">
        <f>SUMIFS(OPI_3[MAF NETO],OPI_3[ESTADO],I$3)</f>
        <v>0</v>
      </c>
      <c r="J4" s="16">
        <f>SUMIFS(OPI_3[MAF NETO],OPI_3[ESTADO],J$3)</f>
        <v>0</v>
      </c>
      <c r="K4" s="16">
        <f>SUMIFS(OPI_3[MAF NETO],OPI_3[ESTADO],K$3)</f>
        <v>0</v>
      </c>
      <c r="L4" s="16">
        <f>SUMIFS(OPI_3[MAF NETO],OPI_3[ESTADO],L$3)</f>
        <v>0</v>
      </c>
      <c r="M4" s="16">
        <f>SUMIFS(OPI_3[MAF NETO],OPI_3[ESTADO],M$3)</f>
        <v>0</v>
      </c>
      <c r="N4" s="16">
        <f>SUMIFS(OPI_3[MAF NETO],OPI_3[ESTADO],N$3)</f>
        <v>63380</v>
      </c>
    </row>
    <row r="5" ht="26.25" customHeight="1">
      <c r="D5" s="17" t="s">
        <v>32</v>
      </c>
      <c r="E5" s="18" t="s">
        <v>34</v>
      </c>
      <c r="F5" s="19">
        <f>COUNTIFS(OPI_3[ESTADO],"Desembolsado")</f>
        <v>7</v>
      </c>
      <c r="G5" s="20">
        <f>IFERROR(F4/E4,"")</f>
        <v>0.55415</v>
      </c>
      <c r="H5" s="19">
        <f>COUNTIFS(OPI_3[ESTADO],H$3)</f>
        <v>0</v>
      </c>
      <c r="I5" s="19">
        <f>COUNTIFS(OPI_3[ESTADO],I$3)</f>
        <v>0</v>
      </c>
      <c r="J5" s="19">
        <f>COUNTIFS(OPI_3[ESTADO],J$3)</f>
        <v>0</v>
      </c>
      <c r="K5" s="19">
        <f>COUNTIFS(OPI_3[ESTADO],K$3)</f>
        <v>0</v>
      </c>
      <c r="L5" s="19">
        <f>COUNTIFS(OPI_3[ESTADO],L$3)</f>
        <v>0</v>
      </c>
      <c r="M5" s="19">
        <f>COUNTIFS(OPI_3[ESTADO],M$3)</f>
        <v>0</v>
      </c>
      <c r="N5" s="19">
        <f>COUNTIFS(OPI_3[ESTADO],N$3)</f>
        <v>4</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41"/>
      <c r="C10" s="27">
        <v>46146.0</v>
      </c>
      <c r="D10" s="29" t="s">
        <v>55</v>
      </c>
      <c r="E10" s="25" t="s">
        <v>67</v>
      </c>
      <c r="F10" s="27">
        <v>46149.0</v>
      </c>
      <c r="G10" s="45" t="s">
        <v>70</v>
      </c>
      <c r="H10" s="46" t="s">
        <v>71</v>
      </c>
      <c r="I10" s="25" t="s">
        <v>61</v>
      </c>
      <c r="J10" s="29" t="s">
        <v>18</v>
      </c>
      <c r="K10" s="38">
        <v>82200.0</v>
      </c>
      <c r="L10" s="25" t="s">
        <v>72</v>
      </c>
      <c r="M10" s="29" t="s">
        <v>65</v>
      </c>
      <c r="N10" s="41"/>
      <c r="O10" s="47" t="s">
        <v>65</v>
      </c>
      <c r="P10" s="29" t="s">
        <v>75</v>
      </c>
      <c r="Q10" s="41"/>
    </row>
    <row r="11" ht="22.5" customHeight="1">
      <c r="B11" s="41"/>
      <c r="C11" s="27">
        <v>46147.0</v>
      </c>
      <c r="D11" s="29" t="s">
        <v>83</v>
      </c>
      <c r="E11" s="32"/>
      <c r="F11" s="32"/>
      <c r="G11" s="45" t="s">
        <v>84</v>
      </c>
      <c r="H11" s="46" t="s">
        <v>85</v>
      </c>
      <c r="I11" s="25" t="s">
        <v>61</v>
      </c>
      <c r="J11" s="29" t="s">
        <v>26</v>
      </c>
      <c r="K11" s="49"/>
      <c r="L11" s="25" t="s">
        <v>72</v>
      </c>
      <c r="M11" s="50"/>
      <c r="N11" s="41"/>
      <c r="O11" s="51"/>
      <c r="P11" s="50"/>
      <c r="Q11" s="25" t="s">
        <v>93</v>
      </c>
    </row>
    <row r="12" ht="22.5" customHeight="1">
      <c r="B12" s="41"/>
      <c r="C12" s="27">
        <v>46148.0</v>
      </c>
      <c r="D12" s="29" t="s">
        <v>83</v>
      </c>
      <c r="E12" s="32"/>
      <c r="F12" s="32"/>
      <c r="G12" s="45" t="s">
        <v>97</v>
      </c>
      <c r="H12" s="46" t="s">
        <v>98</v>
      </c>
      <c r="I12" s="25" t="s">
        <v>100</v>
      </c>
      <c r="J12" s="29" t="s">
        <v>26</v>
      </c>
      <c r="K12" s="49"/>
      <c r="L12" s="25" t="s">
        <v>72</v>
      </c>
      <c r="M12" s="50"/>
      <c r="N12" s="41"/>
      <c r="O12" s="51"/>
      <c r="P12" s="50"/>
      <c r="Q12" s="25" t="s">
        <v>104</v>
      </c>
    </row>
    <row r="13" ht="22.5" customHeight="1">
      <c r="B13" s="41"/>
      <c r="C13" s="27">
        <v>46150.0</v>
      </c>
      <c r="D13" s="29" t="s">
        <v>55</v>
      </c>
      <c r="E13" s="27">
        <v>46152.0</v>
      </c>
      <c r="F13" s="27">
        <v>46153.0</v>
      </c>
      <c r="G13" s="45" t="s">
        <v>106</v>
      </c>
      <c r="H13" s="46" t="s">
        <v>108</v>
      </c>
      <c r="I13" s="25" t="s">
        <v>61</v>
      </c>
      <c r="J13" s="29" t="s">
        <v>18</v>
      </c>
      <c r="K13" s="38">
        <v>79500.0</v>
      </c>
      <c r="L13" s="25" t="s">
        <v>72</v>
      </c>
      <c r="M13" s="29" t="s">
        <v>65</v>
      </c>
      <c r="N13" s="64">
        <v>46155.0</v>
      </c>
      <c r="O13" s="65" t="s">
        <v>75</v>
      </c>
      <c r="P13" s="29" t="s">
        <v>75</v>
      </c>
      <c r="Q13" s="41"/>
    </row>
    <row r="14" ht="22.5" customHeight="1">
      <c r="B14" s="41"/>
      <c r="C14" s="27">
        <v>46157.0</v>
      </c>
      <c r="D14" s="29" t="s">
        <v>115</v>
      </c>
      <c r="E14" s="32"/>
      <c r="F14" s="32"/>
      <c r="G14" s="45" t="s">
        <v>118</v>
      </c>
      <c r="H14" s="46" t="s">
        <v>119</v>
      </c>
      <c r="I14" s="25" t="s">
        <v>61</v>
      </c>
      <c r="J14" s="29" t="s">
        <v>26</v>
      </c>
      <c r="K14" s="38">
        <v>63380.0</v>
      </c>
      <c r="L14" s="25" t="s">
        <v>72</v>
      </c>
      <c r="M14" s="50"/>
      <c r="N14" s="41"/>
      <c r="O14" s="51"/>
      <c r="P14" s="50"/>
      <c r="Q14" s="25" t="s">
        <v>122</v>
      </c>
    </row>
    <row r="15" ht="22.5" customHeight="1">
      <c r="B15" s="41"/>
      <c r="C15" s="27">
        <v>46160.0</v>
      </c>
      <c r="D15" s="29" t="s">
        <v>115</v>
      </c>
      <c r="E15" s="27">
        <v>46160.0</v>
      </c>
      <c r="F15" s="72">
        <v>46161.0</v>
      </c>
      <c r="G15" s="45" t="s">
        <v>126</v>
      </c>
      <c r="H15" s="46" t="s">
        <v>127</v>
      </c>
      <c r="I15" s="73" t="s">
        <v>61</v>
      </c>
      <c r="J15" s="29" t="s">
        <v>18</v>
      </c>
      <c r="K15" s="38">
        <v>75750.0</v>
      </c>
      <c r="L15" s="25" t="s">
        <v>72</v>
      </c>
      <c r="M15" s="29" t="s">
        <v>75</v>
      </c>
      <c r="N15" s="41"/>
      <c r="O15" s="65" t="s">
        <v>75</v>
      </c>
      <c r="P15" s="50"/>
      <c r="Q15" s="41"/>
    </row>
    <row r="16" ht="22.5" customHeight="1">
      <c r="B16" s="41"/>
      <c r="C16" s="27">
        <v>46163.0</v>
      </c>
      <c r="D16" s="29" t="s">
        <v>115</v>
      </c>
      <c r="E16" s="27">
        <v>46163.0</v>
      </c>
      <c r="F16" s="32"/>
      <c r="G16" s="45" t="s">
        <v>128</v>
      </c>
      <c r="H16" s="46" t="s">
        <v>129</v>
      </c>
      <c r="I16" s="25" t="s">
        <v>61</v>
      </c>
      <c r="J16" s="29" t="s">
        <v>18</v>
      </c>
      <c r="K16" s="38">
        <v>79150.0</v>
      </c>
      <c r="L16" s="25" t="s">
        <v>72</v>
      </c>
      <c r="M16" s="29" t="s">
        <v>75</v>
      </c>
      <c r="N16" s="41"/>
      <c r="O16" s="65" t="s">
        <v>75</v>
      </c>
      <c r="P16" s="50"/>
      <c r="Q16" s="41"/>
    </row>
    <row r="17" ht="22.5" customHeight="1">
      <c r="B17" s="41"/>
      <c r="C17" s="32"/>
      <c r="D17" s="29" t="s">
        <v>115</v>
      </c>
      <c r="E17" s="27">
        <v>46167.0</v>
      </c>
      <c r="F17" s="32"/>
      <c r="G17" s="45" t="s">
        <v>130</v>
      </c>
      <c r="H17" s="34" t="s">
        <v>131</v>
      </c>
      <c r="I17" s="25" t="s">
        <v>61</v>
      </c>
      <c r="J17" s="29" t="s">
        <v>26</v>
      </c>
      <c r="K17" s="49"/>
      <c r="L17" s="41"/>
      <c r="M17" s="50"/>
      <c r="N17" s="41"/>
      <c r="O17" s="51"/>
      <c r="P17" s="50"/>
      <c r="Q17" s="25" t="s">
        <v>132</v>
      </c>
    </row>
    <row r="18" ht="22.5" customHeight="1">
      <c r="B18" s="41"/>
      <c r="C18" s="32"/>
      <c r="D18" s="66"/>
      <c r="E18" s="32"/>
      <c r="F18" s="32"/>
      <c r="G18" s="45" t="s">
        <v>133</v>
      </c>
      <c r="H18" s="34" t="s">
        <v>135</v>
      </c>
      <c r="I18" s="25" t="s">
        <v>61</v>
      </c>
      <c r="J18" s="29" t="s">
        <v>18</v>
      </c>
      <c r="K18" s="38">
        <v>78000.0</v>
      </c>
      <c r="L18" s="25" t="s">
        <v>72</v>
      </c>
      <c r="M18" s="50"/>
      <c r="N18" s="41"/>
      <c r="O18" s="51"/>
      <c r="P18" s="50"/>
      <c r="Q18" s="25" t="s">
        <v>105</v>
      </c>
    </row>
    <row r="19" ht="22.5" customHeight="1">
      <c r="B19" s="41"/>
      <c r="C19" s="32"/>
      <c r="D19" s="66"/>
      <c r="E19" s="32"/>
      <c r="F19" s="32"/>
      <c r="G19" s="45" t="s">
        <v>138</v>
      </c>
      <c r="H19" s="34" t="s">
        <v>139</v>
      </c>
      <c r="I19" s="25" t="s">
        <v>61</v>
      </c>
      <c r="J19" s="29" t="s">
        <v>18</v>
      </c>
      <c r="K19" s="38">
        <v>78300.0</v>
      </c>
      <c r="L19" s="25" t="s">
        <v>72</v>
      </c>
      <c r="M19" s="50"/>
      <c r="N19" s="41"/>
      <c r="O19" s="51"/>
      <c r="P19" s="50"/>
      <c r="Q19" s="25" t="s">
        <v>105</v>
      </c>
    </row>
    <row r="20" ht="22.5" customHeight="1">
      <c r="B20" s="41"/>
      <c r="C20" s="32"/>
      <c r="D20" s="66"/>
      <c r="E20" s="32"/>
      <c r="F20" s="32"/>
      <c r="G20" s="45" t="s">
        <v>140</v>
      </c>
      <c r="H20" s="34" t="s">
        <v>141</v>
      </c>
      <c r="I20" s="25" t="s">
        <v>61</v>
      </c>
      <c r="J20" s="29" t="s">
        <v>18</v>
      </c>
      <c r="K20" s="38">
        <v>81250.0</v>
      </c>
      <c r="L20" s="25" t="s">
        <v>72</v>
      </c>
      <c r="M20" s="50"/>
      <c r="N20" s="41"/>
      <c r="O20" s="51"/>
      <c r="P20" s="50"/>
      <c r="Q20" s="41"/>
    </row>
    <row r="21" ht="22.5" customHeight="1">
      <c r="B21" s="41"/>
      <c r="C21" s="32"/>
      <c r="D21" s="66"/>
      <c r="E21" s="32"/>
      <c r="F21" s="32"/>
      <c r="G21" s="45"/>
      <c r="H21" s="67"/>
      <c r="I21" s="41"/>
      <c r="J21" s="50"/>
      <c r="K21" s="49"/>
      <c r="L21" s="41"/>
      <c r="M21" s="50"/>
      <c r="N21" s="41"/>
      <c r="O21" s="51"/>
      <c r="P21" s="50"/>
      <c r="Q21" s="41"/>
    </row>
    <row r="22" ht="22.5" customHeight="1">
      <c r="B22" s="41"/>
      <c r="C22" s="32"/>
      <c r="D22" s="66"/>
      <c r="E22" s="32"/>
      <c r="F22" s="32"/>
      <c r="G22" s="67"/>
      <c r="H22" s="67"/>
      <c r="I22" s="41"/>
      <c r="J22" s="50"/>
      <c r="K22" s="49"/>
      <c r="L22" s="41"/>
      <c r="M22" s="50"/>
      <c r="N22" s="41"/>
      <c r="O22" s="51"/>
      <c r="P22" s="50"/>
      <c r="Q22" s="41"/>
    </row>
    <row r="23" ht="22.5" customHeight="1">
      <c r="B23" s="41"/>
      <c r="C23" s="32"/>
      <c r="D23" s="66"/>
      <c r="E23" s="32"/>
      <c r="F23" s="32"/>
      <c r="G23" s="67"/>
      <c r="H23" s="67"/>
      <c r="I23" s="41"/>
      <c r="J23" s="50"/>
      <c r="K23" s="49"/>
      <c r="L23" s="41"/>
      <c r="M23" s="50"/>
      <c r="N23" s="41"/>
      <c r="O23" s="51"/>
      <c r="P23" s="50"/>
      <c r="Q23" s="41"/>
    </row>
    <row r="24" ht="22.5" customHeight="1">
      <c r="B24" s="41"/>
      <c r="C24" s="32"/>
      <c r="D24" s="66"/>
      <c r="E24" s="32"/>
      <c r="F24" s="32"/>
      <c r="G24" s="67"/>
      <c r="H24" s="67"/>
      <c r="I24" s="41"/>
      <c r="J24" s="50"/>
      <c r="K24" s="49"/>
      <c r="L24" s="41"/>
      <c r="M24" s="50"/>
      <c r="N24" s="41"/>
      <c r="O24" s="51"/>
      <c r="P24" s="50"/>
      <c r="Q24" s="41"/>
    </row>
    <row r="25" ht="22.5" customHeight="1">
      <c r="B25" s="41"/>
      <c r="C25" s="32"/>
      <c r="D25" s="66"/>
      <c r="E25" s="32"/>
      <c r="F25" s="32"/>
      <c r="G25" s="67"/>
      <c r="H25" s="67"/>
      <c r="I25" s="41"/>
      <c r="J25" s="50"/>
      <c r="K25" s="49"/>
      <c r="L25" s="41"/>
      <c r="M25" s="50"/>
      <c r="N25" s="41"/>
      <c r="O25" s="51"/>
      <c r="P25" s="50"/>
      <c r="Q25" s="41"/>
    </row>
    <row r="26" ht="22.5" customHeight="1">
      <c r="B26" s="41"/>
      <c r="C26" s="32"/>
      <c r="D26" s="66"/>
      <c r="E26" s="32"/>
      <c r="F26" s="32"/>
      <c r="G26" s="67"/>
      <c r="H26" s="67"/>
      <c r="I26" s="41"/>
      <c r="J26" s="50"/>
      <c r="K26" s="49"/>
      <c r="L26" s="41"/>
      <c r="M26" s="50"/>
      <c r="N26" s="41"/>
      <c r="O26" s="51"/>
      <c r="P26" s="50"/>
      <c r="Q26" s="41"/>
    </row>
    <row r="27" ht="22.5" customHeight="1">
      <c r="B27" s="41"/>
      <c r="C27" s="32"/>
      <c r="D27" s="66"/>
      <c r="E27" s="32"/>
      <c r="F27" s="32"/>
      <c r="G27" s="67"/>
      <c r="H27" s="67"/>
      <c r="I27" s="41"/>
      <c r="J27" s="50"/>
      <c r="K27" s="49"/>
      <c r="L27" s="41"/>
      <c r="M27" s="50"/>
      <c r="N27" s="41"/>
      <c r="O27" s="51"/>
      <c r="P27" s="50"/>
      <c r="Q27" s="41"/>
    </row>
    <row r="28" ht="22.5" customHeight="1">
      <c r="B28" s="41"/>
      <c r="C28" s="32"/>
      <c r="D28" s="66"/>
      <c r="E28" s="32"/>
      <c r="F28" s="32"/>
      <c r="G28" s="67"/>
      <c r="H28" s="67"/>
      <c r="I28" s="41"/>
      <c r="J28" s="50"/>
      <c r="K28" s="49"/>
      <c r="L28" s="41"/>
      <c r="M28" s="50"/>
      <c r="N28" s="41"/>
      <c r="O28" s="51"/>
      <c r="P28" s="50"/>
      <c r="Q28" s="41"/>
    </row>
    <row r="29" ht="22.5" customHeight="1">
      <c r="B29" s="41"/>
      <c r="C29" s="32"/>
      <c r="D29" s="66"/>
      <c r="E29" s="32"/>
      <c r="F29" s="32"/>
      <c r="G29" s="67"/>
      <c r="H29" s="67"/>
      <c r="I29" s="41"/>
      <c r="J29" s="50"/>
      <c r="K29" s="49"/>
      <c r="L29" s="41"/>
      <c r="M29" s="50"/>
      <c r="N29" s="41"/>
      <c r="O29" s="51"/>
      <c r="P29" s="50"/>
      <c r="Q29" s="41"/>
    </row>
    <row r="30" ht="22.5" customHeight="1">
      <c r="B30" s="41"/>
      <c r="C30" s="32"/>
      <c r="D30" s="66"/>
      <c r="E30" s="32"/>
      <c r="F30" s="32"/>
      <c r="G30" s="67"/>
      <c r="H30" s="67"/>
      <c r="I30" s="41"/>
      <c r="J30" s="50"/>
      <c r="K30" s="49"/>
      <c r="L30" s="41"/>
      <c r="M30" s="50"/>
      <c r="N30" s="41"/>
      <c r="O30" s="51"/>
      <c r="P30" s="50"/>
      <c r="Q30" s="41"/>
    </row>
    <row r="31" ht="22.5" customHeight="1">
      <c r="B31" s="41"/>
      <c r="C31" s="32"/>
      <c r="D31" s="66"/>
      <c r="E31" s="32"/>
      <c r="F31" s="32"/>
      <c r="G31" s="67"/>
      <c r="H31" s="67"/>
      <c r="I31" s="41"/>
      <c r="J31" s="50"/>
      <c r="K31" s="49"/>
      <c r="L31" s="41"/>
      <c r="M31" s="50"/>
      <c r="N31" s="41"/>
      <c r="O31" s="51"/>
      <c r="P31" s="50"/>
      <c r="Q31" s="41"/>
    </row>
    <row r="32" ht="22.5" customHeight="1">
      <c r="B32" s="41"/>
      <c r="C32" s="32"/>
      <c r="D32" s="66"/>
      <c r="E32" s="32"/>
      <c r="F32" s="32"/>
      <c r="G32" s="67"/>
      <c r="H32" s="67"/>
      <c r="I32" s="41"/>
      <c r="J32" s="50"/>
      <c r="K32" s="49"/>
      <c r="L32" s="41"/>
      <c r="M32" s="50"/>
      <c r="N32" s="41"/>
      <c r="O32" s="51"/>
      <c r="P32" s="50"/>
      <c r="Q32" s="41"/>
    </row>
    <row r="33" ht="22.5" customHeight="1">
      <c r="B33" s="41"/>
      <c r="C33" s="32"/>
      <c r="D33" s="66"/>
      <c r="E33" s="32"/>
      <c r="F33" s="32"/>
      <c r="G33" s="67"/>
      <c r="H33" s="67"/>
      <c r="I33" s="41"/>
      <c r="J33" s="50"/>
      <c r="K33" s="49"/>
      <c r="L33" s="41"/>
      <c r="M33" s="50"/>
      <c r="N33" s="41"/>
      <c r="O33" s="51"/>
      <c r="P33" s="50"/>
      <c r="Q33" s="41"/>
    </row>
    <row r="34" ht="22.5" customHeight="1">
      <c r="B34" s="41"/>
      <c r="C34" s="32"/>
      <c r="D34" s="66"/>
      <c r="E34" s="32"/>
      <c r="F34" s="32"/>
      <c r="G34" s="67"/>
      <c r="H34" s="67"/>
      <c r="I34" s="41"/>
      <c r="J34" s="50"/>
      <c r="K34" s="49"/>
      <c r="L34" s="41"/>
      <c r="M34" s="50"/>
      <c r="N34" s="41"/>
      <c r="O34" s="51"/>
      <c r="P34" s="50"/>
      <c r="Q34" s="41"/>
    </row>
    <row r="35" ht="22.5" customHeight="1">
      <c r="B35" s="41"/>
      <c r="C35" s="32"/>
      <c r="D35" s="66"/>
      <c r="E35" s="32"/>
      <c r="F35" s="32"/>
      <c r="G35" s="67"/>
      <c r="H35" s="67"/>
      <c r="I35" s="41"/>
      <c r="J35" s="50"/>
      <c r="K35" s="49"/>
      <c r="L35" s="41"/>
      <c r="M35" s="50"/>
      <c r="N35" s="41"/>
      <c r="O35" s="51"/>
      <c r="P35" s="50"/>
      <c r="Q35" s="41"/>
    </row>
    <row r="36" ht="22.5" customHeight="1">
      <c r="B36" s="41"/>
      <c r="C36" s="32"/>
      <c r="D36" s="66"/>
      <c r="E36" s="32"/>
      <c r="F36" s="32"/>
      <c r="G36" s="67"/>
      <c r="H36" s="67"/>
      <c r="I36" s="41"/>
      <c r="J36" s="50"/>
      <c r="K36" s="49"/>
      <c r="L36" s="41"/>
      <c r="M36" s="50"/>
      <c r="N36" s="41"/>
      <c r="O36" s="51"/>
      <c r="P36" s="50"/>
      <c r="Q36" s="41"/>
    </row>
    <row r="37" ht="22.5" customHeight="1">
      <c r="B37" s="41"/>
      <c r="C37" s="32"/>
      <c r="D37" s="66"/>
      <c r="E37" s="32"/>
      <c r="F37" s="32"/>
      <c r="G37" s="67"/>
      <c r="H37" s="67"/>
      <c r="I37" s="41"/>
      <c r="J37" s="50"/>
      <c r="K37" s="49"/>
      <c r="L37" s="41"/>
      <c r="M37" s="50"/>
      <c r="N37" s="41"/>
      <c r="O37" s="51"/>
      <c r="P37" s="50"/>
      <c r="Q37" s="41"/>
    </row>
    <row r="38" ht="22.5" customHeight="1">
      <c r="B38" s="41"/>
      <c r="C38" s="32"/>
      <c r="D38" s="66"/>
      <c r="E38" s="32"/>
      <c r="F38" s="32"/>
      <c r="G38" s="67"/>
      <c r="H38" s="67"/>
      <c r="I38" s="41"/>
      <c r="J38" s="50"/>
      <c r="K38" s="49"/>
      <c r="L38" s="41"/>
      <c r="M38" s="50"/>
      <c r="N38" s="41"/>
      <c r="O38" s="51"/>
      <c r="P38" s="50"/>
      <c r="Q38" s="41"/>
    </row>
    <row r="39" ht="22.5" customHeight="1">
      <c r="B39" s="41"/>
      <c r="C39" s="32"/>
      <c r="D39" s="66"/>
      <c r="E39" s="32"/>
      <c r="F39" s="32"/>
      <c r="G39" s="67"/>
      <c r="H39" s="67"/>
      <c r="I39" s="41"/>
      <c r="J39" s="50"/>
      <c r="K39" s="49"/>
      <c r="L39" s="41"/>
      <c r="M39" s="50"/>
      <c r="N39" s="41"/>
      <c r="O39" s="51"/>
      <c r="P39" s="50"/>
      <c r="Q39" s="41"/>
    </row>
    <row r="40" ht="22.5" customHeight="1">
      <c r="B40" s="41"/>
      <c r="C40" s="32"/>
      <c r="D40" s="66"/>
      <c r="E40" s="32"/>
      <c r="F40" s="32"/>
      <c r="G40" s="67"/>
      <c r="H40" s="67"/>
      <c r="I40" s="41"/>
      <c r="J40" s="50"/>
      <c r="K40" s="49"/>
      <c r="L40" s="41"/>
      <c r="M40" s="50"/>
      <c r="N40" s="41"/>
      <c r="O40" s="51"/>
      <c r="P40" s="50"/>
      <c r="Q40" s="41"/>
    </row>
    <row r="41" ht="22.5" customHeight="1">
      <c r="B41" s="41"/>
      <c r="C41" s="32"/>
      <c r="D41" s="66"/>
      <c r="E41" s="32"/>
      <c r="F41" s="32"/>
      <c r="G41" s="67"/>
      <c r="H41" s="67"/>
      <c r="I41" s="41"/>
      <c r="J41" s="50"/>
      <c r="K41" s="49"/>
      <c r="L41" s="41"/>
      <c r="M41" s="50"/>
      <c r="N41" s="41"/>
      <c r="O41" s="51"/>
      <c r="P41" s="50"/>
      <c r="Q41" s="41"/>
    </row>
    <row r="42" ht="22.5" customHeight="1">
      <c r="B42" s="41"/>
      <c r="C42" s="32"/>
      <c r="D42" s="66"/>
      <c r="E42" s="32"/>
      <c r="F42" s="32"/>
      <c r="G42" s="67"/>
      <c r="H42" s="67"/>
      <c r="I42" s="41"/>
      <c r="J42" s="50"/>
      <c r="K42" s="49"/>
      <c r="L42" s="41"/>
      <c r="M42" s="50"/>
      <c r="N42" s="41"/>
      <c r="O42" s="51"/>
      <c r="P42" s="50"/>
      <c r="Q42" s="41"/>
    </row>
    <row r="43" ht="22.5" customHeight="1">
      <c r="B43" s="41"/>
      <c r="C43" s="32"/>
      <c r="D43" s="66"/>
      <c r="E43" s="32"/>
      <c r="F43" s="32"/>
      <c r="G43" s="67"/>
      <c r="H43" s="67"/>
      <c r="I43" s="41"/>
      <c r="J43" s="50"/>
      <c r="K43" s="49"/>
      <c r="L43" s="41"/>
      <c r="M43" s="50"/>
      <c r="N43" s="41"/>
      <c r="O43" s="51"/>
      <c r="P43" s="50"/>
      <c r="Q43" s="41"/>
    </row>
    <row r="44" ht="22.5" customHeight="1">
      <c r="B44" s="41"/>
      <c r="C44" s="32"/>
      <c r="D44" s="66"/>
      <c r="E44" s="32"/>
      <c r="F44" s="32"/>
      <c r="G44" s="67"/>
      <c r="H44" s="67"/>
      <c r="I44" s="41"/>
      <c r="J44" s="50"/>
      <c r="K44" s="49"/>
      <c r="L44" s="41"/>
      <c r="M44" s="50"/>
      <c r="N44" s="41"/>
      <c r="O44" s="51"/>
      <c r="P44" s="50"/>
      <c r="Q44" s="41"/>
    </row>
    <row r="45" ht="22.5" customHeight="1">
      <c r="B45" s="41"/>
      <c r="C45" s="32"/>
      <c r="D45" s="66"/>
      <c r="E45" s="32"/>
      <c r="F45" s="32"/>
      <c r="G45" s="67"/>
      <c r="H45" s="67"/>
      <c r="I45" s="41"/>
      <c r="J45" s="50"/>
      <c r="K45" s="49"/>
      <c r="L45" s="41"/>
      <c r="M45" s="50"/>
      <c r="N45" s="41"/>
      <c r="O45" s="51"/>
      <c r="P45" s="50"/>
      <c r="Q45" s="41"/>
    </row>
    <row r="46" ht="22.5" customHeight="1">
      <c r="B46" s="41"/>
      <c r="C46" s="32"/>
      <c r="D46" s="66"/>
      <c r="E46" s="32"/>
      <c r="F46" s="32"/>
      <c r="G46" s="67"/>
      <c r="H46" s="67"/>
      <c r="I46" s="41"/>
      <c r="J46" s="50"/>
      <c r="K46" s="49"/>
      <c r="L46" s="41"/>
      <c r="M46" s="50"/>
      <c r="N46" s="41"/>
      <c r="O46" s="51"/>
      <c r="P46" s="50"/>
      <c r="Q46" s="41"/>
    </row>
    <row r="47" ht="22.5" customHeight="1">
      <c r="B47" s="41"/>
      <c r="C47" s="32"/>
      <c r="D47" s="66"/>
      <c r="E47" s="32"/>
      <c r="F47" s="32"/>
      <c r="G47" s="67"/>
      <c r="H47" s="67"/>
      <c r="I47" s="41"/>
      <c r="J47" s="50"/>
      <c r="K47" s="49"/>
      <c r="L47" s="41"/>
      <c r="M47" s="50"/>
      <c r="N47" s="41"/>
      <c r="O47" s="51"/>
      <c r="P47" s="50"/>
      <c r="Q47" s="41"/>
    </row>
    <row r="48" ht="22.5" customHeight="1">
      <c r="B48" s="41"/>
      <c r="C48" s="32"/>
      <c r="D48" s="66"/>
      <c r="E48" s="32"/>
      <c r="F48" s="32"/>
      <c r="G48" s="67"/>
      <c r="H48" s="67"/>
      <c r="I48" s="41"/>
      <c r="J48" s="50"/>
      <c r="K48" s="49"/>
      <c r="L48" s="41"/>
      <c r="M48" s="50"/>
      <c r="N48" s="41"/>
      <c r="O48" s="51"/>
      <c r="P48" s="50"/>
      <c r="Q48" s="41"/>
    </row>
    <row r="49" ht="22.5" customHeight="1">
      <c r="B49" s="41"/>
      <c r="C49" s="32"/>
      <c r="D49" s="66"/>
      <c r="E49" s="32"/>
      <c r="F49" s="32"/>
      <c r="G49" s="67"/>
      <c r="H49" s="67"/>
      <c r="I49" s="41"/>
      <c r="J49" s="50"/>
      <c r="K49" s="49"/>
      <c r="L49" s="41"/>
      <c r="M49" s="50"/>
      <c r="N49" s="41"/>
      <c r="O49" s="51"/>
      <c r="P49" s="50"/>
      <c r="Q49" s="41"/>
    </row>
    <row r="50" ht="22.5" customHeight="1">
      <c r="B50" s="41"/>
      <c r="C50" s="32"/>
      <c r="D50" s="66"/>
      <c r="E50" s="32"/>
      <c r="F50" s="32"/>
      <c r="G50" s="67"/>
      <c r="H50" s="67"/>
      <c r="I50" s="41"/>
      <c r="J50" s="50"/>
      <c r="K50" s="49"/>
      <c r="L50" s="41"/>
      <c r="M50" s="50"/>
      <c r="N50" s="41"/>
      <c r="O50" s="51"/>
      <c r="P50" s="50"/>
      <c r="Q50" s="41"/>
    </row>
    <row r="51" ht="22.5" customHeight="1">
      <c r="B51" s="41"/>
      <c r="C51" s="32"/>
      <c r="D51" s="66"/>
      <c r="E51" s="32"/>
      <c r="F51" s="32"/>
      <c r="G51" s="67"/>
      <c r="H51" s="67"/>
      <c r="I51" s="41"/>
      <c r="J51" s="50"/>
      <c r="K51" s="49"/>
      <c r="L51" s="41"/>
      <c r="M51" s="50"/>
      <c r="N51" s="41"/>
      <c r="O51" s="51"/>
      <c r="P51" s="50"/>
      <c r="Q51" s="41"/>
    </row>
    <row r="52" ht="22.5" customHeight="1">
      <c r="B52" s="41"/>
      <c r="C52" s="32"/>
      <c r="D52" s="66"/>
      <c r="E52" s="32"/>
      <c r="F52" s="32"/>
      <c r="G52" s="67"/>
      <c r="H52" s="67"/>
      <c r="I52" s="41"/>
      <c r="J52" s="50"/>
      <c r="K52" s="49"/>
      <c r="L52" s="41"/>
      <c r="M52" s="50"/>
      <c r="N52" s="41"/>
      <c r="O52" s="51"/>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30.88"/>
    <col customWidth="1" min="9" max="9" width="20.13"/>
    <col customWidth="1" min="10" max="10" width="22.88"/>
    <col customWidth="1" min="11" max="11" width="17.0"/>
    <col customWidth="1" min="12" max="12" width="17.38"/>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15</v>
      </c>
      <c r="E3" s="10" t="s">
        <v>17</v>
      </c>
      <c r="F3" s="10" t="s">
        <v>18</v>
      </c>
      <c r="G3" s="11" t="s">
        <v>19</v>
      </c>
      <c r="H3" s="10" t="s">
        <v>20</v>
      </c>
      <c r="I3" s="10" t="s">
        <v>21</v>
      </c>
      <c r="J3" s="10" t="s">
        <v>22</v>
      </c>
      <c r="K3" s="10" t="s">
        <v>23</v>
      </c>
      <c r="L3" s="10" t="s">
        <v>24</v>
      </c>
      <c r="M3" s="10" t="s">
        <v>25</v>
      </c>
      <c r="N3" s="10" t="s">
        <v>26</v>
      </c>
    </row>
    <row r="4" ht="26.25" customHeight="1">
      <c r="D4" s="12" t="s">
        <v>27</v>
      </c>
      <c r="E4" s="13">
        <v>2500000.0</v>
      </c>
      <c r="F4" s="15">
        <f>SUMIFS(OPI[MAF NETO],OPI[ESTADO],"Desembolsado")</f>
        <v>2071000</v>
      </c>
      <c r="G4" s="15">
        <f>F4-E4</f>
        <v>-429000</v>
      </c>
      <c r="H4" s="16">
        <f>SUMIFS(OPI[MAF NETO],OPI[ESTADO],H$3)</f>
        <v>0</v>
      </c>
      <c r="I4" s="16">
        <f>SUMIFS(OPI[MAF NETO],OPI[ESTADO],I$3)</f>
        <v>0</v>
      </c>
      <c r="J4" s="16">
        <f>SUMIFS(OPI[MAF NETO],OPI[ESTADO],J$3)</f>
        <v>0</v>
      </c>
      <c r="K4" s="16">
        <f>SUMIFS(OPI[MAF NETO],OPI[ESTADO],K$3)</f>
        <v>0</v>
      </c>
      <c r="L4" s="16">
        <f>SUMIFS(OPI[MAF NETO],OPI[ESTADO],L$3)</f>
        <v>0</v>
      </c>
      <c r="M4" s="16">
        <f>SUMIFS(OPI[MAF NETO],OPI[ESTADO],M$3)</f>
        <v>0</v>
      </c>
      <c r="N4" s="16">
        <f>SUMIFS(OPI[MAF NETO],OPI[ESTADO],N$3)</f>
        <v>0</v>
      </c>
    </row>
    <row r="5" ht="26.25" customHeight="1">
      <c r="D5" s="17" t="s">
        <v>32</v>
      </c>
      <c r="E5" s="18" t="s">
        <v>34</v>
      </c>
      <c r="F5" s="19">
        <f>COUNTIFS(OPI[ESTADO],"Desembolsado")</f>
        <v>30</v>
      </c>
      <c r="G5" s="20">
        <f>IFERROR(F4/E4,"")</f>
        <v>0.8284</v>
      </c>
      <c r="H5" s="19">
        <f>COUNTIFS(OPI[ESTADO],H$3)</f>
        <v>0</v>
      </c>
      <c r="I5" s="19">
        <f>COUNTIFS(OPI[ESTADO],I$3)</f>
        <v>0</v>
      </c>
      <c r="J5" s="19">
        <f>COUNTIFS(OPI[ESTADO],J$3)</f>
        <v>0</v>
      </c>
      <c r="K5" s="19">
        <f>COUNTIFS(OPI[ESTADO],K$3)</f>
        <v>0</v>
      </c>
      <c r="L5" s="19">
        <f>COUNTIFS(OPI[ESTADO],L$3)</f>
        <v>0</v>
      </c>
      <c r="M5" s="19">
        <f>COUNTIFS(OPI[ESTADO],M$3)</f>
        <v>0</v>
      </c>
      <c r="N5" s="19">
        <f>COUNTIFS(OPI[ESTADO],N$3)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15</v>
      </c>
      <c r="C10" s="27">
        <v>46146.0</v>
      </c>
      <c r="D10" s="29" t="s">
        <v>55</v>
      </c>
      <c r="E10" s="27">
        <v>46147.0</v>
      </c>
      <c r="F10" s="27">
        <v>46150.0</v>
      </c>
      <c r="G10" s="34" t="s">
        <v>144</v>
      </c>
      <c r="H10" s="34" t="s">
        <v>145</v>
      </c>
      <c r="I10" s="25" t="s">
        <v>61</v>
      </c>
      <c r="J10" s="29" t="s">
        <v>18</v>
      </c>
      <c r="K10" s="38">
        <v>67000.0</v>
      </c>
      <c r="L10" s="25" t="s">
        <v>146</v>
      </c>
      <c r="M10" s="29" t="s">
        <v>65</v>
      </c>
      <c r="N10" s="80">
        <v>46153.0</v>
      </c>
      <c r="O10" s="29" t="s">
        <v>65</v>
      </c>
      <c r="P10" s="50"/>
      <c r="Q10" s="41"/>
    </row>
    <row r="11" ht="22.5" customHeight="1">
      <c r="B11" s="25" t="s">
        <v>15</v>
      </c>
      <c r="C11" s="27">
        <v>46147.0</v>
      </c>
      <c r="D11" s="29" t="s">
        <v>55</v>
      </c>
      <c r="E11" s="27">
        <v>46149.0</v>
      </c>
      <c r="F11" s="27">
        <v>46150.0</v>
      </c>
      <c r="G11" s="34" t="s">
        <v>149</v>
      </c>
      <c r="H11" s="34" t="s">
        <v>150</v>
      </c>
      <c r="I11" s="25" t="s">
        <v>151</v>
      </c>
      <c r="J11" s="29" t="s">
        <v>18</v>
      </c>
      <c r="K11" s="38">
        <v>83400.0</v>
      </c>
      <c r="L11" s="25" t="s">
        <v>152</v>
      </c>
      <c r="M11" s="29" t="s">
        <v>65</v>
      </c>
      <c r="N11" s="80">
        <v>46153.0</v>
      </c>
      <c r="O11" s="29" t="s">
        <v>65</v>
      </c>
      <c r="P11" s="50"/>
      <c r="Q11" s="41"/>
    </row>
    <row r="12" ht="22.5" customHeight="1">
      <c r="B12" s="25" t="s">
        <v>153</v>
      </c>
      <c r="C12" s="27">
        <v>46148.0</v>
      </c>
      <c r="D12" s="29" t="s">
        <v>55</v>
      </c>
      <c r="E12" s="27">
        <v>46150.0</v>
      </c>
      <c r="F12" s="27">
        <v>46150.0</v>
      </c>
      <c r="G12" s="34" t="s">
        <v>154</v>
      </c>
      <c r="H12" s="34" t="s">
        <v>155</v>
      </c>
      <c r="I12" s="25" t="s">
        <v>61</v>
      </c>
      <c r="J12" s="29" t="s">
        <v>18</v>
      </c>
      <c r="K12" s="38">
        <v>52500.0</v>
      </c>
      <c r="L12" s="25" t="s">
        <v>152</v>
      </c>
      <c r="M12" s="29" t="s">
        <v>65</v>
      </c>
      <c r="N12" s="80">
        <v>46157.0</v>
      </c>
      <c r="O12" s="50"/>
      <c r="P12" s="50"/>
      <c r="Q12" s="41"/>
    </row>
    <row r="13" ht="22.5" customHeight="1">
      <c r="B13" s="25" t="s">
        <v>15</v>
      </c>
      <c r="C13" s="27">
        <v>46153.0</v>
      </c>
      <c r="D13" s="29" t="s">
        <v>55</v>
      </c>
      <c r="E13" s="27">
        <v>46155.0</v>
      </c>
      <c r="F13" s="27">
        <v>46155.0</v>
      </c>
      <c r="G13" s="34" t="s">
        <v>158</v>
      </c>
      <c r="H13" s="34" t="s">
        <v>159</v>
      </c>
      <c r="I13" s="25" t="s">
        <v>61</v>
      </c>
      <c r="J13" s="29" t="s">
        <v>18</v>
      </c>
      <c r="K13" s="38">
        <v>57200.0</v>
      </c>
      <c r="L13" s="25" t="s">
        <v>161</v>
      </c>
      <c r="M13" s="29" t="s">
        <v>65</v>
      </c>
      <c r="N13" s="80">
        <v>46157.0</v>
      </c>
      <c r="O13" s="50"/>
      <c r="P13" s="50"/>
      <c r="Q13" s="41"/>
    </row>
    <row r="14" ht="22.5" customHeight="1">
      <c r="B14" s="25" t="s">
        <v>15</v>
      </c>
      <c r="C14" s="27">
        <v>46153.0</v>
      </c>
      <c r="D14" s="29" t="s">
        <v>55</v>
      </c>
      <c r="E14" s="27">
        <v>46157.0</v>
      </c>
      <c r="F14" s="27">
        <v>46160.0</v>
      </c>
      <c r="G14" s="34" t="s">
        <v>164</v>
      </c>
      <c r="H14" s="34" t="s">
        <v>165</v>
      </c>
      <c r="I14" s="25" t="s">
        <v>166</v>
      </c>
      <c r="J14" s="29" t="s">
        <v>18</v>
      </c>
      <c r="K14" s="38">
        <v>70500.0</v>
      </c>
      <c r="L14" s="25" t="s">
        <v>146</v>
      </c>
      <c r="M14" s="29" t="s">
        <v>65</v>
      </c>
      <c r="N14" s="41"/>
      <c r="O14" s="50"/>
      <c r="P14" s="50"/>
      <c r="Q14" s="41"/>
    </row>
    <row r="15" ht="22.5" customHeight="1">
      <c r="B15" s="25" t="s">
        <v>15</v>
      </c>
      <c r="C15" s="27">
        <v>46155.0</v>
      </c>
      <c r="D15" s="29" t="s">
        <v>55</v>
      </c>
      <c r="E15" s="27">
        <v>46156.0</v>
      </c>
      <c r="F15" s="27">
        <v>46156.0</v>
      </c>
      <c r="G15" s="34" t="s">
        <v>167</v>
      </c>
      <c r="H15" s="34" t="s">
        <v>168</v>
      </c>
      <c r="I15" s="25" t="s">
        <v>61</v>
      </c>
      <c r="J15" s="29" t="s">
        <v>18</v>
      </c>
      <c r="K15" s="38">
        <v>61000.0</v>
      </c>
      <c r="L15" s="25" t="s">
        <v>146</v>
      </c>
      <c r="M15" s="29" t="s">
        <v>65</v>
      </c>
      <c r="N15" s="80">
        <v>46157.0</v>
      </c>
      <c r="O15" s="50"/>
      <c r="P15" s="50"/>
      <c r="Q15" s="41"/>
    </row>
    <row r="16" ht="22.5" customHeight="1">
      <c r="B16" s="25" t="s">
        <v>16</v>
      </c>
      <c r="C16" s="27">
        <v>46156.0</v>
      </c>
      <c r="D16" s="29" t="s">
        <v>55</v>
      </c>
      <c r="E16" s="27">
        <v>46157.0</v>
      </c>
      <c r="F16" s="27">
        <v>46157.0</v>
      </c>
      <c r="G16" s="34" t="s">
        <v>169</v>
      </c>
      <c r="H16" s="34" t="s">
        <v>170</v>
      </c>
      <c r="I16" s="25" t="s">
        <v>61</v>
      </c>
      <c r="J16" s="29" t="s">
        <v>18</v>
      </c>
      <c r="K16" s="38">
        <v>82000.0</v>
      </c>
      <c r="L16" s="25" t="s">
        <v>152</v>
      </c>
      <c r="M16" s="29" t="s">
        <v>65</v>
      </c>
      <c r="N16" s="41"/>
      <c r="O16" s="50"/>
      <c r="P16" s="50"/>
      <c r="Q16" s="41"/>
    </row>
    <row r="17" ht="22.5" customHeight="1">
      <c r="B17" s="25" t="s">
        <v>15</v>
      </c>
      <c r="C17" s="27">
        <v>46156.0</v>
      </c>
      <c r="D17" s="29" t="s">
        <v>55</v>
      </c>
      <c r="E17" s="27">
        <v>46157.0</v>
      </c>
      <c r="F17" s="27">
        <v>46160.0</v>
      </c>
      <c r="G17" s="34" t="s">
        <v>175</v>
      </c>
      <c r="H17" s="34" t="s">
        <v>176</v>
      </c>
      <c r="I17" s="25" t="s">
        <v>61</v>
      </c>
      <c r="J17" s="29" t="s">
        <v>18</v>
      </c>
      <c r="K17" s="38">
        <v>10000.0</v>
      </c>
      <c r="L17" s="25" t="s">
        <v>177</v>
      </c>
      <c r="M17" s="50"/>
      <c r="N17" s="41"/>
      <c r="O17" s="50"/>
      <c r="P17" s="50"/>
      <c r="Q17" s="41"/>
    </row>
    <row r="18" ht="22.5" customHeight="1">
      <c r="B18" s="25" t="s">
        <v>15</v>
      </c>
      <c r="C18" s="27">
        <v>46156.0</v>
      </c>
      <c r="D18" s="29" t="s">
        <v>55</v>
      </c>
      <c r="E18" s="27">
        <v>46157.0</v>
      </c>
      <c r="F18" s="27">
        <v>46160.0</v>
      </c>
      <c r="G18" s="34" t="s">
        <v>178</v>
      </c>
      <c r="H18" s="34" t="s">
        <v>179</v>
      </c>
      <c r="I18" s="25" t="s">
        <v>61</v>
      </c>
      <c r="J18" s="29" t="s">
        <v>18</v>
      </c>
      <c r="K18" s="38">
        <v>74700.0</v>
      </c>
      <c r="L18" s="25" t="s">
        <v>152</v>
      </c>
      <c r="M18" s="50"/>
      <c r="N18" s="41"/>
      <c r="O18" s="50"/>
      <c r="P18" s="50"/>
      <c r="Q18" s="41"/>
    </row>
    <row r="19" ht="22.5" customHeight="1">
      <c r="B19" s="25" t="s">
        <v>15</v>
      </c>
      <c r="C19" s="27">
        <v>46155.0</v>
      </c>
      <c r="D19" s="29" t="s">
        <v>55</v>
      </c>
      <c r="E19" s="27">
        <v>46157.0</v>
      </c>
      <c r="F19" s="27">
        <v>46157.0</v>
      </c>
      <c r="G19" s="34" t="s">
        <v>180</v>
      </c>
      <c r="H19" s="34" t="s">
        <v>181</v>
      </c>
      <c r="I19" s="25" t="s">
        <v>166</v>
      </c>
      <c r="J19" s="29" t="s">
        <v>18</v>
      </c>
      <c r="K19" s="38">
        <v>71000.0</v>
      </c>
      <c r="L19" s="25" t="s">
        <v>146</v>
      </c>
      <c r="M19" s="29" t="s">
        <v>65</v>
      </c>
      <c r="N19" s="41"/>
      <c r="O19" s="50"/>
      <c r="P19" s="50"/>
      <c r="Q19" s="41"/>
    </row>
    <row r="20" ht="22.5" customHeight="1">
      <c r="B20" s="25" t="s">
        <v>185</v>
      </c>
      <c r="C20" s="27">
        <v>46156.0</v>
      </c>
      <c r="D20" s="29" t="s">
        <v>55</v>
      </c>
      <c r="E20" s="27">
        <v>46157.0</v>
      </c>
      <c r="F20" s="27">
        <v>46160.0</v>
      </c>
      <c r="G20" s="34" t="s">
        <v>186</v>
      </c>
      <c r="H20" s="34" t="s">
        <v>187</v>
      </c>
      <c r="I20" s="25" t="s">
        <v>188</v>
      </c>
      <c r="J20" s="29" t="s">
        <v>18</v>
      </c>
      <c r="K20" s="38">
        <v>62000.0</v>
      </c>
      <c r="L20" s="25" t="s">
        <v>161</v>
      </c>
      <c r="M20" s="50"/>
      <c r="N20" s="41"/>
      <c r="O20" s="50"/>
      <c r="P20" s="50"/>
      <c r="Q20" s="41"/>
    </row>
    <row r="21" ht="22.5" customHeight="1">
      <c r="B21" s="25" t="s">
        <v>15</v>
      </c>
      <c r="C21" s="27">
        <v>46160.0</v>
      </c>
      <c r="D21" s="29" t="s">
        <v>55</v>
      </c>
      <c r="E21" s="27">
        <v>46161.0</v>
      </c>
      <c r="F21" s="27">
        <v>46164.0</v>
      </c>
      <c r="G21" s="34" t="s">
        <v>195</v>
      </c>
      <c r="H21" s="34" t="s">
        <v>196</v>
      </c>
      <c r="I21" s="25" t="s">
        <v>61</v>
      </c>
      <c r="J21" s="29" t="s">
        <v>18</v>
      </c>
      <c r="K21" s="38">
        <v>25000.0</v>
      </c>
      <c r="L21" s="25" t="s">
        <v>177</v>
      </c>
      <c r="M21" s="50"/>
      <c r="N21" s="41"/>
      <c r="O21" s="50"/>
      <c r="P21" s="50"/>
      <c r="Q21" s="41"/>
    </row>
    <row r="22" ht="22.5" customHeight="1">
      <c r="B22" s="25" t="s">
        <v>15</v>
      </c>
      <c r="C22" s="27">
        <v>46162.0</v>
      </c>
      <c r="D22" s="29" t="s">
        <v>55</v>
      </c>
      <c r="E22" s="27">
        <v>46162.0</v>
      </c>
      <c r="F22" s="27">
        <v>46164.0</v>
      </c>
      <c r="G22" s="34" t="s">
        <v>199</v>
      </c>
      <c r="H22" s="34" t="s">
        <v>200</v>
      </c>
      <c r="I22" s="25" t="s">
        <v>61</v>
      </c>
      <c r="J22" s="29" t="s">
        <v>18</v>
      </c>
      <c r="K22" s="38">
        <v>73850.0</v>
      </c>
      <c r="L22" s="25" t="s">
        <v>152</v>
      </c>
      <c r="M22" s="50"/>
      <c r="N22" s="41"/>
      <c r="O22" s="50"/>
      <c r="P22" s="50"/>
      <c r="Q22" s="41"/>
    </row>
    <row r="23" ht="22.5" customHeight="1">
      <c r="B23" s="25" t="s">
        <v>16</v>
      </c>
      <c r="C23" s="27">
        <v>46162.0</v>
      </c>
      <c r="D23" s="29" t="s">
        <v>55</v>
      </c>
      <c r="E23" s="27">
        <v>46166.0</v>
      </c>
      <c r="F23" s="27">
        <v>46167.0</v>
      </c>
      <c r="G23" s="34" t="s">
        <v>207</v>
      </c>
      <c r="H23" s="34" t="s">
        <v>208</v>
      </c>
      <c r="I23" s="25" t="s">
        <v>61</v>
      </c>
      <c r="J23" s="29" t="s">
        <v>18</v>
      </c>
      <c r="K23" s="38">
        <v>40900.0</v>
      </c>
      <c r="L23" s="25" t="s">
        <v>152</v>
      </c>
      <c r="M23" s="50"/>
      <c r="N23" s="41"/>
      <c r="O23" s="50"/>
      <c r="P23" s="50"/>
      <c r="Q23" s="41"/>
    </row>
    <row r="24" ht="22.5" customHeight="1">
      <c r="B24" s="25" t="s">
        <v>15</v>
      </c>
      <c r="C24" s="27">
        <v>46167.0</v>
      </c>
      <c r="D24" s="29" t="s">
        <v>55</v>
      </c>
      <c r="E24" s="27">
        <v>46167.0</v>
      </c>
      <c r="F24" s="27">
        <v>46168.0</v>
      </c>
      <c r="G24" s="34" t="s">
        <v>211</v>
      </c>
      <c r="H24" s="34" t="s">
        <v>212</v>
      </c>
      <c r="I24" s="25" t="s">
        <v>61</v>
      </c>
      <c r="J24" s="29" t="s">
        <v>18</v>
      </c>
      <c r="K24" s="38">
        <v>66000.0</v>
      </c>
      <c r="L24" s="25" t="s">
        <v>161</v>
      </c>
      <c r="M24" s="50"/>
      <c r="N24" s="41"/>
      <c r="O24" s="50"/>
      <c r="P24" s="50"/>
      <c r="Q24" s="41"/>
    </row>
    <row r="25" ht="22.5" customHeight="1">
      <c r="B25" s="25" t="s">
        <v>15</v>
      </c>
      <c r="C25" s="27">
        <v>46167.0</v>
      </c>
      <c r="D25" s="29" t="s">
        <v>55</v>
      </c>
      <c r="E25" s="27">
        <v>46167.0</v>
      </c>
      <c r="F25" s="27">
        <v>46168.0</v>
      </c>
      <c r="G25" s="34" t="s">
        <v>219</v>
      </c>
      <c r="H25" s="34" t="s">
        <v>220</v>
      </c>
      <c r="I25" s="25" t="s">
        <v>61</v>
      </c>
      <c r="J25" s="29" t="s">
        <v>18</v>
      </c>
      <c r="K25" s="38">
        <v>61300.0</v>
      </c>
      <c r="L25" s="25" t="s">
        <v>146</v>
      </c>
      <c r="M25" s="50"/>
      <c r="N25" s="41"/>
      <c r="O25" s="50"/>
      <c r="P25" s="50"/>
      <c r="Q25" s="41"/>
    </row>
    <row r="26" ht="22.5" customHeight="1">
      <c r="B26" s="25" t="s">
        <v>15</v>
      </c>
      <c r="C26" s="27">
        <v>46167.0</v>
      </c>
      <c r="D26" s="29" t="s">
        <v>55</v>
      </c>
      <c r="E26" s="27">
        <v>46167.0</v>
      </c>
      <c r="F26" s="27">
        <v>46168.0</v>
      </c>
      <c r="G26" s="34" t="s">
        <v>226</v>
      </c>
      <c r="H26" s="34" t="s">
        <v>227</v>
      </c>
      <c r="I26" s="25" t="s">
        <v>166</v>
      </c>
      <c r="J26" s="29" t="s">
        <v>18</v>
      </c>
      <c r="K26" s="38">
        <v>68000.0</v>
      </c>
      <c r="L26" s="25" t="s">
        <v>152</v>
      </c>
      <c r="M26" s="50"/>
      <c r="N26" s="41"/>
      <c r="O26" s="50"/>
      <c r="P26" s="50"/>
      <c r="Q26" s="41"/>
    </row>
    <row r="27" ht="22.5" customHeight="1">
      <c r="B27" s="25" t="s">
        <v>15</v>
      </c>
      <c r="C27" s="27">
        <v>46167.0</v>
      </c>
      <c r="D27" s="29" t="s">
        <v>55</v>
      </c>
      <c r="E27" s="27">
        <v>46168.0</v>
      </c>
      <c r="F27" s="27">
        <v>46169.0</v>
      </c>
      <c r="G27" s="34" t="s">
        <v>230</v>
      </c>
      <c r="H27" s="34" t="s">
        <v>231</v>
      </c>
      <c r="I27" s="25" t="s">
        <v>61</v>
      </c>
      <c r="J27" s="29" t="s">
        <v>18</v>
      </c>
      <c r="K27" s="38">
        <v>71300.0</v>
      </c>
      <c r="L27" s="25" t="s">
        <v>146</v>
      </c>
      <c r="M27" s="50"/>
      <c r="N27" s="41"/>
      <c r="O27" s="50"/>
      <c r="P27" s="50"/>
      <c r="Q27" s="41"/>
    </row>
    <row r="28" ht="22.5" customHeight="1">
      <c r="B28" s="25" t="s">
        <v>15</v>
      </c>
      <c r="C28" s="27">
        <v>46164.0</v>
      </c>
      <c r="D28" s="29" t="s">
        <v>55</v>
      </c>
      <c r="E28" s="27">
        <v>46168.0</v>
      </c>
      <c r="F28" s="27">
        <v>46169.0</v>
      </c>
      <c r="G28" s="34" t="s">
        <v>234</v>
      </c>
      <c r="H28" s="34" t="s">
        <v>236</v>
      </c>
      <c r="I28" s="25" t="s">
        <v>188</v>
      </c>
      <c r="J28" s="29" t="s">
        <v>18</v>
      </c>
      <c r="K28" s="38">
        <v>86000.0</v>
      </c>
      <c r="L28" s="25" t="s">
        <v>152</v>
      </c>
      <c r="M28" s="50"/>
      <c r="N28" s="41"/>
      <c r="O28" s="50"/>
      <c r="P28" s="50"/>
      <c r="Q28" s="25"/>
    </row>
    <row r="29" ht="22.5" customHeight="1">
      <c r="B29" s="25" t="s">
        <v>15</v>
      </c>
      <c r="C29" s="27">
        <v>46167.0</v>
      </c>
      <c r="D29" s="29" t="s">
        <v>55</v>
      </c>
      <c r="E29" s="27">
        <v>46168.0</v>
      </c>
      <c r="F29" s="27">
        <v>46169.0</v>
      </c>
      <c r="G29" s="34" t="s">
        <v>239</v>
      </c>
      <c r="H29" s="34" t="s">
        <v>240</v>
      </c>
      <c r="I29" s="25" t="s">
        <v>61</v>
      </c>
      <c r="J29" s="29" t="s">
        <v>18</v>
      </c>
      <c r="K29" s="38">
        <v>78000.0</v>
      </c>
      <c r="L29" s="25" t="s">
        <v>177</v>
      </c>
      <c r="M29" s="50"/>
      <c r="N29" s="41"/>
      <c r="O29" s="50"/>
      <c r="P29" s="50"/>
      <c r="Q29" s="41"/>
    </row>
    <row r="30" ht="22.5" customHeight="1">
      <c r="B30" s="25" t="s">
        <v>15</v>
      </c>
      <c r="C30" s="27">
        <v>46167.0</v>
      </c>
      <c r="D30" s="29" t="s">
        <v>55</v>
      </c>
      <c r="E30" s="27">
        <v>46168.0</v>
      </c>
      <c r="F30" s="27">
        <v>46169.0</v>
      </c>
      <c r="G30" s="34" t="s">
        <v>241</v>
      </c>
      <c r="H30" s="34" t="s">
        <v>242</v>
      </c>
      <c r="I30" s="25" t="s">
        <v>61</v>
      </c>
      <c r="J30" s="29" t="s">
        <v>18</v>
      </c>
      <c r="K30" s="38">
        <v>78000.0</v>
      </c>
      <c r="L30" s="25" t="s">
        <v>152</v>
      </c>
      <c r="M30" s="50"/>
      <c r="N30" s="41"/>
      <c r="O30" s="50"/>
      <c r="P30" s="50"/>
      <c r="Q30" s="41"/>
    </row>
    <row r="31" ht="22.5" customHeight="1">
      <c r="B31" s="25" t="s">
        <v>15</v>
      </c>
      <c r="C31" s="27">
        <v>46167.0</v>
      </c>
      <c r="D31" s="29" t="s">
        <v>55</v>
      </c>
      <c r="E31" s="27">
        <v>46168.0</v>
      </c>
      <c r="F31" s="27">
        <v>46169.0</v>
      </c>
      <c r="G31" s="34" t="s">
        <v>243</v>
      </c>
      <c r="H31" s="34" t="s">
        <v>244</v>
      </c>
      <c r="I31" s="25" t="s">
        <v>61</v>
      </c>
      <c r="J31" s="29" t="s">
        <v>18</v>
      </c>
      <c r="K31" s="38">
        <v>68500.0</v>
      </c>
      <c r="L31" s="25" t="s">
        <v>146</v>
      </c>
      <c r="M31" s="50"/>
      <c r="N31" s="41"/>
      <c r="O31" s="50"/>
      <c r="P31" s="50"/>
      <c r="Q31" s="41"/>
    </row>
    <row r="32" ht="22.5" customHeight="1">
      <c r="B32" s="25" t="s">
        <v>15</v>
      </c>
      <c r="C32" s="27">
        <v>46167.0</v>
      </c>
      <c r="D32" s="29" t="s">
        <v>55</v>
      </c>
      <c r="E32" s="27">
        <v>46168.0</v>
      </c>
      <c r="F32" s="27">
        <v>46169.0</v>
      </c>
      <c r="G32" s="34" t="s">
        <v>245</v>
      </c>
      <c r="H32" s="34" t="s">
        <v>246</v>
      </c>
      <c r="I32" s="25" t="s">
        <v>61</v>
      </c>
      <c r="J32" s="29" t="s">
        <v>18</v>
      </c>
      <c r="K32" s="38">
        <v>113350.0</v>
      </c>
      <c r="L32" s="25" t="s">
        <v>177</v>
      </c>
      <c r="M32" s="50"/>
      <c r="N32" s="41"/>
      <c r="O32" s="50"/>
      <c r="P32" s="50"/>
      <c r="Q32" s="41"/>
    </row>
    <row r="33" ht="22.5" customHeight="1">
      <c r="B33" s="25" t="s">
        <v>15</v>
      </c>
      <c r="C33" s="27">
        <v>46168.0</v>
      </c>
      <c r="D33" s="29" t="s">
        <v>55</v>
      </c>
      <c r="E33" s="27">
        <v>46168.0</v>
      </c>
      <c r="F33" s="27">
        <v>46169.0</v>
      </c>
      <c r="G33" s="34" t="s">
        <v>247</v>
      </c>
      <c r="H33" s="34" t="s">
        <v>248</v>
      </c>
      <c r="I33" s="25" t="s">
        <v>61</v>
      </c>
      <c r="J33" s="29" t="s">
        <v>18</v>
      </c>
      <c r="K33" s="38">
        <v>68600.0</v>
      </c>
      <c r="L33" s="25" t="s">
        <v>161</v>
      </c>
      <c r="M33" s="50"/>
      <c r="N33" s="41"/>
      <c r="O33" s="50"/>
      <c r="P33" s="50"/>
      <c r="Q33" s="25"/>
    </row>
    <row r="34" ht="22.5" customHeight="1">
      <c r="B34" s="25" t="s">
        <v>15</v>
      </c>
      <c r="C34" s="27">
        <v>46168.0</v>
      </c>
      <c r="D34" s="29" t="s">
        <v>55</v>
      </c>
      <c r="E34" s="27">
        <v>46170.0</v>
      </c>
      <c r="F34" s="27">
        <v>46171.0</v>
      </c>
      <c r="G34" s="34" t="s">
        <v>249</v>
      </c>
      <c r="H34" s="34" t="s">
        <v>250</v>
      </c>
      <c r="I34" s="25" t="s">
        <v>61</v>
      </c>
      <c r="J34" s="29" t="s">
        <v>18</v>
      </c>
      <c r="K34" s="38">
        <v>142500.0</v>
      </c>
      <c r="L34" s="25" t="s">
        <v>152</v>
      </c>
      <c r="M34" s="50"/>
      <c r="N34" s="41"/>
      <c r="O34" s="50"/>
      <c r="P34" s="50"/>
      <c r="Q34" s="41"/>
    </row>
    <row r="35" ht="22.5" customHeight="1">
      <c r="B35" s="25" t="s">
        <v>15</v>
      </c>
      <c r="C35" s="27">
        <v>46168.0</v>
      </c>
      <c r="D35" s="29" t="s">
        <v>55</v>
      </c>
      <c r="E35" s="27">
        <v>46171.0</v>
      </c>
      <c r="F35" s="27">
        <v>46171.0</v>
      </c>
      <c r="G35" s="34" t="s">
        <v>251</v>
      </c>
      <c r="H35" s="34" t="s">
        <v>252</v>
      </c>
      <c r="I35" s="25" t="s">
        <v>188</v>
      </c>
      <c r="J35" s="29" t="s">
        <v>18</v>
      </c>
      <c r="K35" s="38">
        <v>78600.0</v>
      </c>
      <c r="L35" s="25" t="s">
        <v>146</v>
      </c>
      <c r="M35" s="50"/>
      <c r="N35" s="41"/>
      <c r="O35" s="50"/>
      <c r="P35" s="50"/>
      <c r="Q35" s="41"/>
    </row>
    <row r="36" ht="22.5" customHeight="1">
      <c r="B36" s="25" t="s">
        <v>15</v>
      </c>
      <c r="C36" s="27">
        <v>46168.0</v>
      </c>
      <c r="D36" s="29" t="s">
        <v>55</v>
      </c>
      <c r="E36" s="27">
        <v>46169.0</v>
      </c>
      <c r="F36" s="27">
        <v>46170.0</v>
      </c>
      <c r="G36" s="34" t="s">
        <v>253</v>
      </c>
      <c r="H36" s="34" t="s">
        <v>254</v>
      </c>
      <c r="I36" s="25" t="s">
        <v>61</v>
      </c>
      <c r="J36" s="29" t="s">
        <v>18</v>
      </c>
      <c r="K36" s="38">
        <v>94500.0</v>
      </c>
      <c r="L36" s="25" t="s">
        <v>152</v>
      </c>
      <c r="M36" s="50"/>
      <c r="N36" s="41"/>
      <c r="O36" s="50"/>
      <c r="P36" s="50"/>
      <c r="Q36" s="41"/>
    </row>
    <row r="37" ht="22.5" customHeight="1">
      <c r="B37" s="25" t="s">
        <v>15</v>
      </c>
      <c r="C37" s="27">
        <v>46168.0</v>
      </c>
      <c r="D37" s="29" t="s">
        <v>55</v>
      </c>
      <c r="E37" s="27">
        <v>46170.0</v>
      </c>
      <c r="F37" s="27">
        <v>46171.0</v>
      </c>
      <c r="G37" s="34" t="s">
        <v>255</v>
      </c>
      <c r="H37" s="34" t="s">
        <v>256</v>
      </c>
      <c r="I37" s="25" t="s">
        <v>61</v>
      </c>
      <c r="J37" s="29" t="s">
        <v>18</v>
      </c>
      <c r="K37" s="38">
        <v>60000.0</v>
      </c>
      <c r="L37" s="25" t="s">
        <v>177</v>
      </c>
      <c r="M37" s="50"/>
      <c r="N37" s="41"/>
      <c r="O37" s="50"/>
      <c r="P37" s="50"/>
      <c r="Q37" s="41"/>
    </row>
    <row r="38" ht="22.5" customHeight="1">
      <c r="B38" s="41"/>
      <c r="C38" s="27">
        <v>46170.0</v>
      </c>
      <c r="D38" s="29" t="s">
        <v>55</v>
      </c>
      <c r="E38" s="27">
        <v>46170.0</v>
      </c>
      <c r="F38" s="27">
        <v>46171.0</v>
      </c>
      <c r="G38" s="34" t="s">
        <v>257</v>
      </c>
      <c r="H38" s="34" t="s">
        <v>258</v>
      </c>
      <c r="I38" s="25" t="s">
        <v>61</v>
      </c>
      <c r="J38" s="29" t="s">
        <v>18</v>
      </c>
      <c r="K38" s="38">
        <v>25000.0</v>
      </c>
      <c r="L38" s="25" t="s">
        <v>152</v>
      </c>
      <c r="M38" s="50"/>
      <c r="N38" s="41"/>
      <c r="O38" s="50"/>
      <c r="P38" s="50"/>
      <c r="Q38" s="41"/>
    </row>
    <row r="39" ht="22.5" customHeight="1">
      <c r="B39" s="41"/>
      <c r="C39" s="27">
        <v>46170.0</v>
      </c>
      <c r="D39" s="29" t="s">
        <v>55</v>
      </c>
      <c r="E39" s="27">
        <v>46170.0</v>
      </c>
      <c r="F39" s="27">
        <v>46171.0</v>
      </c>
      <c r="G39" s="34" t="s">
        <v>259</v>
      </c>
      <c r="H39" s="34" t="s">
        <v>261</v>
      </c>
      <c r="I39" s="25" t="s">
        <v>61</v>
      </c>
      <c r="J39" s="29" t="s">
        <v>18</v>
      </c>
      <c r="K39" s="38">
        <v>80300.0</v>
      </c>
      <c r="L39" s="25" t="s">
        <v>177</v>
      </c>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30.75"/>
    <col customWidth="1" min="9" max="9" width="19.25"/>
    <col customWidth="1" min="10" max="10" width="22.88"/>
    <col customWidth="1" min="11" max="11" width="17.0"/>
    <col customWidth="1" min="12" max="12" width="17.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15</v>
      </c>
      <c r="E3" s="10" t="s">
        <v>17</v>
      </c>
      <c r="F3" s="10" t="s">
        <v>18</v>
      </c>
      <c r="G3" s="11" t="s">
        <v>19</v>
      </c>
      <c r="H3" s="10" t="s">
        <v>20</v>
      </c>
      <c r="I3" s="10" t="s">
        <v>21</v>
      </c>
      <c r="J3" s="10" t="s">
        <v>22</v>
      </c>
      <c r="K3" s="10" t="s">
        <v>23</v>
      </c>
      <c r="L3" s="10" t="s">
        <v>24</v>
      </c>
      <c r="M3" s="10" t="s">
        <v>25</v>
      </c>
      <c r="N3" s="10" t="s">
        <v>26</v>
      </c>
    </row>
    <row r="4" ht="26.25" customHeight="1">
      <c r="D4" s="12" t="s">
        <v>27</v>
      </c>
      <c r="E4" s="13">
        <v>1500000.0</v>
      </c>
      <c r="F4" s="15">
        <f>SUMIFS(OPI_7[MAF NETO],OPI_7[ESTADO],"Desembolsado")</f>
        <v>789451</v>
      </c>
      <c r="G4" s="15">
        <f>F4-E4</f>
        <v>-710549</v>
      </c>
      <c r="H4" s="16">
        <f>SUMIFS(OPI_7[MAF NETO],OPI_7[ESTADO],H$3)</f>
        <v>0</v>
      </c>
      <c r="I4" s="16">
        <f>SUMIFS(OPI_7[MAF NETO],OPI_7[ESTADO],I$3)</f>
        <v>0</v>
      </c>
      <c r="J4" s="16">
        <f>SUMIFS(OPI_7[MAF NETO],OPI_7[ESTADO],J$3)</f>
        <v>0</v>
      </c>
      <c r="K4" s="16">
        <f>SUMIFS(OPI_7[MAF NETO],OPI_7[ESTADO],K$3)</f>
        <v>0</v>
      </c>
      <c r="L4" s="16">
        <f>SUMIFS(OPI_7[MAF NETO],OPI_7[ESTADO],L$3)</f>
        <v>0</v>
      </c>
      <c r="M4" s="16">
        <f>SUMIFS(OPI_7[MAF NETO],OPI_7[ESTADO],M$3)</f>
        <v>0</v>
      </c>
      <c r="N4" s="16">
        <f>SUMIFS(OPI_7[MAF NETO],OPI_7[ESTADO],N$3)</f>
        <v>348600</v>
      </c>
    </row>
    <row r="5" ht="26.25" customHeight="1">
      <c r="D5" s="17" t="s">
        <v>32</v>
      </c>
      <c r="E5" s="18" t="s">
        <v>34</v>
      </c>
      <c r="F5" s="19">
        <f>COUNTIFS(OPI_7[ESTADO],"Desembolsado")</f>
        <v>10</v>
      </c>
      <c r="G5" s="20">
        <f>IFERROR(F4/E4,"")</f>
        <v>0.5263006667</v>
      </c>
      <c r="H5" s="19">
        <f>COUNTIFS(OPI_7[ESTADO],H$3)</f>
        <v>0</v>
      </c>
      <c r="I5" s="19">
        <f>COUNTIFS(OPI_7[ESTADO],I$3)</f>
        <v>0</v>
      </c>
      <c r="J5" s="19">
        <f>COUNTIFS(OPI_7[ESTADO],J$3)</f>
        <v>0</v>
      </c>
      <c r="K5" s="19">
        <f>COUNTIFS(OPI_7[ESTADO],K$3)</f>
        <v>0</v>
      </c>
      <c r="L5" s="19">
        <f>COUNTIFS(OPI_7[ESTADO],L$3)</f>
        <v>0</v>
      </c>
      <c r="M5" s="19">
        <f>COUNTIFS(OPI_7[ESTADO],M$3)</f>
        <v>0</v>
      </c>
      <c r="N5" s="19">
        <f>COUNTIFS(OPI_7[ESTADO],N$3)</f>
        <v>4</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15</v>
      </c>
      <c r="C10" s="27">
        <v>46146.0</v>
      </c>
      <c r="D10" s="29" t="s">
        <v>55</v>
      </c>
      <c r="E10" s="27">
        <v>46148.0</v>
      </c>
      <c r="F10" s="27">
        <v>46150.0</v>
      </c>
      <c r="G10" s="67" t="s">
        <v>260</v>
      </c>
      <c r="H10" s="67" t="s">
        <v>262</v>
      </c>
      <c r="I10" s="25" t="s">
        <v>61</v>
      </c>
      <c r="J10" s="29" t="s">
        <v>18</v>
      </c>
      <c r="K10" s="38">
        <v>91050.0</v>
      </c>
      <c r="L10" s="25" t="s">
        <v>263</v>
      </c>
      <c r="M10" s="29" t="s">
        <v>75</v>
      </c>
      <c r="N10" s="41"/>
      <c r="O10" s="50"/>
      <c r="P10" s="50"/>
      <c r="Q10" s="41"/>
    </row>
    <row r="11" ht="22.5" customHeight="1">
      <c r="B11" s="25" t="s">
        <v>15</v>
      </c>
      <c r="C11" s="27">
        <v>46147.0</v>
      </c>
      <c r="D11" s="29" t="s">
        <v>55</v>
      </c>
      <c r="E11" s="27">
        <v>46150.0</v>
      </c>
      <c r="F11" s="32"/>
      <c r="G11" s="34" t="s">
        <v>264</v>
      </c>
      <c r="H11" s="34" t="s">
        <v>265</v>
      </c>
      <c r="I11" s="25" t="s">
        <v>61</v>
      </c>
      <c r="J11" s="29" t="s">
        <v>18</v>
      </c>
      <c r="K11" s="38">
        <v>78500.0</v>
      </c>
      <c r="L11" s="25" t="s">
        <v>266</v>
      </c>
      <c r="M11" s="29" t="s">
        <v>75</v>
      </c>
      <c r="N11" s="41"/>
      <c r="O11" s="50"/>
      <c r="P11" s="50"/>
      <c r="Q11" s="25" t="s">
        <v>267</v>
      </c>
    </row>
    <row r="12" ht="22.5" customHeight="1">
      <c r="B12" s="25" t="s">
        <v>15</v>
      </c>
      <c r="C12" s="27">
        <v>46148.0</v>
      </c>
      <c r="D12" s="29" t="s">
        <v>55</v>
      </c>
      <c r="E12" s="27">
        <v>46149.0</v>
      </c>
      <c r="F12" s="27">
        <v>46150.0</v>
      </c>
      <c r="G12" s="67" t="s">
        <v>268</v>
      </c>
      <c r="H12" s="67" t="s">
        <v>269</v>
      </c>
      <c r="I12" s="25" t="s">
        <v>270</v>
      </c>
      <c r="J12" s="29" t="s">
        <v>18</v>
      </c>
      <c r="K12" s="38">
        <v>150285.0</v>
      </c>
      <c r="L12" s="25" t="s">
        <v>271</v>
      </c>
      <c r="M12" s="29" t="s">
        <v>75</v>
      </c>
      <c r="N12" s="41"/>
      <c r="O12" s="50"/>
      <c r="P12" s="50"/>
      <c r="Q12" s="41"/>
    </row>
    <row r="13" ht="22.5" customHeight="1">
      <c r="B13" s="25" t="s">
        <v>15</v>
      </c>
      <c r="C13" s="27">
        <v>46149.0</v>
      </c>
      <c r="D13" s="29" t="s">
        <v>55</v>
      </c>
      <c r="E13" s="27">
        <v>46150.0</v>
      </c>
      <c r="F13" s="32"/>
      <c r="G13" s="34" t="s">
        <v>272</v>
      </c>
      <c r="H13" s="34" t="s">
        <v>273</v>
      </c>
      <c r="I13" s="25" t="s">
        <v>274</v>
      </c>
      <c r="J13" s="29" t="s">
        <v>18</v>
      </c>
      <c r="K13" s="38">
        <v>116250.0</v>
      </c>
      <c r="L13" s="25" t="s">
        <v>271</v>
      </c>
      <c r="M13" s="29" t="s">
        <v>75</v>
      </c>
      <c r="N13" s="41"/>
      <c r="O13" s="50"/>
      <c r="P13" s="50"/>
      <c r="Q13" s="41"/>
    </row>
    <row r="14" ht="22.5" customHeight="1">
      <c r="B14" s="25" t="s">
        <v>15</v>
      </c>
      <c r="C14" s="27">
        <v>46150.0</v>
      </c>
      <c r="D14" s="29" t="s">
        <v>55</v>
      </c>
      <c r="E14" s="27">
        <v>46153.0</v>
      </c>
      <c r="F14" s="27">
        <v>46154.0</v>
      </c>
      <c r="G14" s="67" t="s">
        <v>275</v>
      </c>
      <c r="H14" s="34" t="s">
        <v>276</v>
      </c>
      <c r="I14" s="25" t="s">
        <v>61</v>
      </c>
      <c r="J14" s="29" t="s">
        <v>18</v>
      </c>
      <c r="K14" s="38">
        <v>72000.0</v>
      </c>
      <c r="L14" s="25" t="s">
        <v>277</v>
      </c>
      <c r="M14" s="29" t="s">
        <v>75</v>
      </c>
      <c r="N14" s="41"/>
      <c r="O14" s="50"/>
      <c r="P14" s="50"/>
      <c r="Q14" s="41"/>
    </row>
    <row r="15" ht="22.5" customHeight="1">
      <c r="B15" s="25" t="s">
        <v>15</v>
      </c>
      <c r="C15" s="27">
        <v>46154.0</v>
      </c>
      <c r="D15" s="29" t="s">
        <v>55</v>
      </c>
      <c r="E15" s="27">
        <v>46158.0</v>
      </c>
      <c r="F15" s="27">
        <v>46160.0</v>
      </c>
      <c r="G15" s="67" t="s">
        <v>278</v>
      </c>
      <c r="H15" s="34" t="s">
        <v>279</v>
      </c>
      <c r="I15" s="25" t="s">
        <v>280</v>
      </c>
      <c r="J15" s="29" t="s">
        <v>18</v>
      </c>
      <c r="K15" s="38">
        <v>11996.0</v>
      </c>
      <c r="L15" s="25" t="s">
        <v>281</v>
      </c>
      <c r="M15" s="29" t="s">
        <v>65</v>
      </c>
      <c r="N15" s="41"/>
      <c r="O15" s="50"/>
      <c r="P15" s="50"/>
      <c r="Q15" s="41"/>
    </row>
    <row r="16" ht="22.5" customHeight="1">
      <c r="B16" s="25" t="s">
        <v>15</v>
      </c>
      <c r="C16" s="27">
        <v>46155.0</v>
      </c>
      <c r="D16" s="29" t="s">
        <v>55</v>
      </c>
      <c r="E16" s="27">
        <v>46160.0</v>
      </c>
      <c r="F16" s="27">
        <v>46162.0</v>
      </c>
      <c r="G16" s="34" t="s">
        <v>282</v>
      </c>
      <c r="H16" s="34" t="s">
        <v>283</v>
      </c>
      <c r="I16" s="25" t="s">
        <v>274</v>
      </c>
      <c r="J16" s="29" t="s">
        <v>18</v>
      </c>
      <c r="K16" s="38">
        <v>73200.0</v>
      </c>
      <c r="L16" s="25" t="s">
        <v>271</v>
      </c>
      <c r="M16" s="29" t="s">
        <v>75</v>
      </c>
      <c r="N16" s="41"/>
      <c r="O16" s="50"/>
      <c r="P16" s="50"/>
      <c r="Q16" s="41"/>
    </row>
    <row r="17" ht="22.5" customHeight="1">
      <c r="B17" s="25" t="s">
        <v>15</v>
      </c>
      <c r="C17" s="27">
        <v>46156.0</v>
      </c>
      <c r="D17" s="29" t="s">
        <v>55</v>
      </c>
      <c r="E17" s="27">
        <v>46158.0</v>
      </c>
      <c r="F17" s="27">
        <v>46161.0</v>
      </c>
      <c r="G17" s="67" t="s">
        <v>284</v>
      </c>
      <c r="H17" s="34" t="s">
        <v>285</v>
      </c>
      <c r="I17" s="25" t="s">
        <v>166</v>
      </c>
      <c r="J17" s="29" t="s">
        <v>18</v>
      </c>
      <c r="K17" s="38">
        <v>58890.0</v>
      </c>
      <c r="L17" s="25" t="s">
        <v>286</v>
      </c>
      <c r="M17" s="29" t="s">
        <v>75</v>
      </c>
      <c r="N17" s="41"/>
      <c r="O17" s="50"/>
      <c r="P17" s="50"/>
      <c r="Q17" s="41"/>
    </row>
    <row r="18" ht="22.5" customHeight="1">
      <c r="B18" s="25" t="s">
        <v>15</v>
      </c>
      <c r="C18" s="27">
        <v>46160.0</v>
      </c>
      <c r="D18" s="29" t="s">
        <v>55</v>
      </c>
      <c r="E18" s="27">
        <v>46160.0</v>
      </c>
      <c r="F18" s="27">
        <v>46162.0</v>
      </c>
      <c r="G18" s="34" t="s">
        <v>287</v>
      </c>
      <c r="H18" s="34" t="s">
        <v>288</v>
      </c>
      <c r="I18" s="25" t="s">
        <v>274</v>
      </c>
      <c r="J18" s="29" t="s">
        <v>26</v>
      </c>
      <c r="K18" s="38">
        <v>150000.0</v>
      </c>
      <c r="L18" s="25" t="s">
        <v>271</v>
      </c>
      <c r="M18" s="29" t="s">
        <v>75</v>
      </c>
      <c r="N18" s="41"/>
      <c r="O18" s="50"/>
      <c r="P18" s="50"/>
      <c r="Q18" s="41"/>
    </row>
    <row r="19" ht="22.5" customHeight="1">
      <c r="B19" s="25" t="s">
        <v>15</v>
      </c>
      <c r="C19" s="27">
        <v>46160.0</v>
      </c>
      <c r="D19" s="29" t="s">
        <v>55</v>
      </c>
      <c r="E19" s="27">
        <v>46162.0</v>
      </c>
      <c r="F19" s="32"/>
      <c r="G19" s="34" t="s">
        <v>289</v>
      </c>
      <c r="H19" s="34" t="s">
        <v>290</v>
      </c>
      <c r="I19" s="25" t="s">
        <v>291</v>
      </c>
      <c r="J19" s="29" t="s">
        <v>26</v>
      </c>
      <c r="K19" s="38">
        <v>56400.0</v>
      </c>
      <c r="L19" s="25" t="s">
        <v>271</v>
      </c>
      <c r="M19" s="29" t="s">
        <v>75</v>
      </c>
      <c r="N19" s="41"/>
      <c r="O19" s="50"/>
      <c r="P19" s="50"/>
      <c r="Q19" s="41"/>
    </row>
    <row r="20" ht="22.5" customHeight="1">
      <c r="B20" s="25" t="s">
        <v>15</v>
      </c>
      <c r="C20" s="27">
        <v>46161.0</v>
      </c>
      <c r="D20" s="29" t="s">
        <v>55</v>
      </c>
      <c r="E20" s="27">
        <v>46162.0</v>
      </c>
      <c r="F20" s="32"/>
      <c r="G20" s="34" t="s">
        <v>292</v>
      </c>
      <c r="H20" s="34" t="s">
        <v>293</v>
      </c>
      <c r="I20" s="25" t="s">
        <v>294</v>
      </c>
      <c r="J20" s="29" t="s">
        <v>18</v>
      </c>
      <c r="K20" s="38">
        <v>53100.0</v>
      </c>
      <c r="L20" s="25" t="s">
        <v>295</v>
      </c>
      <c r="M20" s="29" t="s">
        <v>75</v>
      </c>
      <c r="N20" s="41"/>
      <c r="O20" s="50"/>
      <c r="P20" s="50"/>
      <c r="Q20" s="41"/>
    </row>
    <row r="21" ht="22.5" customHeight="1">
      <c r="B21" s="25" t="s">
        <v>15</v>
      </c>
      <c r="C21" s="27">
        <v>46164.0</v>
      </c>
      <c r="D21" s="29" t="s">
        <v>55</v>
      </c>
      <c r="E21" s="32"/>
      <c r="F21" s="27">
        <v>46170.0</v>
      </c>
      <c r="G21" s="67" t="s">
        <v>296</v>
      </c>
      <c r="H21" s="34" t="s">
        <v>297</v>
      </c>
      <c r="I21" s="25" t="s">
        <v>188</v>
      </c>
      <c r="J21" s="29" t="s">
        <v>18</v>
      </c>
      <c r="K21" s="38">
        <v>84180.0</v>
      </c>
      <c r="L21" s="25" t="s">
        <v>277</v>
      </c>
      <c r="M21" s="29" t="s">
        <v>75</v>
      </c>
      <c r="N21" s="41"/>
      <c r="O21" s="50"/>
      <c r="P21" s="50"/>
      <c r="Q21" s="41"/>
    </row>
    <row r="22" ht="22.5" customHeight="1">
      <c r="B22" s="25" t="s">
        <v>15</v>
      </c>
      <c r="C22" s="27">
        <v>46168.0</v>
      </c>
      <c r="D22" s="29" t="s">
        <v>115</v>
      </c>
      <c r="E22" s="32"/>
      <c r="F22" s="32"/>
      <c r="G22" s="34" t="s">
        <v>300</v>
      </c>
      <c r="H22" s="34" t="s">
        <v>302</v>
      </c>
      <c r="I22" s="25" t="s">
        <v>294</v>
      </c>
      <c r="J22" s="29" t="s">
        <v>26</v>
      </c>
      <c r="K22" s="38">
        <v>70400.0</v>
      </c>
      <c r="L22" s="25" t="s">
        <v>277</v>
      </c>
      <c r="M22" s="29" t="s">
        <v>75</v>
      </c>
      <c r="N22" s="41"/>
      <c r="O22" s="50"/>
      <c r="P22" s="50"/>
      <c r="Q22" s="41"/>
    </row>
    <row r="23" ht="22.5" customHeight="1">
      <c r="B23" s="25" t="s">
        <v>15</v>
      </c>
      <c r="C23" s="27">
        <v>46168.0</v>
      </c>
      <c r="D23" s="29" t="s">
        <v>55</v>
      </c>
      <c r="E23" s="32"/>
      <c r="F23" s="32"/>
      <c r="G23" s="34" t="s">
        <v>303</v>
      </c>
      <c r="H23" s="34" t="s">
        <v>304</v>
      </c>
      <c r="I23" s="25" t="s">
        <v>61</v>
      </c>
      <c r="J23" s="29" t="s">
        <v>26</v>
      </c>
      <c r="K23" s="38">
        <v>71800.0</v>
      </c>
      <c r="L23" s="25" t="s">
        <v>277</v>
      </c>
      <c r="M23" s="29" t="s">
        <v>75</v>
      </c>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4.75"/>
    <col customWidth="1" min="9" max="9" width="19.25"/>
    <col customWidth="1" min="10" max="10" width="22.88"/>
    <col customWidth="1" min="11" max="11" width="17.0"/>
    <col customWidth="1" min="12" max="12" width="17.38"/>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31</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SUMIFS(OPI_4[MAF NETO],OPI_4[ESTADO],"Desembolsado")</f>
        <v>447530</v>
      </c>
      <c r="G4" s="15">
        <f>F4-E4</f>
        <v>-552470</v>
      </c>
      <c r="H4" s="16">
        <f>SUMIFS(OPI_4[MAF NETO],OPI_4[ESTADO],H$3)</f>
        <v>0</v>
      </c>
      <c r="I4" s="16">
        <f>SUMIFS(OPI_4[MAF NETO],OPI_4[ESTADO],I$3)</f>
        <v>0</v>
      </c>
      <c r="J4" s="16">
        <f>SUMIFS(OPI_4[MAF NETO],OPI_4[ESTADO],J$3)</f>
        <v>0</v>
      </c>
      <c r="K4" s="16">
        <f>SUMIFS(OPI_4[MAF NETO],OPI_4[ESTADO],K$3)</f>
        <v>0</v>
      </c>
      <c r="L4" s="16">
        <f>SUMIFS(OPI_4[MAF NETO],OPI_4[ESTADO],L$3)</f>
        <v>0</v>
      </c>
      <c r="M4" s="16">
        <f>SUMIFS(OPI_4[MAF NETO],OPI_4[ESTADO],M$3)</f>
        <v>0</v>
      </c>
      <c r="N4" s="16">
        <f>SUMIFS(OPI_4[MAF NETO],OPI_4[ESTADO],N$3)</f>
        <v>0</v>
      </c>
    </row>
    <row r="5" ht="26.25" customHeight="1">
      <c r="D5" s="17" t="s">
        <v>32</v>
      </c>
      <c r="E5" s="18" t="s">
        <v>34</v>
      </c>
      <c r="F5" s="19">
        <f>COUNTIFS(OPI_4[ESTADO],"Desembolsado")</f>
        <v>6</v>
      </c>
      <c r="G5" s="20">
        <f>IFERROR(F4/E4,"")</f>
        <v>0.44753</v>
      </c>
      <c r="H5" s="19">
        <f>COUNTIFS(OPI_4[ESTADO],H$3)</f>
        <v>0</v>
      </c>
      <c r="I5" s="19">
        <f>COUNTIFS(OPI_4[ESTADO],I$3)</f>
        <v>0</v>
      </c>
      <c r="J5" s="19">
        <f>COUNTIFS(OPI_4[ESTADO],J$3)</f>
        <v>0</v>
      </c>
      <c r="K5" s="19">
        <f>COUNTIFS(OPI_4[ESTADO],K$3)</f>
        <v>0</v>
      </c>
      <c r="L5" s="19">
        <f>COUNTIFS(OPI_4[ESTADO],L$3)</f>
        <v>0</v>
      </c>
      <c r="M5" s="19">
        <f>COUNTIFS(OPI_4[ESTADO],M$3)</f>
        <v>0</v>
      </c>
      <c r="N5" s="19">
        <f>COUNTIFS(OPI_4[ESTADO],N$3)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31</v>
      </c>
      <c r="C10" s="27">
        <v>46142.0</v>
      </c>
      <c r="D10" s="29" t="s">
        <v>55</v>
      </c>
      <c r="E10" s="27">
        <v>46148.0</v>
      </c>
      <c r="F10" s="27">
        <v>46149.0</v>
      </c>
      <c r="G10" s="34" t="s">
        <v>298</v>
      </c>
      <c r="H10" s="34" t="s">
        <v>299</v>
      </c>
      <c r="I10" s="25" t="s">
        <v>61</v>
      </c>
      <c r="J10" s="29" t="s">
        <v>18</v>
      </c>
      <c r="K10" s="38">
        <v>78500.0</v>
      </c>
      <c r="L10" s="25" t="s">
        <v>301</v>
      </c>
      <c r="M10" s="66"/>
      <c r="N10" s="25"/>
      <c r="O10" s="29" t="s">
        <v>75</v>
      </c>
      <c r="P10" s="50"/>
      <c r="Q10" s="41"/>
    </row>
    <row r="11" ht="22.5" customHeight="1">
      <c r="B11" s="25" t="s">
        <v>31</v>
      </c>
      <c r="C11" s="27">
        <v>46148.0</v>
      </c>
      <c r="D11" s="29" t="s">
        <v>55</v>
      </c>
      <c r="E11" s="27">
        <v>46148.0</v>
      </c>
      <c r="F11" s="27">
        <v>46149.0</v>
      </c>
      <c r="G11" s="34" t="s">
        <v>305</v>
      </c>
      <c r="H11" s="34" t="s">
        <v>306</v>
      </c>
      <c r="I11" s="25" t="s">
        <v>61</v>
      </c>
      <c r="J11" s="29" t="s">
        <v>18</v>
      </c>
      <c r="K11" s="38">
        <v>85640.0</v>
      </c>
      <c r="L11" s="25" t="s">
        <v>301</v>
      </c>
      <c r="M11" s="50"/>
      <c r="N11" s="41"/>
      <c r="O11" s="29" t="s">
        <v>65</v>
      </c>
      <c r="P11" s="50"/>
      <c r="Q11" s="41"/>
    </row>
    <row r="12" ht="22.5" customHeight="1">
      <c r="B12" s="25" t="s">
        <v>31</v>
      </c>
      <c r="C12" s="27">
        <v>46156.0</v>
      </c>
      <c r="D12" s="29" t="s">
        <v>55</v>
      </c>
      <c r="E12" s="27">
        <v>46157.0</v>
      </c>
      <c r="F12" s="27">
        <v>46157.0</v>
      </c>
      <c r="G12" s="34" t="s">
        <v>307</v>
      </c>
      <c r="H12" s="34" t="s">
        <v>308</v>
      </c>
      <c r="I12" s="25" t="s">
        <v>61</v>
      </c>
      <c r="J12" s="29" t="s">
        <v>18</v>
      </c>
      <c r="K12" s="38">
        <v>54420.0</v>
      </c>
      <c r="L12" s="25" t="s">
        <v>301</v>
      </c>
      <c r="M12" s="50"/>
      <c r="N12" s="41"/>
      <c r="O12" s="29" t="s">
        <v>65</v>
      </c>
      <c r="P12" s="50"/>
      <c r="Q12" s="41"/>
    </row>
    <row r="13" ht="22.5" customHeight="1">
      <c r="B13" s="25" t="s">
        <v>31</v>
      </c>
      <c r="C13" s="27">
        <v>46162.0</v>
      </c>
      <c r="D13" s="29" t="s">
        <v>55</v>
      </c>
      <c r="E13" s="27">
        <v>46162.0</v>
      </c>
      <c r="F13" s="27">
        <v>46162.0</v>
      </c>
      <c r="G13" s="34" t="s">
        <v>309</v>
      </c>
      <c r="H13" s="34" t="s">
        <v>310</v>
      </c>
      <c r="I13" s="25" t="s">
        <v>61</v>
      </c>
      <c r="J13" s="29" t="s">
        <v>18</v>
      </c>
      <c r="K13" s="38">
        <v>84770.0</v>
      </c>
      <c r="L13" s="25" t="s">
        <v>301</v>
      </c>
      <c r="M13" s="50"/>
      <c r="N13" s="41"/>
      <c r="O13" s="29" t="s">
        <v>65</v>
      </c>
      <c r="P13" s="50"/>
      <c r="Q13" s="41"/>
    </row>
    <row r="14" ht="22.5" customHeight="1">
      <c r="B14" s="25" t="s">
        <v>31</v>
      </c>
      <c r="C14" s="27">
        <v>46167.0</v>
      </c>
      <c r="D14" s="29" t="s">
        <v>55</v>
      </c>
      <c r="E14" s="27">
        <v>46167.0</v>
      </c>
      <c r="F14" s="27">
        <v>46167.0</v>
      </c>
      <c r="G14" s="34" t="s">
        <v>314</v>
      </c>
      <c r="H14" s="34" t="s">
        <v>316</v>
      </c>
      <c r="I14" s="25" t="s">
        <v>61</v>
      </c>
      <c r="J14" s="29" t="s">
        <v>18</v>
      </c>
      <c r="K14" s="38">
        <v>66200.0</v>
      </c>
      <c r="L14" s="25" t="s">
        <v>301</v>
      </c>
      <c r="M14" s="50"/>
      <c r="N14" s="41"/>
      <c r="O14" s="29" t="s">
        <v>65</v>
      </c>
      <c r="P14" s="50"/>
      <c r="Q14" s="41"/>
    </row>
    <row r="15" ht="22.5" customHeight="1">
      <c r="B15" s="25" t="s">
        <v>31</v>
      </c>
      <c r="C15" s="27">
        <v>46168.0</v>
      </c>
      <c r="D15" s="29" t="s">
        <v>55</v>
      </c>
      <c r="E15" s="27">
        <v>46169.0</v>
      </c>
      <c r="F15" s="27">
        <v>46169.0</v>
      </c>
      <c r="G15" s="34" t="s">
        <v>318</v>
      </c>
      <c r="H15" s="34" t="s">
        <v>319</v>
      </c>
      <c r="I15" s="25" t="s">
        <v>61</v>
      </c>
      <c r="J15" s="29" t="s">
        <v>18</v>
      </c>
      <c r="K15" s="38">
        <v>78000.0</v>
      </c>
      <c r="L15" s="25" t="s">
        <v>301</v>
      </c>
      <c r="M15" s="50"/>
      <c r="N15" s="41"/>
      <c r="O15" s="29" t="s">
        <v>65</v>
      </c>
      <c r="P15" s="50"/>
      <c r="Q15" s="41"/>
    </row>
    <row r="16" ht="22.5" customHeight="1">
      <c r="B16" s="41"/>
      <c r="C16" s="32"/>
      <c r="D16" s="66"/>
      <c r="E16" s="32"/>
      <c r="F16" s="32"/>
      <c r="G16" s="67"/>
      <c r="H16" s="67"/>
      <c r="I16" s="41"/>
      <c r="J16" s="50"/>
      <c r="K16" s="38">
        <v>0.0</v>
      </c>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37.25"/>
    <col customWidth="1" min="9" max="9" width="19.25"/>
    <col customWidth="1" min="10" max="10" width="22.88"/>
    <col customWidth="1" min="11" max="11" width="17.0"/>
    <col customWidth="1" min="12" max="12" width="26.38"/>
    <col customWidth="1" min="13" max="13" width="26.0"/>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15</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SUMIFS(OPI_8[MAF NETO],OPI_8[ESTADO],"Desembolsado")</f>
        <v>444390</v>
      </c>
      <c r="G4" s="15">
        <f>F4-E4</f>
        <v>-555610</v>
      </c>
      <c r="H4" s="16">
        <f>SUMIFS(OPI_8[MAF NETO],OPI_8[ESTADO],H$3)</f>
        <v>0</v>
      </c>
      <c r="I4" s="16">
        <f>SUMIFS(OPI_8[MAF NETO],OPI_8[ESTADO],I$3)</f>
        <v>0</v>
      </c>
      <c r="J4" s="16">
        <f>SUMIFS(OPI_8[MAF NETO],OPI_8[ESTADO],J$3)</f>
        <v>0</v>
      </c>
      <c r="K4" s="16">
        <f>SUMIFS(OPI_8[MAF NETO],OPI_8[ESTADO],K$3)</f>
        <v>0</v>
      </c>
      <c r="L4" s="16">
        <f>SUMIFS(OPI_8[MAF NETO],OPI_8[ESTADO],L$3)</f>
        <v>0</v>
      </c>
      <c r="M4" s="16">
        <f>SUMIFS(OPI_8[MAF NETO],OPI_8[ESTADO],M$3)</f>
        <v>0</v>
      </c>
      <c r="N4" s="16">
        <f>SUMIFS(OPI_8[MAF NETO],OPI_8[ESTADO],N$3)</f>
        <v>189670</v>
      </c>
    </row>
    <row r="5" ht="26.25" customHeight="1">
      <c r="D5" s="17" t="s">
        <v>32</v>
      </c>
      <c r="E5" s="18" t="s">
        <v>34</v>
      </c>
      <c r="F5" s="19">
        <f>COUNTIFS(OPI_8[ESTADO],"Desembolsado")</f>
        <v>6</v>
      </c>
      <c r="G5" s="20">
        <f>IFERROR(F4/E4,"")</f>
        <v>0.44439</v>
      </c>
      <c r="H5" s="19">
        <f>COUNTIFS(OPI_8[ESTADO],H$3)</f>
        <v>0</v>
      </c>
      <c r="I5" s="19">
        <f>COUNTIFS(OPI_8[ESTADO],I$3)</f>
        <v>0</v>
      </c>
      <c r="J5" s="19">
        <f>COUNTIFS(OPI_8[ESTADO],J$3)</f>
        <v>0</v>
      </c>
      <c r="K5" s="19">
        <f>COUNTIFS(OPI_8[ESTADO],K$3)</f>
        <v>0</v>
      </c>
      <c r="L5" s="19">
        <f>COUNTIFS(OPI_8[ESTADO],L$3)</f>
        <v>0</v>
      </c>
      <c r="M5" s="19">
        <f>COUNTIFS(OPI_8[ESTADO],M$3)</f>
        <v>0</v>
      </c>
      <c r="N5" s="19">
        <f>COUNTIFS(OPI_8[ESTADO],N$3)</f>
        <v>3</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15</v>
      </c>
      <c r="C10" s="27">
        <v>46140.0</v>
      </c>
      <c r="D10" s="29" t="s">
        <v>55</v>
      </c>
      <c r="E10" s="27">
        <v>46146.0</v>
      </c>
      <c r="F10" s="27">
        <v>46147.0</v>
      </c>
      <c r="G10" s="34" t="s">
        <v>311</v>
      </c>
      <c r="H10" s="34" t="s">
        <v>312</v>
      </c>
      <c r="I10" s="25" t="s">
        <v>151</v>
      </c>
      <c r="J10" s="29" t="s">
        <v>18</v>
      </c>
      <c r="K10" s="38">
        <v>76660.0</v>
      </c>
      <c r="L10" s="25" t="s">
        <v>313</v>
      </c>
      <c r="M10" s="66"/>
      <c r="N10" s="41"/>
      <c r="O10" s="29" t="s">
        <v>65</v>
      </c>
      <c r="P10" s="50"/>
      <c r="Q10" s="41"/>
    </row>
    <row r="11" ht="22.5" customHeight="1">
      <c r="B11" s="25" t="s">
        <v>15</v>
      </c>
      <c r="C11" s="27">
        <v>46147.0</v>
      </c>
      <c r="D11" s="29" t="s">
        <v>83</v>
      </c>
      <c r="E11" s="32"/>
      <c r="F11" s="32"/>
      <c r="G11" s="34" t="s">
        <v>315</v>
      </c>
      <c r="H11" s="34" t="s">
        <v>317</v>
      </c>
      <c r="I11" s="25" t="s">
        <v>90</v>
      </c>
      <c r="J11" s="29" t="s">
        <v>26</v>
      </c>
      <c r="K11" s="38">
        <v>74100.0</v>
      </c>
      <c r="L11" s="25" t="s">
        <v>313</v>
      </c>
      <c r="M11" s="50"/>
      <c r="N11" s="41"/>
      <c r="O11" s="50"/>
      <c r="P11" s="50"/>
      <c r="Q11" s="25" t="s">
        <v>320</v>
      </c>
    </row>
    <row r="12" ht="22.5" customHeight="1">
      <c r="B12" s="25" t="s">
        <v>15</v>
      </c>
      <c r="C12" s="27">
        <v>46150.0</v>
      </c>
      <c r="D12" s="29" t="s">
        <v>55</v>
      </c>
      <c r="E12" s="27">
        <v>46153.0</v>
      </c>
      <c r="F12" s="27">
        <v>46154.0</v>
      </c>
      <c r="G12" s="34" t="s">
        <v>321</v>
      </c>
      <c r="H12" s="34" t="s">
        <v>322</v>
      </c>
      <c r="I12" s="25" t="s">
        <v>61</v>
      </c>
      <c r="J12" s="29" t="s">
        <v>18</v>
      </c>
      <c r="K12" s="38">
        <v>65000.0</v>
      </c>
      <c r="L12" s="25" t="s">
        <v>323</v>
      </c>
      <c r="M12" s="50"/>
      <c r="N12" s="41"/>
      <c r="O12" s="50"/>
      <c r="P12" s="50"/>
      <c r="Q12" s="41"/>
    </row>
    <row r="13" ht="22.5" customHeight="1">
      <c r="B13" s="25" t="s">
        <v>15</v>
      </c>
      <c r="C13" s="27">
        <v>46155.0</v>
      </c>
      <c r="D13" s="29" t="s">
        <v>55</v>
      </c>
      <c r="E13" s="27">
        <v>46156.0</v>
      </c>
      <c r="F13" s="27">
        <v>46157.0</v>
      </c>
      <c r="G13" s="34" t="s">
        <v>324</v>
      </c>
      <c r="H13" s="34" t="s">
        <v>325</v>
      </c>
      <c r="I13" s="25" t="s">
        <v>90</v>
      </c>
      <c r="J13" s="29" t="s">
        <v>18</v>
      </c>
      <c r="K13" s="38">
        <v>89000.0</v>
      </c>
      <c r="L13" s="25" t="s">
        <v>313</v>
      </c>
      <c r="M13" s="29" t="s">
        <v>65</v>
      </c>
      <c r="N13" s="99">
        <v>46162.0</v>
      </c>
      <c r="O13" s="50"/>
      <c r="P13" s="50"/>
      <c r="Q13" s="41"/>
    </row>
    <row r="14" ht="22.5" customHeight="1">
      <c r="B14" s="25" t="s">
        <v>15</v>
      </c>
      <c r="C14" s="27">
        <v>46156.0</v>
      </c>
      <c r="D14" s="29" t="s">
        <v>55</v>
      </c>
      <c r="E14" s="27">
        <v>46160.0</v>
      </c>
      <c r="F14" s="27">
        <v>46160.0</v>
      </c>
      <c r="G14" s="34" t="s">
        <v>326</v>
      </c>
      <c r="H14" s="34" t="s">
        <v>327</v>
      </c>
      <c r="I14" s="25" t="s">
        <v>61</v>
      </c>
      <c r="J14" s="29" t="s">
        <v>18</v>
      </c>
      <c r="K14" s="38">
        <v>86390.0</v>
      </c>
      <c r="L14" s="25" t="s">
        <v>323</v>
      </c>
      <c r="M14" s="50"/>
      <c r="N14" s="41"/>
      <c r="O14" s="50"/>
      <c r="P14" s="50"/>
      <c r="Q14" s="41"/>
    </row>
    <row r="15" ht="22.5" customHeight="1">
      <c r="B15" s="25" t="s">
        <v>15</v>
      </c>
      <c r="C15" s="27">
        <v>46160.0</v>
      </c>
      <c r="D15" s="29" t="s">
        <v>55</v>
      </c>
      <c r="E15" s="27">
        <v>46161.0</v>
      </c>
      <c r="F15" s="27">
        <v>46162.0</v>
      </c>
      <c r="G15" s="34" t="s">
        <v>328</v>
      </c>
      <c r="H15" s="34" t="s">
        <v>329</v>
      </c>
      <c r="I15" s="25" t="s">
        <v>61</v>
      </c>
      <c r="J15" s="29" t="s">
        <v>18</v>
      </c>
      <c r="K15" s="38">
        <v>66500.0</v>
      </c>
      <c r="L15" s="25" t="s">
        <v>323</v>
      </c>
      <c r="M15" s="50"/>
      <c r="N15" s="41"/>
      <c r="O15" s="50"/>
      <c r="P15" s="50"/>
      <c r="Q15" s="41"/>
    </row>
    <row r="16" ht="22.5" customHeight="1">
      <c r="B16" s="25" t="s">
        <v>15</v>
      </c>
      <c r="C16" s="27">
        <v>46161.0</v>
      </c>
      <c r="D16" s="29" t="s">
        <v>55</v>
      </c>
      <c r="E16" s="27">
        <v>46161.0</v>
      </c>
      <c r="F16" s="32"/>
      <c r="G16" s="34" t="s">
        <v>330</v>
      </c>
      <c r="H16" s="34" t="s">
        <v>331</v>
      </c>
      <c r="I16" s="25" t="s">
        <v>166</v>
      </c>
      <c r="J16" s="29" t="s">
        <v>26</v>
      </c>
      <c r="K16" s="38">
        <v>72980.0</v>
      </c>
      <c r="L16" s="25" t="s">
        <v>323</v>
      </c>
      <c r="M16" s="50"/>
      <c r="N16" s="41"/>
      <c r="O16" s="50"/>
      <c r="P16" s="50"/>
      <c r="Q16" s="41"/>
    </row>
    <row r="17" ht="22.5" customHeight="1">
      <c r="B17" s="25" t="s">
        <v>15</v>
      </c>
      <c r="C17" s="27">
        <v>46162.0</v>
      </c>
      <c r="D17" s="29" t="s">
        <v>55</v>
      </c>
      <c r="E17" s="27">
        <v>46162.0</v>
      </c>
      <c r="F17" s="27">
        <v>46164.0</v>
      </c>
      <c r="G17" s="34" t="s">
        <v>332</v>
      </c>
      <c r="H17" s="34" t="s">
        <v>333</v>
      </c>
      <c r="I17" s="25" t="s">
        <v>61</v>
      </c>
      <c r="J17" s="29" t="s">
        <v>18</v>
      </c>
      <c r="K17" s="38">
        <v>60840.0</v>
      </c>
      <c r="L17" s="25" t="s">
        <v>313</v>
      </c>
      <c r="M17" s="50"/>
      <c r="N17" s="41"/>
      <c r="O17" s="50"/>
      <c r="P17" s="50"/>
      <c r="Q17" s="41"/>
    </row>
    <row r="18" ht="22.5" customHeight="1">
      <c r="B18" s="25" t="s">
        <v>15</v>
      </c>
      <c r="C18" s="27">
        <v>46169.0</v>
      </c>
      <c r="D18" s="29" t="s">
        <v>55</v>
      </c>
      <c r="E18" s="27">
        <v>46169.0</v>
      </c>
      <c r="F18" s="32"/>
      <c r="G18" s="34" t="s">
        <v>334</v>
      </c>
      <c r="H18" s="34" t="s">
        <v>335</v>
      </c>
      <c r="I18" s="25" t="s">
        <v>61</v>
      </c>
      <c r="J18" s="29" t="s">
        <v>26</v>
      </c>
      <c r="K18" s="38">
        <v>42590.0</v>
      </c>
      <c r="L18" s="25" t="s">
        <v>313</v>
      </c>
      <c r="M18" s="50"/>
      <c r="N18" s="41"/>
      <c r="O18" s="50"/>
      <c r="P18" s="50"/>
      <c r="Q18" s="41"/>
    </row>
    <row r="19" ht="22.5" customHeight="1">
      <c r="B19" s="41"/>
      <c r="C19" s="32"/>
      <c r="D19" s="66"/>
      <c r="E19" s="32"/>
      <c r="F19" s="32"/>
      <c r="G19" s="67"/>
      <c r="H19" s="34" t="s">
        <v>336</v>
      </c>
      <c r="I19" s="41"/>
      <c r="J19" s="50"/>
      <c r="K19" s="38">
        <v>0.0</v>
      </c>
      <c r="L19" s="25" t="s">
        <v>337</v>
      </c>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32.88"/>
    <col customWidth="1" min="9" max="9" width="19.25"/>
    <col customWidth="1" min="10" max="10" width="22.88"/>
    <col customWidth="1" min="11" max="11" width="17.0"/>
    <col customWidth="1" min="12" max="12" width="17.38"/>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15</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SUMIFS(OPI_6[MAF NETO],OPI_6[ESTADO],"Desembolsado")</f>
        <v>292600</v>
      </c>
      <c r="G4" s="15">
        <f>F4-E4</f>
        <v>-707400</v>
      </c>
      <c r="H4" s="16">
        <f>SUMIFS(OPI_6[MAF NETO],OPI_6[ESTADO],H$3)</f>
        <v>0</v>
      </c>
      <c r="I4" s="16">
        <f>SUMIFS(OPI_6[MAF NETO],OPI_6[ESTADO],I$3)</f>
        <v>0</v>
      </c>
      <c r="J4" s="16">
        <f>SUMIFS(OPI_6[MAF NETO],OPI_6[ESTADO],J$3)</f>
        <v>0</v>
      </c>
      <c r="K4" s="16">
        <f>SUMIFS(OPI_6[MAF NETO],OPI_6[ESTADO],K$3)</f>
        <v>0</v>
      </c>
      <c r="L4" s="16">
        <f>SUMIFS(OPI_6[MAF NETO],OPI_6[ESTADO],L$3)</f>
        <v>0</v>
      </c>
      <c r="M4" s="16">
        <f>SUMIFS(OPI_6[MAF NETO],OPI_6[ESTADO],M$3)</f>
        <v>0</v>
      </c>
      <c r="N4" s="16">
        <f>SUMIFS(OPI_6[MAF NETO],OPI_6[ESTADO],N$3)</f>
        <v>412590</v>
      </c>
    </row>
    <row r="5" ht="26.25" customHeight="1">
      <c r="D5" s="17" t="s">
        <v>32</v>
      </c>
      <c r="E5" s="18" t="s">
        <v>34</v>
      </c>
      <c r="F5" s="19">
        <f>COUNTIFS(OPI_6[ESTADO],"Desembolsado")</f>
        <v>6</v>
      </c>
      <c r="G5" s="20">
        <f>IFERROR(F4/E4,"")</f>
        <v>0.2926</v>
      </c>
      <c r="H5" s="19">
        <f>COUNTIFS(OPI_6[ESTADO],H$3)</f>
        <v>0</v>
      </c>
      <c r="I5" s="19">
        <f>COUNTIFS(OPI_6[ESTADO],I$3)</f>
        <v>0</v>
      </c>
      <c r="J5" s="19">
        <f>COUNTIFS(OPI_6[ESTADO],J$3)</f>
        <v>0</v>
      </c>
      <c r="K5" s="19">
        <f>COUNTIFS(OPI_6[ESTADO],K$3)</f>
        <v>0</v>
      </c>
      <c r="L5" s="19">
        <f>COUNTIFS(OPI_6[ESTADO],L$3)</f>
        <v>0</v>
      </c>
      <c r="M5" s="19">
        <f>COUNTIFS(OPI_6[ESTADO],M$3)</f>
        <v>0</v>
      </c>
      <c r="N5" s="19">
        <f>COUNTIFS(OPI_6[ESTADO],N$3)</f>
        <v>6</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15</v>
      </c>
      <c r="C10" s="27">
        <v>46147.0</v>
      </c>
      <c r="D10" s="29" t="s">
        <v>83</v>
      </c>
      <c r="E10" s="25">
        <v>0.0</v>
      </c>
      <c r="F10" s="32"/>
      <c r="G10" s="34" t="s">
        <v>338</v>
      </c>
      <c r="H10" s="100" t="s">
        <v>339</v>
      </c>
      <c r="I10" s="25" t="s">
        <v>61</v>
      </c>
      <c r="J10" s="29" t="s">
        <v>26</v>
      </c>
      <c r="K10" s="38">
        <v>45000.0</v>
      </c>
      <c r="L10" s="25" t="s">
        <v>340</v>
      </c>
      <c r="M10" s="29" t="s">
        <v>75</v>
      </c>
      <c r="N10" s="41"/>
      <c r="O10" s="50"/>
      <c r="P10" s="50"/>
      <c r="Q10" s="25" t="s">
        <v>341</v>
      </c>
    </row>
    <row r="11" ht="22.5" customHeight="1">
      <c r="B11" s="25" t="s">
        <v>342</v>
      </c>
      <c r="C11" s="27">
        <v>46147.0</v>
      </c>
      <c r="D11" s="29" t="s">
        <v>55</v>
      </c>
      <c r="E11" s="32"/>
      <c r="F11" s="32"/>
      <c r="G11" s="34" t="s">
        <v>343</v>
      </c>
      <c r="H11" s="34" t="s">
        <v>344</v>
      </c>
      <c r="I11" s="25" t="s">
        <v>188</v>
      </c>
      <c r="J11" s="29" t="s">
        <v>26</v>
      </c>
      <c r="K11" s="38">
        <v>88700.0</v>
      </c>
      <c r="L11" s="25" t="s">
        <v>340</v>
      </c>
      <c r="M11" s="50"/>
      <c r="N11" s="41"/>
      <c r="O11" s="50"/>
      <c r="P11" s="50"/>
      <c r="Q11" s="41"/>
    </row>
    <row r="12" ht="22.5" customHeight="1">
      <c r="B12" s="25" t="s">
        <v>15</v>
      </c>
      <c r="C12" s="27">
        <v>46148.0</v>
      </c>
      <c r="D12" s="29" t="s">
        <v>83</v>
      </c>
      <c r="E12" s="32"/>
      <c r="F12" s="32"/>
      <c r="G12" s="34" t="s">
        <v>345</v>
      </c>
      <c r="H12" s="34" t="s">
        <v>346</v>
      </c>
      <c r="I12" s="25" t="s">
        <v>188</v>
      </c>
      <c r="J12" s="29" t="s">
        <v>26</v>
      </c>
      <c r="K12" s="38">
        <v>75900.0</v>
      </c>
      <c r="L12" s="25" t="s">
        <v>340</v>
      </c>
      <c r="M12" s="50"/>
      <c r="N12" s="41"/>
      <c r="O12" s="50"/>
      <c r="P12" s="50"/>
      <c r="Q12" s="25" t="s">
        <v>347</v>
      </c>
    </row>
    <row r="13" ht="22.5" customHeight="1">
      <c r="B13" s="25" t="s">
        <v>15</v>
      </c>
      <c r="C13" s="27">
        <v>46149.0</v>
      </c>
      <c r="D13" s="66"/>
      <c r="E13" s="32"/>
      <c r="F13" s="32"/>
      <c r="G13" s="34" t="s">
        <v>348</v>
      </c>
      <c r="H13" s="34" t="s">
        <v>349</v>
      </c>
      <c r="I13" s="25" t="s">
        <v>166</v>
      </c>
      <c r="J13" s="29" t="s">
        <v>26</v>
      </c>
      <c r="K13" s="38">
        <v>50000.0</v>
      </c>
      <c r="L13" s="25" t="s">
        <v>350</v>
      </c>
      <c r="M13" s="50"/>
      <c r="N13" s="41"/>
      <c r="O13" s="50"/>
      <c r="P13" s="50"/>
      <c r="Q13" s="25" t="s">
        <v>351</v>
      </c>
    </row>
    <row r="14" ht="22.5" customHeight="1">
      <c r="B14" s="25" t="s">
        <v>15</v>
      </c>
      <c r="C14" s="27">
        <v>46157.0</v>
      </c>
      <c r="D14" s="29" t="s">
        <v>55</v>
      </c>
      <c r="E14" s="25" t="s">
        <v>352</v>
      </c>
      <c r="F14" s="27">
        <v>46164.0</v>
      </c>
      <c r="G14" s="34" t="s">
        <v>353</v>
      </c>
      <c r="H14" s="34" t="s">
        <v>354</v>
      </c>
      <c r="I14" s="25" t="s">
        <v>188</v>
      </c>
      <c r="J14" s="29" t="s">
        <v>18</v>
      </c>
      <c r="K14" s="38">
        <v>61900.0</v>
      </c>
      <c r="L14" s="25" t="s">
        <v>340</v>
      </c>
      <c r="M14" s="29" t="s">
        <v>65</v>
      </c>
      <c r="N14" s="41"/>
      <c r="O14" s="50"/>
      <c r="P14" s="50"/>
      <c r="Q14" s="25" t="s">
        <v>34</v>
      </c>
    </row>
    <row r="15" ht="22.5" customHeight="1">
      <c r="B15" s="25" t="s">
        <v>15</v>
      </c>
      <c r="C15" s="27">
        <v>46154.0</v>
      </c>
      <c r="D15" s="29" t="s">
        <v>55</v>
      </c>
      <c r="E15" s="27">
        <v>46154.0</v>
      </c>
      <c r="F15" s="27">
        <v>46155.0</v>
      </c>
      <c r="G15" s="34" t="s">
        <v>355</v>
      </c>
      <c r="H15" s="34" t="s">
        <v>356</v>
      </c>
      <c r="I15" s="25" t="s">
        <v>61</v>
      </c>
      <c r="J15" s="29" t="s">
        <v>18</v>
      </c>
      <c r="K15" s="38">
        <v>80900.0</v>
      </c>
      <c r="L15" s="25" t="s">
        <v>357</v>
      </c>
      <c r="M15" s="29" t="s">
        <v>65</v>
      </c>
      <c r="N15" s="41"/>
      <c r="O15" s="50"/>
      <c r="P15" s="50"/>
      <c r="Q15" s="41"/>
    </row>
    <row r="16" ht="22.5" customHeight="1">
      <c r="B16" s="25" t="s">
        <v>358</v>
      </c>
      <c r="C16" s="27">
        <v>46161.0</v>
      </c>
      <c r="D16" s="29" t="s">
        <v>55</v>
      </c>
      <c r="E16" s="27">
        <v>46164.0</v>
      </c>
      <c r="F16" s="27">
        <v>46165.0</v>
      </c>
      <c r="G16" s="34" t="s">
        <v>359</v>
      </c>
      <c r="H16" s="34" t="s">
        <v>360</v>
      </c>
      <c r="I16" s="25" t="s">
        <v>361</v>
      </c>
      <c r="J16" s="29" t="s">
        <v>18</v>
      </c>
      <c r="K16" s="38">
        <v>50000.0</v>
      </c>
      <c r="L16" s="25" t="s">
        <v>350</v>
      </c>
      <c r="M16" s="29" t="s">
        <v>65</v>
      </c>
      <c r="N16" s="41"/>
      <c r="O16" s="50"/>
      <c r="P16" s="50"/>
      <c r="Q16" s="25" t="s">
        <v>362</v>
      </c>
    </row>
    <row r="17" ht="22.5" customHeight="1">
      <c r="B17" s="25" t="s">
        <v>15</v>
      </c>
      <c r="C17" s="27">
        <v>46161.0</v>
      </c>
      <c r="D17" s="29" t="s">
        <v>115</v>
      </c>
      <c r="E17" s="27">
        <v>46161.0</v>
      </c>
      <c r="F17" s="32"/>
      <c r="G17" s="34" t="s">
        <v>363</v>
      </c>
      <c r="H17" s="34" t="s">
        <v>364</v>
      </c>
      <c r="I17" s="25" t="s">
        <v>166</v>
      </c>
      <c r="J17" s="29" t="s">
        <v>26</v>
      </c>
      <c r="K17" s="38">
        <v>63000.0</v>
      </c>
      <c r="L17" s="25" t="s">
        <v>350</v>
      </c>
      <c r="M17" s="50"/>
      <c r="N17" s="41"/>
      <c r="O17" s="50"/>
      <c r="P17" s="50"/>
      <c r="Q17" s="25" t="s">
        <v>365</v>
      </c>
    </row>
    <row r="18" ht="22.5" customHeight="1">
      <c r="B18" s="25" t="s">
        <v>15</v>
      </c>
      <c r="C18" s="27">
        <v>46167.0</v>
      </c>
      <c r="D18" s="29" t="s">
        <v>55</v>
      </c>
      <c r="E18" s="27">
        <v>46167.0</v>
      </c>
      <c r="F18" s="27">
        <v>46169.0</v>
      </c>
      <c r="G18" s="34" t="s">
        <v>366</v>
      </c>
      <c r="H18" s="34" t="s">
        <v>367</v>
      </c>
      <c r="I18" s="25" t="s">
        <v>61</v>
      </c>
      <c r="J18" s="29" t="s">
        <v>18</v>
      </c>
      <c r="K18" s="38">
        <v>12000.0</v>
      </c>
      <c r="L18" s="25" t="s">
        <v>340</v>
      </c>
      <c r="M18" s="29" t="s">
        <v>65</v>
      </c>
      <c r="N18" s="41"/>
      <c r="O18" s="50"/>
      <c r="P18" s="50"/>
      <c r="Q18" s="41"/>
    </row>
    <row r="19" ht="22.5" customHeight="1">
      <c r="B19" s="25" t="s">
        <v>15</v>
      </c>
      <c r="C19" s="27">
        <v>46167.0</v>
      </c>
      <c r="D19" s="29" t="s">
        <v>115</v>
      </c>
      <c r="E19" s="27">
        <v>46167.0</v>
      </c>
      <c r="F19" s="32"/>
      <c r="G19" s="34" t="s">
        <v>368</v>
      </c>
      <c r="H19" s="34" t="s">
        <v>369</v>
      </c>
      <c r="I19" s="25" t="s">
        <v>61</v>
      </c>
      <c r="J19" s="29" t="s">
        <v>26</v>
      </c>
      <c r="K19" s="38">
        <v>89990.0</v>
      </c>
      <c r="L19" s="25" t="s">
        <v>357</v>
      </c>
      <c r="M19" s="50"/>
      <c r="N19" s="41"/>
      <c r="O19" s="50"/>
      <c r="P19" s="50"/>
      <c r="Q19" s="41"/>
    </row>
    <row r="20" ht="22.5" customHeight="1">
      <c r="B20" s="25" t="s">
        <v>15</v>
      </c>
      <c r="C20" s="27">
        <v>46169.0</v>
      </c>
      <c r="D20" s="29" t="s">
        <v>55</v>
      </c>
      <c r="E20" s="27">
        <v>46169.0</v>
      </c>
      <c r="F20" s="27">
        <v>46171.0</v>
      </c>
      <c r="G20" s="34" t="s">
        <v>370</v>
      </c>
      <c r="H20" s="34" t="s">
        <v>371</v>
      </c>
      <c r="I20" s="25" t="s">
        <v>61</v>
      </c>
      <c r="J20" s="29" t="s">
        <v>18</v>
      </c>
      <c r="K20" s="38">
        <v>48000.0</v>
      </c>
      <c r="L20" s="25" t="s">
        <v>372</v>
      </c>
      <c r="M20" s="29" t="s">
        <v>65</v>
      </c>
      <c r="N20" s="41"/>
      <c r="O20" s="50"/>
      <c r="P20" s="50"/>
      <c r="Q20" s="41"/>
    </row>
    <row r="21" ht="22.5" customHeight="1">
      <c r="B21" s="25" t="s">
        <v>15</v>
      </c>
      <c r="C21" s="27">
        <v>46170.0</v>
      </c>
      <c r="D21" s="29" t="s">
        <v>55</v>
      </c>
      <c r="E21" s="27">
        <v>46170.0</v>
      </c>
      <c r="F21" s="27">
        <v>46172.0</v>
      </c>
      <c r="G21" s="34" t="s">
        <v>373</v>
      </c>
      <c r="H21" s="34" t="s">
        <v>374</v>
      </c>
      <c r="I21" s="25" t="s">
        <v>375</v>
      </c>
      <c r="J21" s="29" t="s">
        <v>18</v>
      </c>
      <c r="K21" s="38">
        <v>39800.0</v>
      </c>
      <c r="L21" s="25" t="s">
        <v>350</v>
      </c>
      <c r="M21" s="29" t="s">
        <v>65</v>
      </c>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36.0"/>
    <col customWidth="1" min="9" max="9" width="19.25"/>
    <col customWidth="1" min="10" max="10" width="22.88"/>
    <col customWidth="1" min="11" max="11" width="17.0"/>
    <col customWidth="1" min="12" max="12" width="14.38"/>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15</v>
      </c>
      <c r="E3" s="10" t="s">
        <v>17</v>
      </c>
      <c r="F3" s="10" t="s">
        <v>18</v>
      </c>
      <c r="G3" s="11" t="s">
        <v>19</v>
      </c>
      <c r="H3" s="10" t="s">
        <v>20</v>
      </c>
      <c r="I3" s="10" t="s">
        <v>21</v>
      </c>
      <c r="J3" s="10" t="s">
        <v>22</v>
      </c>
      <c r="K3" s="10" t="s">
        <v>23</v>
      </c>
      <c r="L3" s="10" t="s">
        <v>24</v>
      </c>
      <c r="M3" s="10" t="s">
        <v>25</v>
      </c>
      <c r="N3" s="10" t="s">
        <v>26</v>
      </c>
    </row>
    <row r="4" ht="26.25" customHeight="1">
      <c r="D4" s="12" t="s">
        <v>27</v>
      </c>
      <c r="E4" s="13">
        <v>1500000.0</v>
      </c>
      <c r="F4" s="15">
        <f>SUMIFS(OPI_10[MAF NETO],OPI_10[ESTADO],"Desembolsado")</f>
        <v>2081240</v>
      </c>
      <c r="G4" s="15">
        <f>F4-E4</f>
        <v>581240</v>
      </c>
      <c r="H4" s="16">
        <f>SUMIFS(OPI_10[MAF NETO],OPI_10[ESTADO],H$3)</f>
        <v>0</v>
      </c>
      <c r="I4" s="16">
        <f>SUMIFS(OPI_10[MAF NETO],OPI_10[ESTADO],I$3)</f>
        <v>0</v>
      </c>
      <c r="J4" s="16">
        <f>SUMIFS(OPI_10[MAF NETO],OPI_10[ESTADO],J$3)</f>
        <v>0</v>
      </c>
      <c r="K4" s="16">
        <f>SUMIFS(OPI_10[MAF NETO],OPI_10[ESTADO],K$3)</f>
        <v>0</v>
      </c>
      <c r="L4" s="16">
        <f>SUMIFS(OPI_10[MAF NETO],OPI_10[ESTADO],L$3)</f>
        <v>0</v>
      </c>
      <c r="M4" s="16">
        <f>SUMIFS(OPI_10[MAF NETO],OPI_10[ESTADO],M$3)</f>
        <v>0</v>
      </c>
      <c r="N4" s="16">
        <f>SUMIFS(OPI_10[MAF NETO],OPI_10[ESTADO],N$3)</f>
        <v>0</v>
      </c>
    </row>
    <row r="5" ht="26.25" customHeight="1">
      <c r="D5" s="17" t="s">
        <v>32</v>
      </c>
      <c r="E5" s="18" t="s">
        <v>34</v>
      </c>
      <c r="F5" s="19">
        <f>COUNTIFS(OPI_10[ESTADO],"Desembolsado")</f>
        <v>28</v>
      </c>
      <c r="G5" s="20">
        <f>IFERROR(F4/E4,"")</f>
        <v>1.387493333</v>
      </c>
      <c r="H5" s="19">
        <f>COUNTIFS(OPI_10[ESTADO],H$3)</f>
        <v>0</v>
      </c>
      <c r="I5" s="19">
        <f>COUNTIFS(OPI_10[ESTADO],I$3)</f>
        <v>0</v>
      </c>
      <c r="J5" s="19">
        <f>COUNTIFS(OPI_10[ESTADO],J$3)</f>
        <v>0</v>
      </c>
      <c r="K5" s="19">
        <f>COUNTIFS(OPI_10[ESTADO],K$3)</f>
        <v>0</v>
      </c>
      <c r="L5" s="19">
        <f>COUNTIFS(OPI_10[ESTADO],L$3)</f>
        <v>0</v>
      </c>
      <c r="M5" s="19">
        <f>COUNTIFS(OPI_10[ESTADO],M$3)</f>
        <v>1</v>
      </c>
      <c r="N5" s="19">
        <f>COUNTIFS(OPI_10[ESTADO],N$3)</f>
        <v>1</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376</v>
      </c>
      <c r="C10" s="27">
        <v>46139.0</v>
      </c>
      <c r="D10" s="29" t="s">
        <v>55</v>
      </c>
      <c r="E10" s="27">
        <v>46140.0</v>
      </c>
      <c r="F10" s="27">
        <v>46146.0</v>
      </c>
      <c r="G10" s="34" t="s">
        <v>377</v>
      </c>
      <c r="H10" s="34" t="s">
        <v>378</v>
      </c>
      <c r="I10" s="25" t="s">
        <v>61</v>
      </c>
      <c r="J10" s="29" t="s">
        <v>18</v>
      </c>
      <c r="K10" s="38">
        <v>74250.0</v>
      </c>
      <c r="L10" s="25" t="s">
        <v>379</v>
      </c>
      <c r="M10" s="29" t="s">
        <v>65</v>
      </c>
      <c r="N10" s="41"/>
      <c r="O10" s="50"/>
      <c r="P10" s="50"/>
      <c r="Q10" s="41"/>
    </row>
    <row r="11" ht="22.5" customHeight="1">
      <c r="B11" s="25" t="s">
        <v>376</v>
      </c>
      <c r="C11" s="27">
        <v>46141.0</v>
      </c>
      <c r="D11" s="29" t="s">
        <v>55</v>
      </c>
      <c r="E11" s="27">
        <v>46141.0</v>
      </c>
      <c r="F11" s="27">
        <v>46146.0</v>
      </c>
      <c r="G11" s="34" t="s">
        <v>380</v>
      </c>
      <c r="H11" s="34" t="s">
        <v>381</v>
      </c>
      <c r="I11" s="25" t="s">
        <v>61</v>
      </c>
      <c r="J11" s="29" t="s">
        <v>18</v>
      </c>
      <c r="K11" s="38">
        <v>78950.0</v>
      </c>
      <c r="L11" s="25" t="s">
        <v>382</v>
      </c>
      <c r="M11" s="29" t="s">
        <v>65</v>
      </c>
      <c r="N11" s="101">
        <v>46146.0</v>
      </c>
      <c r="O11" s="50"/>
      <c r="P11" s="50"/>
      <c r="Q11" s="102" t="s">
        <v>383</v>
      </c>
    </row>
    <row r="12" ht="22.5" customHeight="1">
      <c r="B12" s="25" t="s">
        <v>376</v>
      </c>
      <c r="C12" s="27">
        <v>46141.0</v>
      </c>
      <c r="D12" s="29" t="s">
        <v>55</v>
      </c>
      <c r="E12" s="27">
        <v>46142.0</v>
      </c>
      <c r="F12" s="27">
        <v>46146.0</v>
      </c>
      <c r="G12" s="34" t="s">
        <v>384</v>
      </c>
      <c r="H12" s="34" t="s">
        <v>385</v>
      </c>
      <c r="I12" s="25" t="s">
        <v>218</v>
      </c>
      <c r="J12" s="29" t="s">
        <v>18</v>
      </c>
      <c r="K12" s="38">
        <v>69000.0</v>
      </c>
      <c r="L12" s="25" t="s">
        <v>386</v>
      </c>
      <c r="M12" s="29" t="s">
        <v>65</v>
      </c>
      <c r="N12" s="41"/>
      <c r="O12" s="50"/>
      <c r="P12" s="50"/>
      <c r="Q12" s="41"/>
    </row>
    <row r="13" ht="22.5" customHeight="1">
      <c r="B13" s="25" t="s">
        <v>376</v>
      </c>
      <c r="C13" s="27">
        <v>46148.0</v>
      </c>
      <c r="D13" s="29" t="s">
        <v>55</v>
      </c>
      <c r="E13" s="27">
        <v>46148.0</v>
      </c>
      <c r="F13" s="27">
        <v>46153.0</v>
      </c>
      <c r="G13" s="34" t="s">
        <v>387</v>
      </c>
      <c r="H13" s="34" t="s">
        <v>388</v>
      </c>
      <c r="I13" s="25" t="s">
        <v>218</v>
      </c>
      <c r="J13" s="29" t="s">
        <v>18</v>
      </c>
      <c r="K13" s="38">
        <v>78600.0</v>
      </c>
      <c r="L13" s="25" t="s">
        <v>389</v>
      </c>
      <c r="M13" s="29" t="s">
        <v>65</v>
      </c>
      <c r="N13" s="41"/>
      <c r="O13" s="50"/>
      <c r="P13" s="50"/>
      <c r="Q13" s="41"/>
    </row>
    <row r="14" ht="22.5" customHeight="1">
      <c r="B14" s="25" t="s">
        <v>390</v>
      </c>
      <c r="C14" s="27">
        <v>46153.0</v>
      </c>
      <c r="D14" s="29" t="s">
        <v>55</v>
      </c>
      <c r="E14" s="27">
        <v>46153.0</v>
      </c>
      <c r="F14" s="27">
        <v>46154.0</v>
      </c>
      <c r="G14" s="34" t="s">
        <v>391</v>
      </c>
      <c r="H14" s="34" t="s">
        <v>392</v>
      </c>
      <c r="I14" s="25" t="s">
        <v>218</v>
      </c>
      <c r="J14" s="29" t="s">
        <v>18</v>
      </c>
      <c r="K14" s="38">
        <v>98000.0</v>
      </c>
      <c r="L14" s="25" t="s">
        <v>386</v>
      </c>
      <c r="M14" s="29" t="s">
        <v>65</v>
      </c>
      <c r="N14" s="41"/>
      <c r="O14" s="50"/>
      <c r="P14" s="50"/>
      <c r="Q14" s="41"/>
    </row>
    <row r="15" ht="22.5" customHeight="1">
      <c r="B15" s="25" t="s">
        <v>15</v>
      </c>
      <c r="C15" s="27">
        <v>46154.0</v>
      </c>
      <c r="D15" s="29" t="s">
        <v>55</v>
      </c>
      <c r="E15" s="27">
        <v>46157.0</v>
      </c>
      <c r="F15" s="27">
        <v>46157.0</v>
      </c>
      <c r="G15" s="34" t="s">
        <v>393</v>
      </c>
      <c r="H15" s="34" t="s">
        <v>394</v>
      </c>
      <c r="I15" s="25" t="s">
        <v>395</v>
      </c>
      <c r="J15" s="29" t="s">
        <v>18</v>
      </c>
      <c r="K15" s="38">
        <v>70000.0</v>
      </c>
      <c r="L15" s="25" t="s">
        <v>379</v>
      </c>
      <c r="M15" s="29" t="s">
        <v>65</v>
      </c>
      <c r="N15" s="41"/>
      <c r="O15" s="50"/>
      <c r="P15" s="50"/>
      <c r="Q15" s="41"/>
    </row>
    <row r="16" ht="22.5" customHeight="1">
      <c r="B16" s="25" t="s">
        <v>15</v>
      </c>
      <c r="C16" s="27">
        <v>46149.0</v>
      </c>
      <c r="D16" s="29" t="s">
        <v>55</v>
      </c>
      <c r="E16" s="27">
        <v>46149.0</v>
      </c>
      <c r="F16" s="27">
        <v>46155.0</v>
      </c>
      <c r="G16" s="34" t="s">
        <v>396</v>
      </c>
      <c r="H16" s="34" t="s">
        <v>397</v>
      </c>
      <c r="I16" s="25" t="s">
        <v>218</v>
      </c>
      <c r="J16" s="29" t="s">
        <v>18</v>
      </c>
      <c r="K16" s="38">
        <v>80100.0</v>
      </c>
      <c r="L16" s="25" t="s">
        <v>398</v>
      </c>
      <c r="M16" s="29" t="s">
        <v>65</v>
      </c>
      <c r="N16" s="41"/>
      <c r="O16" s="50"/>
      <c r="P16" s="50"/>
      <c r="Q16" s="41"/>
    </row>
    <row r="17" ht="22.5" customHeight="1">
      <c r="B17" s="25" t="s">
        <v>15</v>
      </c>
      <c r="C17" s="27">
        <v>46149.0</v>
      </c>
      <c r="D17" s="29" t="s">
        <v>55</v>
      </c>
      <c r="E17" s="27">
        <v>46167.0</v>
      </c>
      <c r="F17" s="32"/>
      <c r="G17" s="34" t="s">
        <v>399</v>
      </c>
      <c r="H17" s="34" t="s">
        <v>400</v>
      </c>
      <c r="I17" s="25" t="s">
        <v>218</v>
      </c>
      <c r="J17" s="29" t="s">
        <v>18</v>
      </c>
      <c r="K17" s="38">
        <v>65000.0</v>
      </c>
      <c r="L17" s="25" t="s">
        <v>386</v>
      </c>
      <c r="M17" s="29" t="s">
        <v>75</v>
      </c>
      <c r="N17" s="41"/>
      <c r="O17" s="50"/>
      <c r="P17" s="50"/>
      <c r="Q17" s="41"/>
    </row>
    <row r="18" ht="22.5" customHeight="1">
      <c r="B18" s="25" t="s">
        <v>390</v>
      </c>
      <c r="C18" s="27">
        <v>46150.0</v>
      </c>
      <c r="D18" s="29" t="s">
        <v>55</v>
      </c>
      <c r="E18" s="27">
        <v>46155.0</v>
      </c>
      <c r="F18" s="27">
        <v>46156.0</v>
      </c>
      <c r="G18" s="34" t="s">
        <v>401</v>
      </c>
      <c r="H18" s="34" t="s">
        <v>402</v>
      </c>
      <c r="I18" s="25" t="s">
        <v>218</v>
      </c>
      <c r="J18" s="29" t="s">
        <v>18</v>
      </c>
      <c r="K18" s="38">
        <v>79500.0</v>
      </c>
      <c r="L18" s="25" t="s">
        <v>389</v>
      </c>
      <c r="M18" s="29" t="s">
        <v>65</v>
      </c>
      <c r="N18" s="41"/>
      <c r="O18" s="50"/>
      <c r="P18" s="50"/>
      <c r="Q18" s="41"/>
    </row>
    <row r="19" ht="22.5" customHeight="1">
      <c r="B19" s="25" t="s">
        <v>390</v>
      </c>
      <c r="C19" s="27">
        <v>46150.0</v>
      </c>
      <c r="D19" s="29" t="s">
        <v>55</v>
      </c>
      <c r="E19" s="27">
        <v>46153.0</v>
      </c>
      <c r="F19" s="27">
        <v>46153.0</v>
      </c>
      <c r="G19" s="34" t="s">
        <v>403</v>
      </c>
      <c r="H19" s="34" t="s">
        <v>404</v>
      </c>
      <c r="I19" s="25" t="s">
        <v>405</v>
      </c>
      <c r="J19" s="29" t="s">
        <v>18</v>
      </c>
      <c r="K19" s="38">
        <v>106800.0</v>
      </c>
      <c r="L19" s="25" t="s">
        <v>406</v>
      </c>
      <c r="M19" s="29" t="s">
        <v>65</v>
      </c>
      <c r="N19" s="41"/>
      <c r="O19" s="50"/>
      <c r="P19" s="50"/>
      <c r="Q19" s="41"/>
    </row>
    <row r="20" ht="22.5" customHeight="1">
      <c r="B20" s="25" t="s">
        <v>15</v>
      </c>
      <c r="C20" s="27">
        <v>46160.0</v>
      </c>
      <c r="D20" s="29" t="s">
        <v>55</v>
      </c>
      <c r="E20" s="27">
        <v>46253.0</v>
      </c>
      <c r="F20" s="27">
        <v>46253.0</v>
      </c>
      <c r="G20" s="34" t="s">
        <v>407</v>
      </c>
      <c r="H20" s="34" t="s">
        <v>408</v>
      </c>
      <c r="I20" s="25" t="s">
        <v>218</v>
      </c>
      <c r="J20" s="29" t="s">
        <v>18</v>
      </c>
      <c r="K20" s="38">
        <v>72830.0</v>
      </c>
      <c r="L20" s="25" t="s">
        <v>386</v>
      </c>
      <c r="M20" s="29" t="s">
        <v>65</v>
      </c>
      <c r="N20" s="41"/>
      <c r="O20" s="50"/>
      <c r="P20" s="50"/>
      <c r="Q20" s="41"/>
    </row>
    <row r="21" ht="22.5" customHeight="1">
      <c r="B21" s="25" t="s">
        <v>15</v>
      </c>
      <c r="C21" s="27">
        <v>46155.0</v>
      </c>
      <c r="D21" s="29" t="s">
        <v>55</v>
      </c>
      <c r="E21" s="32"/>
      <c r="F21" s="27">
        <v>46157.0</v>
      </c>
      <c r="G21" s="34" t="s">
        <v>409</v>
      </c>
      <c r="H21" s="34" t="s">
        <v>410</v>
      </c>
      <c r="I21" s="25" t="s">
        <v>294</v>
      </c>
      <c r="J21" s="29" t="s">
        <v>18</v>
      </c>
      <c r="K21" s="38">
        <v>50000.0</v>
      </c>
      <c r="L21" s="25" t="s">
        <v>379</v>
      </c>
      <c r="M21" s="29" t="s">
        <v>65</v>
      </c>
      <c r="N21" s="41"/>
      <c r="O21" s="50"/>
      <c r="P21" s="50"/>
      <c r="Q21" s="41"/>
    </row>
    <row r="22" ht="22.5" customHeight="1">
      <c r="B22" s="25" t="s">
        <v>15</v>
      </c>
      <c r="C22" s="27">
        <v>46155.0</v>
      </c>
      <c r="D22" s="29" t="s">
        <v>55</v>
      </c>
      <c r="E22" s="27">
        <v>46157.0</v>
      </c>
      <c r="F22" s="25">
        <v>0.0</v>
      </c>
      <c r="G22" s="34" t="s">
        <v>411</v>
      </c>
      <c r="H22" s="34" t="s">
        <v>412</v>
      </c>
      <c r="I22" s="25" t="s">
        <v>188</v>
      </c>
      <c r="J22" s="29" t="s">
        <v>18</v>
      </c>
      <c r="K22" s="38">
        <v>69000.0</v>
      </c>
      <c r="L22" s="25" t="s">
        <v>406</v>
      </c>
      <c r="M22" s="29" t="s">
        <v>75</v>
      </c>
      <c r="N22" s="41"/>
      <c r="O22" s="50"/>
      <c r="P22" s="50"/>
      <c r="Q22" s="41"/>
    </row>
    <row r="23" ht="22.5" customHeight="1">
      <c r="B23" s="41"/>
      <c r="C23" s="27">
        <v>46156.0</v>
      </c>
      <c r="D23" s="29" t="s">
        <v>55</v>
      </c>
      <c r="E23" s="27">
        <v>46160.0</v>
      </c>
      <c r="F23" s="27">
        <v>46161.0</v>
      </c>
      <c r="G23" s="34" t="s">
        <v>413</v>
      </c>
      <c r="H23" s="34" t="s">
        <v>414</v>
      </c>
      <c r="I23" s="25" t="s">
        <v>415</v>
      </c>
      <c r="J23" s="29" t="s">
        <v>18</v>
      </c>
      <c r="K23" s="38">
        <v>60000.0</v>
      </c>
      <c r="L23" s="25" t="s">
        <v>386</v>
      </c>
      <c r="M23" s="29" t="s">
        <v>65</v>
      </c>
      <c r="N23" s="41"/>
      <c r="O23" s="50"/>
      <c r="P23" s="50"/>
      <c r="Q23" s="41"/>
    </row>
    <row r="24" ht="22.5" customHeight="1">
      <c r="B24" s="41"/>
      <c r="C24" s="27">
        <v>46167.0</v>
      </c>
      <c r="D24" s="29" t="s">
        <v>55</v>
      </c>
      <c r="E24" s="32"/>
      <c r="F24" s="32"/>
      <c r="G24" s="34" t="s">
        <v>416</v>
      </c>
      <c r="H24" s="34" t="s">
        <v>417</v>
      </c>
      <c r="I24" s="25" t="s">
        <v>218</v>
      </c>
      <c r="J24" s="29" t="s">
        <v>18</v>
      </c>
      <c r="K24" s="38">
        <v>79960.0</v>
      </c>
      <c r="L24" s="25" t="s">
        <v>386</v>
      </c>
      <c r="M24" s="29" t="s">
        <v>75</v>
      </c>
      <c r="N24" s="41"/>
      <c r="O24" s="50"/>
      <c r="P24" s="50"/>
      <c r="Q24" s="41"/>
    </row>
    <row r="25" ht="22.5" customHeight="1">
      <c r="B25" s="41"/>
      <c r="C25" s="27">
        <v>46163.0</v>
      </c>
      <c r="D25" s="29" t="s">
        <v>55</v>
      </c>
      <c r="E25" s="27">
        <v>46168.0</v>
      </c>
      <c r="F25" s="32"/>
      <c r="G25" s="34" t="s">
        <v>419</v>
      </c>
      <c r="H25" s="34" t="s">
        <v>420</v>
      </c>
      <c r="I25" s="25" t="s">
        <v>218</v>
      </c>
      <c r="J25" s="29" t="s">
        <v>18</v>
      </c>
      <c r="K25" s="38">
        <v>86500.0</v>
      </c>
      <c r="L25" s="25" t="s">
        <v>421</v>
      </c>
      <c r="M25" s="29" t="s">
        <v>75</v>
      </c>
      <c r="N25" s="41"/>
      <c r="O25" s="50"/>
      <c r="P25" s="50"/>
      <c r="Q25" s="41"/>
    </row>
    <row r="26" ht="22.5" customHeight="1">
      <c r="B26" s="41"/>
      <c r="C26" s="27">
        <v>46164.0</v>
      </c>
      <c r="D26" s="29" t="s">
        <v>55</v>
      </c>
      <c r="E26" s="27">
        <v>46168.0</v>
      </c>
      <c r="F26" s="32"/>
      <c r="G26" s="34" t="s">
        <v>422</v>
      </c>
      <c r="H26" s="34" t="s">
        <v>423</v>
      </c>
      <c r="I26" s="25" t="s">
        <v>218</v>
      </c>
      <c r="J26" s="29" t="s">
        <v>18</v>
      </c>
      <c r="K26" s="38">
        <v>70300.0</v>
      </c>
      <c r="L26" s="25" t="s">
        <v>424</v>
      </c>
      <c r="M26" s="50"/>
      <c r="N26" s="41"/>
      <c r="O26" s="50"/>
      <c r="P26" s="50"/>
      <c r="Q26" s="41"/>
    </row>
    <row r="27" ht="22.5" customHeight="1">
      <c r="B27" s="41"/>
      <c r="C27" s="27">
        <v>46167.0</v>
      </c>
      <c r="D27" s="29" t="s">
        <v>55</v>
      </c>
      <c r="E27" s="27">
        <v>46168.0</v>
      </c>
      <c r="F27" s="32"/>
      <c r="G27" s="34" t="s">
        <v>425</v>
      </c>
      <c r="H27" s="34" t="s">
        <v>426</v>
      </c>
      <c r="I27" s="25" t="s">
        <v>427</v>
      </c>
      <c r="J27" s="29" t="s">
        <v>18</v>
      </c>
      <c r="K27" s="38">
        <v>73500.0</v>
      </c>
      <c r="L27" s="25" t="s">
        <v>379</v>
      </c>
      <c r="M27" s="50"/>
      <c r="N27" s="41"/>
      <c r="O27" s="50"/>
      <c r="P27" s="50"/>
      <c r="Q27" s="41"/>
    </row>
    <row r="28" ht="22.5" customHeight="1">
      <c r="B28" s="41"/>
      <c r="C28" s="32"/>
      <c r="D28" s="29" t="s">
        <v>55</v>
      </c>
      <c r="E28" s="32"/>
      <c r="F28" s="27">
        <v>46170.0</v>
      </c>
      <c r="G28" s="34" t="s">
        <v>429</v>
      </c>
      <c r="H28" s="34" t="s">
        <v>431</v>
      </c>
      <c r="I28" s="25" t="s">
        <v>218</v>
      </c>
      <c r="J28" s="29" t="s">
        <v>18</v>
      </c>
      <c r="K28" s="38">
        <v>79300.0</v>
      </c>
      <c r="L28" s="25" t="s">
        <v>379</v>
      </c>
      <c r="M28" s="50"/>
      <c r="N28" s="41"/>
      <c r="O28" s="50"/>
      <c r="P28" s="50"/>
      <c r="Q28" s="41"/>
    </row>
    <row r="29" ht="22.5" customHeight="1">
      <c r="B29" s="41"/>
      <c r="C29" s="32"/>
      <c r="D29" s="29" t="s">
        <v>55</v>
      </c>
      <c r="E29" s="32"/>
      <c r="F29" s="32"/>
      <c r="G29" s="34" t="s">
        <v>434</v>
      </c>
      <c r="H29" s="34" t="s">
        <v>435</v>
      </c>
      <c r="I29" s="25" t="s">
        <v>61</v>
      </c>
      <c r="J29" s="29" t="s">
        <v>18</v>
      </c>
      <c r="K29" s="38">
        <v>60000.0</v>
      </c>
      <c r="L29" s="25" t="s">
        <v>436</v>
      </c>
      <c r="M29" s="50"/>
      <c r="N29" s="41"/>
      <c r="O29" s="50"/>
      <c r="P29" s="50"/>
      <c r="Q29" s="41"/>
    </row>
    <row r="30" ht="22.5" customHeight="1">
      <c r="B30" s="41"/>
      <c r="C30" s="27">
        <v>46167.0</v>
      </c>
      <c r="D30" s="29" t="s">
        <v>55</v>
      </c>
      <c r="E30" s="32"/>
      <c r="F30" s="32"/>
      <c r="G30" s="34" t="s">
        <v>439</v>
      </c>
      <c r="H30" s="34" t="s">
        <v>440</v>
      </c>
      <c r="I30" s="25" t="s">
        <v>218</v>
      </c>
      <c r="J30" s="29" t="s">
        <v>18</v>
      </c>
      <c r="K30" s="38">
        <v>78000.0</v>
      </c>
      <c r="L30" s="25" t="s">
        <v>389</v>
      </c>
      <c r="M30" s="50"/>
      <c r="N30" s="41"/>
      <c r="O30" s="50"/>
      <c r="P30" s="50"/>
      <c r="Q30" s="41"/>
    </row>
    <row r="31" ht="22.5" customHeight="1">
      <c r="B31" s="41"/>
      <c r="C31" s="27">
        <v>46168.0</v>
      </c>
      <c r="D31" s="29" t="s">
        <v>55</v>
      </c>
      <c r="E31" s="32"/>
      <c r="F31" s="32"/>
      <c r="G31" s="34" t="s">
        <v>443</v>
      </c>
      <c r="H31" s="34" t="s">
        <v>444</v>
      </c>
      <c r="I31" s="25" t="s">
        <v>218</v>
      </c>
      <c r="J31" s="29" t="s">
        <v>18</v>
      </c>
      <c r="K31" s="38">
        <v>59100.0</v>
      </c>
      <c r="L31" s="25" t="s">
        <v>447</v>
      </c>
      <c r="M31" s="50"/>
      <c r="N31" s="41"/>
      <c r="O31" s="50"/>
      <c r="P31" s="50"/>
      <c r="Q31" s="41"/>
    </row>
    <row r="32" ht="22.5" customHeight="1">
      <c r="B32" s="41"/>
      <c r="C32" s="27">
        <v>46168.0</v>
      </c>
      <c r="D32" s="29" t="s">
        <v>83</v>
      </c>
      <c r="E32" s="32"/>
      <c r="F32" s="32"/>
      <c r="G32" s="34" t="s">
        <v>448</v>
      </c>
      <c r="H32" s="34" t="s">
        <v>449</v>
      </c>
      <c r="I32" s="25" t="s">
        <v>415</v>
      </c>
      <c r="J32" s="29" t="s">
        <v>26</v>
      </c>
      <c r="K32" s="38">
        <v>0.0</v>
      </c>
      <c r="L32" s="25" t="s">
        <v>447</v>
      </c>
      <c r="M32" s="50"/>
      <c r="N32" s="41"/>
      <c r="O32" s="50"/>
      <c r="P32" s="50"/>
      <c r="Q32" s="41"/>
    </row>
    <row r="33" ht="22.5" customHeight="1">
      <c r="B33" s="41"/>
      <c r="C33" s="32"/>
      <c r="D33" s="29" t="s">
        <v>55</v>
      </c>
      <c r="E33" s="32"/>
      <c r="F33" s="32"/>
      <c r="G33" s="34" t="s">
        <v>452</v>
      </c>
      <c r="H33" s="34" t="s">
        <v>453</v>
      </c>
      <c r="I33" s="25" t="s">
        <v>218</v>
      </c>
      <c r="J33" s="29" t="s">
        <v>25</v>
      </c>
      <c r="K33" s="38"/>
      <c r="L33" s="25" t="s">
        <v>386</v>
      </c>
      <c r="M33" s="50"/>
      <c r="N33" s="41"/>
      <c r="O33" s="50"/>
      <c r="P33" s="50"/>
      <c r="Q33" s="41"/>
    </row>
    <row r="34" ht="22.5" customHeight="1">
      <c r="B34" s="41"/>
      <c r="C34" s="32"/>
      <c r="D34" s="29" t="s">
        <v>55</v>
      </c>
      <c r="E34" s="32"/>
      <c r="F34" s="32"/>
      <c r="G34" s="34" t="s">
        <v>454</v>
      </c>
      <c r="H34" s="34" t="s">
        <v>455</v>
      </c>
      <c r="I34" s="25" t="s">
        <v>218</v>
      </c>
      <c r="J34" s="29" t="s">
        <v>18</v>
      </c>
      <c r="K34" s="38">
        <v>73500.0</v>
      </c>
      <c r="L34" s="25" t="s">
        <v>406</v>
      </c>
      <c r="M34" s="50"/>
      <c r="N34" s="41"/>
      <c r="O34" s="50"/>
      <c r="P34" s="50"/>
      <c r="Q34" s="41"/>
    </row>
    <row r="35" ht="22.5" customHeight="1">
      <c r="B35" s="41"/>
      <c r="C35" s="32"/>
      <c r="D35" s="29" t="s">
        <v>55</v>
      </c>
      <c r="E35" s="32"/>
      <c r="F35" s="32"/>
      <c r="G35" s="34" t="s">
        <v>456</v>
      </c>
      <c r="H35" s="34" t="s">
        <v>457</v>
      </c>
      <c r="I35" s="25" t="s">
        <v>218</v>
      </c>
      <c r="J35" s="29" t="s">
        <v>18</v>
      </c>
      <c r="K35" s="38">
        <v>43000.0</v>
      </c>
      <c r="L35" s="25" t="s">
        <v>447</v>
      </c>
      <c r="M35" s="50"/>
      <c r="N35" s="41"/>
      <c r="O35" s="50"/>
      <c r="P35" s="50"/>
      <c r="Q35" s="41"/>
    </row>
    <row r="36" ht="22.5" customHeight="1">
      <c r="B36" s="41"/>
      <c r="C36" s="27">
        <v>46168.0</v>
      </c>
      <c r="D36" s="29" t="s">
        <v>55</v>
      </c>
      <c r="E36" s="32"/>
      <c r="F36" s="32"/>
      <c r="G36" s="34" t="s">
        <v>458</v>
      </c>
      <c r="H36" s="34" t="s">
        <v>459</v>
      </c>
      <c r="I36" s="25" t="s">
        <v>188</v>
      </c>
      <c r="J36" s="29" t="s">
        <v>18</v>
      </c>
      <c r="K36" s="38">
        <v>100200.0</v>
      </c>
      <c r="L36" s="25" t="s">
        <v>406</v>
      </c>
      <c r="M36" s="50"/>
      <c r="N36" s="41"/>
      <c r="O36" s="50"/>
      <c r="P36" s="50"/>
      <c r="Q36" s="41"/>
    </row>
    <row r="37" ht="22.5" customHeight="1">
      <c r="B37" s="41"/>
      <c r="C37" s="32"/>
      <c r="D37" s="29" t="s">
        <v>55</v>
      </c>
      <c r="E37" s="32"/>
      <c r="F37" s="32"/>
      <c r="G37" s="34" t="s">
        <v>460</v>
      </c>
      <c r="H37" s="34" t="s">
        <v>461</v>
      </c>
      <c r="I37" s="25" t="s">
        <v>61</v>
      </c>
      <c r="J37" s="29" t="s">
        <v>18</v>
      </c>
      <c r="K37" s="38">
        <v>75000.0</v>
      </c>
      <c r="L37" s="25" t="s">
        <v>436</v>
      </c>
      <c r="M37" s="50"/>
      <c r="N37" s="41"/>
      <c r="O37" s="50"/>
      <c r="P37" s="50"/>
      <c r="Q37" s="41"/>
    </row>
    <row r="38" ht="22.5" customHeight="1">
      <c r="B38" s="41"/>
      <c r="C38" s="27">
        <v>46170.0</v>
      </c>
      <c r="D38" s="29" t="s">
        <v>55</v>
      </c>
      <c r="E38" s="32"/>
      <c r="F38" s="32"/>
      <c r="G38" s="34" t="s">
        <v>462</v>
      </c>
      <c r="H38" s="34" t="s">
        <v>463</v>
      </c>
      <c r="I38" s="25" t="s">
        <v>218</v>
      </c>
      <c r="J38" s="29" t="s">
        <v>18</v>
      </c>
      <c r="K38" s="38">
        <v>72750.0</v>
      </c>
      <c r="L38" s="25" t="s">
        <v>386</v>
      </c>
      <c r="M38" s="50"/>
      <c r="N38" s="41"/>
      <c r="O38" s="50"/>
      <c r="P38" s="50"/>
      <c r="Q38" s="41"/>
    </row>
    <row r="39" ht="22.5" customHeight="1">
      <c r="B39" s="41"/>
      <c r="C39" s="27">
        <v>46170.0</v>
      </c>
      <c r="D39" s="29" t="s">
        <v>55</v>
      </c>
      <c r="E39" s="32"/>
      <c r="F39" s="32"/>
      <c r="G39" s="34" t="s">
        <v>464</v>
      </c>
      <c r="H39" s="34" t="s">
        <v>465</v>
      </c>
      <c r="I39" s="25" t="s">
        <v>61</v>
      </c>
      <c r="J39" s="29" t="s">
        <v>18</v>
      </c>
      <c r="K39" s="38">
        <v>78100.0</v>
      </c>
      <c r="L39" s="25" t="s">
        <v>379</v>
      </c>
      <c r="M39" s="50"/>
      <c r="N39" s="41"/>
      <c r="O39" s="50"/>
      <c r="P39" s="50"/>
      <c r="Q39" s="41"/>
    </row>
    <row r="40" ht="22.5" customHeight="1">
      <c r="B40" s="41"/>
      <c r="C40" s="32"/>
      <c r="D40" s="66"/>
      <c r="E40" s="32"/>
      <c r="F40" s="32"/>
      <c r="G40" s="34"/>
      <c r="H40" s="34"/>
      <c r="I40" s="41"/>
      <c r="J40" s="50"/>
      <c r="K40" s="49"/>
      <c r="L40" s="41"/>
      <c r="M40" s="50"/>
      <c r="N40" s="41"/>
      <c r="O40" s="50"/>
      <c r="P40" s="50"/>
      <c r="Q40" s="41"/>
    </row>
    <row r="41" ht="22.5" customHeight="1">
      <c r="B41" s="41"/>
      <c r="C41" s="32"/>
      <c r="D41" s="66"/>
      <c r="E41" s="32"/>
      <c r="F41" s="32"/>
      <c r="G41" s="34"/>
      <c r="H41" s="34"/>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9.5"/>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418</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SUMIFS(OPI_9[MAF NETO],OPI_9[ESTADO],"Desembolsado")</f>
        <v>287000</v>
      </c>
      <c r="G4" s="15">
        <f>F4-E4</f>
        <v>-713000</v>
      </c>
      <c r="H4" s="16">
        <f>SUMIFS(OPI_9[MAF NETO],OPI_9[ESTADO],H$3)</f>
        <v>0</v>
      </c>
      <c r="I4" s="16">
        <f>SUMIFS(OPI_9[MAF NETO],OPI_9[ESTADO],I$3)</f>
        <v>0</v>
      </c>
      <c r="J4" s="16">
        <f>SUMIFS(OPI_9[MAF NETO],OPI_9[ESTADO],J$3)</f>
        <v>0</v>
      </c>
      <c r="K4" s="16">
        <f>SUMIFS(OPI_9[MAF NETO],OPI_9[ESTADO],K$3)</f>
        <v>0</v>
      </c>
      <c r="L4" s="16">
        <f>SUMIFS(OPI_9[MAF NETO],OPI_9[ESTADO],L$3)</f>
        <v>0</v>
      </c>
      <c r="M4" s="16">
        <f>SUMIFS(OPI_9[MAF NETO],OPI_9[ESTADO],M$3)</f>
        <v>0</v>
      </c>
      <c r="N4" s="16">
        <f>SUMIFS(OPI_9[MAF NETO],OPI_9[ESTADO],N$3)</f>
        <v>0</v>
      </c>
    </row>
    <row r="5" ht="26.25" customHeight="1">
      <c r="D5" s="17" t="s">
        <v>32</v>
      </c>
      <c r="E5" s="18" t="s">
        <v>34</v>
      </c>
      <c r="F5" s="19">
        <f>COUNTIFS(OPI_9[ESTADO],"Desembolsado")</f>
        <v>5</v>
      </c>
      <c r="G5" s="20">
        <f>IFERROR(F4/E4,"")</f>
        <v>0.287</v>
      </c>
      <c r="H5" s="19">
        <f>COUNTIFS(OPI_9[ESTADO],H$3)</f>
        <v>0</v>
      </c>
      <c r="I5" s="19">
        <f>COUNTIFS(OPI_9[ESTADO],I$3)</f>
        <v>0</v>
      </c>
      <c r="J5" s="19">
        <f>COUNTIFS(OPI_9[ESTADO],J$3)</f>
        <v>0</v>
      </c>
      <c r="K5" s="19">
        <f>COUNTIFS(OPI_9[ESTADO],K$3)</f>
        <v>0</v>
      </c>
      <c r="L5" s="19">
        <f>COUNTIFS(OPI_9[ESTADO],L$3)</f>
        <v>0</v>
      </c>
      <c r="M5" s="19">
        <f>COUNTIFS(OPI_9[ESTADO],M$3)</f>
        <v>0</v>
      </c>
      <c r="N5" s="19">
        <f>COUNTIFS(OPI_9[ESTADO],N$3)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418</v>
      </c>
      <c r="C10" s="27">
        <v>46145.0</v>
      </c>
      <c r="D10" s="29" t="s">
        <v>55</v>
      </c>
      <c r="E10" s="27">
        <v>46146.0</v>
      </c>
      <c r="F10" s="32"/>
      <c r="G10" s="34" t="s">
        <v>428</v>
      </c>
      <c r="H10" s="34" t="s">
        <v>430</v>
      </c>
      <c r="I10" s="25" t="s">
        <v>61</v>
      </c>
      <c r="J10" s="29" t="s">
        <v>18</v>
      </c>
      <c r="K10" s="38">
        <v>29100.0</v>
      </c>
      <c r="L10" s="25" t="s">
        <v>432</v>
      </c>
      <c r="M10" s="29" t="s">
        <v>65</v>
      </c>
      <c r="N10" s="41"/>
      <c r="O10" s="29" t="s">
        <v>433</v>
      </c>
      <c r="P10" s="50"/>
      <c r="Q10" s="41"/>
    </row>
    <row r="11" ht="22.5" customHeight="1">
      <c r="B11" s="25" t="s">
        <v>418</v>
      </c>
      <c r="C11" s="27">
        <v>46153.0</v>
      </c>
      <c r="D11" s="29" t="s">
        <v>55</v>
      </c>
      <c r="E11" s="27">
        <v>46157.0</v>
      </c>
      <c r="F11" s="32"/>
      <c r="G11" s="34" t="s">
        <v>437</v>
      </c>
      <c r="H11" s="34" t="s">
        <v>438</v>
      </c>
      <c r="I11" s="25" t="s">
        <v>61</v>
      </c>
      <c r="J11" s="29" t="s">
        <v>18</v>
      </c>
      <c r="K11" s="38">
        <v>82800.0</v>
      </c>
      <c r="L11" s="25" t="s">
        <v>432</v>
      </c>
      <c r="M11" s="29" t="s">
        <v>65</v>
      </c>
      <c r="N11" s="41"/>
      <c r="O11" s="50"/>
      <c r="P11" s="50"/>
      <c r="Q11" s="41"/>
    </row>
    <row r="12" ht="22.5" customHeight="1">
      <c r="B12" s="25" t="s">
        <v>418</v>
      </c>
      <c r="C12" s="27">
        <v>46161.0</v>
      </c>
      <c r="D12" s="29" t="s">
        <v>55</v>
      </c>
      <c r="E12" s="27">
        <v>46161.0</v>
      </c>
      <c r="F12" s="32"/>
      <c r="G12" s="34" t="s">
        <v>441</v>
      </c>
      <c r="H12" s="34" t="s">
        <v>442</v>
      </c>
      <c r="I12" s="25" t="s">
        <v>280</v>
      </c>
      <c r="J12" s="29" t="s">
        <v>18</v>
      </c>
      <c r="K12" s="38">
        <v>20000.0</v>
      </c>
      <c r="L12" s="25" t="s">
        <v>432</v>
      </c>
      <c r="M12" s="50"/>
      <c r="N12" s="41"/>
      <c r="O12" s="50"/>
      <c r="P12" s="50"/>
      <c r="Q12" s="41"/>
    </row>
    <row r="13" ht="22.5" customHeight="1">
      <c r="B13" s="25" t="s">
        <v>418</v>
      </c>
      <c r="C13" s="27">
        <v>46164.0</v>
      </c>
      <c r="D13" s="29" t="s">
        <v>55</v>
      </c>
      <c r="E13" s="27">
        <v>46164.0</v>
      </c>
      <c r="F13" s="32"/>
      <c r="G13" s="34" t="s">
        <v>445</v>
      </c>
      <c r="H13" s="34" t="s">
        <v>446</v>
      </c>
      <c r="I13" s="25" t="s">
        <v>61</v>
      </c>
      <c r="J13" s="29" t="s">
        <v>18</v>
      </c>
      <c r="K13" s="38">
        <v>76600.0</v>
      </c>
      <c r="L13" s="25" t="s">
        <v>432</v>
      </c>
      <c r="M13" s="50"/>
      <c r="N13" s="41"/>
      <c r="O13" s="50"/>
      <c r="P13" s="50"/>
      <c r="Q13" s="41"/>
    </row>
    <row r="14" ht="22.5" customHeight="1">
      <c r="B14" s="25" t="s">
        <v>418</v>
      </c>
      <c r="C14" s="27">
        <v>46167.0</v>
      </c>
      <c r="D14" s="29" t="s">
        <v>55</v>
      </c>
      <c r="E14" s="32"/>
      <c r="F14" s="32"/>
      <c r="G14" s="34" t="s">
        <v>450</v>
      </c>
      <c r="H14" s="34" t="s">
        <v>451</v>
      </c>
      <c r="I14" s="25" t="s">
        <v>61</v>
      </c>
      <c r="J14" s="29" t="s">
        <v>18</v>
      </c>
      <c r="K14" s="38">
        <v>78500.0</v>
      </c>
      <c r="L14" s="25" t="s">
        <v>432</v>
      </c>
      <c r="M14" s="50"/>
      <c r="N14" s="41"/>
      <c r="O14" s="50"/>
      <c r="P14" s="50"/>
      <c r="Q14" s="41"/>
    </row>
    <row r="15" ht="22.5" customHeight="1">
      <c r="B15" s="41"/>
      <c r="C15" s="32"/>
      <c r="D15" s="66"/>
      <c r="E15" s="32"/>
      <c r="F15" s="32"/>
      <c r="G15" s="67"/>
      <c r="H15" s="67"/>
      <c r="I15" s="41"/>
      <c r="J15" s="50"/>
      <c r="K15" s="38">
        <v>0.0</v>
      </c>
      <c r="L15" s="41"/>
      <c r="M15" s="50"/>
      <c r="N15" s="41"/>
      <c r="O15" s="50"/>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2.63"/>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74</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SUMIFS(OPI_14[MAF NETO],OPI_14[ESTADO],"Desembolsado")</f>
        <v>0</v>
      </c>
      <c r="G4" s="15">
        <f>F4-E4</f>
        <v>-1000000</v>
      </c>
      <c r="H4" s="16">
        <f>SUMIFS(OPI_14[MAF NETO],OPI_14[ESTADO],H$3)</f>
        <v>0</v>
      </c>
      <c r="I4" s="16">
        <f>SUMIFS(OPI_14[MAF NETO],OPI_14[ESTADO],I$3)</f>
        <v>0</v>
      </c>
      <c r="J4" s="16">
        <f>SUMIFS(OPI_14[MAF NETO],OPI_14[ESTADO],J$3)</f>
        <v>0</v>
      </c>
      <c r="K4" s="16">
        <f>SUMIFS(OPI_14[MAF NETO],OPI_14[ESTADO],K$3)</f>
        <v>0</v>
      </c>
      <c r="L4" s="16">
        <f>SUMIFS(OPI_14[MAF NETO],OPI_14[ESTADO],L$3)</f>
        <v>0</v>
      </c>
      <c r="M4" s="16">
        <f>SUMIFS(OPI_14[MAF NETO],OPI_14[ESTADO],M$3)</f>
        <v>0</v>
      </c>
      <c r="N4" s="16">
        <f>SUMIFS(OPI_14[MAF NETO],OPI_14[ESTADO],N$3)</f>
        <v>0</v>
      </c>
    </row>
    <row r="5" ht="26.25" customHeight="1">
      <c r="D5" s="17" t="s">
        <v>32</v>
      </c>
      <c r="E5" s="18" t="s">
        <v>34</v>
      </c>
      <c r="F5" s="19">
        <f>COUNTIFS(OPI_14[ESTADO],"Desembolsado")</f>
        <v>0</v>
      </c>
      <c r="G5" s="20">
        <f>IFERROR(F4/E4,"")</f>
        <v>0</v>
      </c>
      <c r="H5" s="19">
        <f>COUNTIFS(OPI_14[ESTADO],H$3)</f>
        <v>0</v>
      </c>
      <c r="I5" s="19">
        <f>COUNTIFS(OPI_14[ESTADO],I$3)</f>
        <v>0</v>
      </c>
      <c r="J5" s="19">
        <f>COUNTIFS(OPI_14[ESTADO],J$3)</f>
        <v>0</v>
      </c>
      <c r="K5" s="19">
        <f>COUNTIFS(OPI_14[ESTADO],K$3)</f>
        <v>0</v>
      </c>
      <c r="L5" s="19">
        <f>COUNTIFS(OPI_14[ESTADO],L$3)</f>
        <v>0</v>
      </c>
      <c r="M5" s="19">
        <f>COUNTIFS(OPI_14[ESTADO],M$3)</f>
        <v>0</v>
      </c>
      <c r="N5" s="19">
        <f>COUNTIFS(OPI_14[ESTADO],N$3)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c r="C10" s="27"/>
      <c r="D10" s="29"/>
      <c r="E10" s="32"/>
      <c r="F10" s="32"/>
      <c r="G10" s="34"/>
      <c r="H10" s="34"/>
      <c r="I10" s="25"/>
      <c r="J10" s="29"/>
      <c r="K10" s="38"/>
      <c r="L10" s="25"/>
      <c r="M10" s="29"/>
      <c r="N10" s="41"/>
      <c r="O10" s="29"/>
      <c r="P10" s="50"/>
      <c r="Q10" s="25"/>
    </row>
    <row r="11" ht="22.5" customHeight="1">
      <c r="B11" s="25"/>
      <c r="C11" s="27"/>
      <c r="D11" s="29"/>
      <c r="E11" s="32"/>
      <c r="F11" s="32"/>
      <c r="G11" s="34"/>
      <c r="H11" s="34"/>
      <c r="I11" s="25"/>
      <c r="J11" s="29"/>
      <c r="K11" s="38"/>
      <c r="L11" s="25"/>
      <c r="M11" s="29"/>
      <c r="N11" s="41"/>
      <c r="O11" s="29"/>
      <c r="P11" s="50"/>
      <c r="Q11" s="41"/>
    </row>
    <row r="12" ht="22.5" customHeight="1">
      <c r="B12" s="25"/>
      <c r="C12" s="27"/>
      <c r="D12" s="29"/>
      <c r="E12" s="32"/>
      <c r="F12" s="32"/>
      <c r="G12" s="34"/>
      <c r="H12" s="34"/>
      <c r="I12" s="25"/>
      <c r="J12" s="29"/>
      <c r="K12" s="38"/>
      <c r="L12" s="25"/>
      <c r="M12" s="29"/>
      <c r="N12" s="41"/>
      <c r="O12" s="29"/>
      <c r="P12" s="50"/>
      <c r="Q12" s="41"/>
    </row>
    <row r="13" ht="22.5" customHeight="1">
      <c r="B13" s="25"/>
      <c r="C13" s="27"/>
      <c r="D13" s="29"/>
      <c r="E13" s="32"/>
      <c r="F13" s="32"/>
      <c r="G13" s="34"/>
      <c r="H13" s="34"/>
      <c r="I13" s="25"/>
      <c r="J13" s="29"/>
      <c r="K13" s="38"/>
      <c r="L13" s="25"/>
      <c r="M13" s="29"/>
      <c r="N13" s="41"/>
      <c r="O13" s="29"/>
      <c r="P13" s="50"/>
      <c r="Q13" s="41"/>
    </row>
    <row r="14" ht="22.5" customHeight="1">
      <c r="B14" s="25"/>
      <c r="C14" s="27"/>
      <c r="D14" s="66"/>
      <c r="E14" s="32"/>
      <c r="F14" s="32"/>
      <c r="G14" s="34"/>
      <c r="H14" s="34"/>
      <c r="I14" s="41"/>
      <c r="J14" s="50"/>
      <c r="K14" s="49"/>
      <c r="L14" s="41"/>
      <c r="M14" s="50"/>
      <c r="N14" s="41"/>
      <c r="O14" s="50"/>
      <c r="P14" s="50"/>
      <c r="Q14" s="41"/>
    </row>
    <row r="15" ht="22.5" customHeight="1">
      <c r="B15" s="41"/>
      <c r="C15" s="32"/>
      <c r="D15" s="66"/>
      <c r="E15" s="32"/>
      <c r="F15" s="32"/>
      <c r="G15" s="67"/>
      <c r="H15" s="67"/>
      <c r="I15" s="41"/>
      <c r="J15" s="50"/>
      <c r="K15" s="49"/>
      <c r="L15" s="41"/>
      <c r="M15" s="50"/>
      <c r="N15" s="41"/>
      <c r="O15" s="50"/>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2.63"/>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74</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SUMIFS(OPI_15[MAF NETO],OPI_15[ESTADO],"Desembolsado")</f>
        <v>0</v>
      </c>
      <c r="G4" s="15">
        <f>F4-E4</f>
        <v>-1000000</v>
      </c>
      <c r="H4" s="16">
        <f>SUMIFS(OPI_15[MAF NETO],OPI_15[ESTADO],H$3)</f>
        <v>0</v>
      </c>
      <c r="I4" s="16">
        <f>SUMIFS(OPI_15[MAF NETO],OPI_15[ESTADO],I$3)</f>
        <v>0</v>
      </c>
      <c r="J4" s="16">
        <f>SUMIFS(OPI_15[MAF NETO],OPI_15[ESTADO],J$3)</f>
        <v>0</v>
      </c>
      <c r="K4" s="16">
        <f>SUMIFS(OPI_15[MAF NETO],OPI_15[ESTADO],K$3)</f>
        <v>0</v>
      </c>
      <c r="L4" s="16">
        <f>SUMIFS(OPI_15[MAF NETO],OPI_15[ESTADO],L$3)</f>
        <v>0</v>
      </c>
      <c r="M4" s="16">
        <f>SUMIFS(OPI_15[MAF NETO],OPI_15[ESTADO],M$3)</f>
        <v>0</v>
      </c>
      <c r="N4" s="16">
        <f>SUMIFS(OPI_15[MAF NETO],OPI_15[ESTADO],N$3)</f>
        <v>0</v>
      </c>
    </row>
    <row r="5" ht="26.25" customHeight="1">
      <c r="D5" s="17" t="s">
        <v>32</v>
      </c>
      <c r="E5" s="18" t="s">
        <v>34</v>
      </c>
      <c r="F5" s="19">
        <f>COUNTIFS(OPI_15[ESTADO],"Desembolsado")</f>
        <v>0</v>
      </c>
      <c r="G5" s="20">
        <f>IFERROR(F4/E4,"")</f>
        <v>0</v>
      </c>
      <c r="H5" s="19">
        <f>COUNTIFS(OPI_15[ESTADO],H$3)</f>
        <v>0</v>
      </c>
      <c r="I5" s="19">
        <f>COUNTIFS(OPI_15[ESTADO],I$3)</f>
        <v>0</v>
      </c>
      <c r="J5" s="19">
        <f>COUNTIFS(OPI_15[ESTADO],J$3)</f>
        <v>0</v>
      </c>
      <c r="K5" s="19">
        <f>COUNTIFS(OPI_15[ESTADO],K$3)</f>
        <v>0</v>
      </c>
      <c r="L5" s="19">
        <f>COUNTIFS(OPI_15[ESTADO],L$3)</f>
        <v>0</v>
      </c>
      <c r="M5" s="19">
        <f>COUNTIFS(OPI_15[ESTADO],M$3)</f>
        <v>0</v>
      </c>
      <c r="N5" s="19">
        <f>COUNTIFS(OPI_15[ESTADO],N$3)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c r="C10" s="27"/>
      <c r="D10" s="66"/>
      <c r="E10" s="32"/>
      <c r="F10" s="32"/>
      <c r="G10" s="34"/>
      <c r="H10" s="34"/>
      <c r="I10" s="25"/>
      <c r="J10" s="66"/>
      <c r="K10" s="38"/>
      <c r="L10" s="25"/>
      <c r="M10" s="66"/>
      <c r="N10" s="41"/>
      <c r="O10" s="66"/>
      <c r="P10" s="50"/>
      <c r="Q10" s="25"/>
    </row>
    <row r="11" ht="22.5" customHeight="1">
      <c r="B11" s="25"/>
      <c r="C11" s="27"/>
      <c r="D11" s="66"/>
      <c r="E11" s="32"/>
      <c r="F11" s="32"/>
      <c r="G11" s="34"/>
      <c r="H11" s="34"/>
      <c r="I11" s="25"/>
      <c r="J11" s="66"/>
      <c r="K11" s="38"/>
      <c r="L11" s="25"/>
      <c r="M11" s="66"/>
      <c r="N11" s="41"/>
      <c r="O11" s="66"/>
      <c r="P11" s="50"/>
      <c r="Q11" s="41"/>
    </row>
    <row r="12" ht="22.5" customHeight="1">
      <c r="B12" s="25"/>
      <c r="C12" s="27"/>
      <c r="D12" s="66"/>
      <c r="E12" s="32"/>
      <c r="F12" s="32"/>
      <c r="G12" s="34"/>
      <c r="H12" s="34"/>
      <c r="I12" s="25"/>
      <c r="J12" s="66"/>
      <c r="K12" s="38"/>
      <c r="L12" s="25"/>
      <c r="M12" s="66"/>
      <c r="N12" s="41"/>
      <c r="O12" s="66"/>
      <c r="P12" s="50"/>
      <c r="Q12" s="41"/>
    </row>
    <row r="13" ht="22.5" customHeight="1">
      <c r="B13" s="25"/>
      <c r="C13" s="27"/>
      <c r="D13" s="66"/>
      <c r="E13" s="32"/>
      <c r="F13" s="32"/>
      <c r="G13" s="34"/>
      <c r="H13" s="34"/>
      <c r="I13" s="25"/>
      <c r="J13" s="66"/>
      <c r="K13" s="38"/>
      <c r="L13" s="25"/>
      <c r="M13" s="66"/>
      <c r="N13" s="41"/>
      <c r="O13" s="66"/>
      <c r="P13" s="50"/>
      <c r="Q13" s="41"/>
    </row>
    <row r="14" ht="22.5" customHeight="1">
      <c r="B14" s="25"/>
      <c r="C14" s="27"/>
      <c r="D14" s="66"/>
      <c r="E14" s="32"/>
      <c r="F14" s="32"/>
      <c r="G14" s="34"/>
      <c r="H14" s="34"/>
      <c r="I14" s="41"/>
      <c r="J14" s="50"/>
      <c r="K14" s="49"/>
      <c r="L14" s="41"/>
      <c r="M14" s="50"/>
      <c r="N14" s="41"/>
      <c r="O14" s="50"/>
      <c r="P14" s="50"/>
      <c r="Q14" s="41"/>
    </row>
    <row r="15" ht="22.5" customHeight="1">
      <c r="B15" s="41"/>
      <c r="C15" s="32"/>
      <c r="D15" s="66"/>
      <c r="E15" s="32"/>
      <c r="F15" s="32"/>
      <c r="G15" s="67"/>
      <c r="H15" s="67"/>
      <c r="I15" s="41"/>
      <c r="J15" s="50"/>
      <c r="K15" s="49"/>
      <c r="L15" s="41"/>
      <c r="M15" s="50"/>
      <c r="N15" s="41"/>
      <c r="O15" s="50"/>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2.63"/>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74</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SUMIFS(OPI_16[MAF NETO],OPI_16[ESTADO],"Desembolsado")</f>
        <v>62000</v>
      </c>
      <c r="G4" s="15">
        <f>F4-E4</f>
        <v>-938000</v>
      </c>
      <c r="H4" s="16">
        <f>SUMIFS(OPI_16[MAF NETO],OPI_16[ESTADO],H$3)</f>
        <v>0</v>
      </c>
      <c r="I4" s="16">
        <f>SUMIFS(OPI_16[MAF NETO],OPI_16[ESTADO],I$3)</f>
        <v>0</v>
      </c>
      <c r="J4" s="16">
        <f>SUMIFS(OPI_16[MAF NETO],OPI_16[ESTADO],J$3)</f>
        <v>0</v>
      </c>
      <c r="K4" s="16">
        <f>SUMIFS(OPI_16[MAF NETO],OPI_16[ESTADO],K$3)</f>
        <v>0</v>
      </c>
      <c r="L4" s="16">
        <f>SUMIFS(OPI_16[MAF NETO],OPI_16[ESTADO],L$3)</f>
        <v>0</v>
      </c>
      <c r="M4" s="16">
        <f>SUMIFS(OPI_16[MAF NETO],OPI_16[ESTADO],M$3)</f>
        <v>0</v>
      </c>
      <c r="N4" s="16">
        <f>SUMIFS(OPI_16[MAF NETO],OPI_16[ESTADO],N$3)</f>
        <v>0</v>
      </c>
    </row>
    <row r="5" ht="26.25" customHeight="1">
      <c r="D5" s="17" t="s">
        <v>32</v>
      </c>
      <c r="E5" s="18" t="s">
        <v>34</v>
      </c>
      <c r="F5" s="19">
        <f>COUNTIFS(OPI_16[ESTADO],"Desembolsado")</f>
        <v>1</v>
      </c>
      <c r="G5" s="20">
        <f>IFERROR(F4/E4,"")</f>
        <v>0.062</v>
      </c>
      <c r="H5" s="19">
        <f>COUNTIFS(OPI_16[ESTADO],H$3)</f>
        <v>0</v>
      </c>
      <c r="I5" s="19">
        <f>COUNTIFS(OPI_16[ESTADO],I$3)</f>
        <v>0</v>
      </c>
      <c r="J5" s="19">
        <f>COUNTIFS(OPI_16[ESTADO],J$3)</f>
        <v>0</v>
      </c>
      <c r="K5" s="19">
        <f>COUNTIFS(OPI_16[ESTADO],K$3)</f>
        <v>0</v>
      </c>
      <c r="L5" s="19">
        <f>COUNTIFS(OPI_16[ESTADO],L$3)</f>
        <v>0</v>
      </c>
      <c r="M5" s="19">
        <f>COUNTIFS(OPI_16[ESTADO],M$3)</f>
        <v>0</v>
      </c>
      <c r="N5" s="19">
        <f>COUNTIFS(OPI_16[ESTADO],N$3)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74</v>
      </c>
      <c r="C10" s="27"/>
      <c r="D10" s="29" t="s">
        <v>55</v>
      </c>
      <c r="E10" s="27">
        <v>46168.0</v>
      </c>
      <c r="F10" s="27">
        <v>46169.0</v>
      </c>
      <c r="G10" s="34" t="s">
        <v>466</v>
      </c>
      <c r="H10" s="34" t="s">
        <v>467</v>
      </c>
      <c r="I10" s="25" t="s">
        <v>61</v>
      </c>
      <c r="J10" s="29" t="s">
        <v>18</v>
      </c>
      <c r="K10" s="38">
        <v>62000.0</v>
      </c>
      <c r="L10" s="25" t="s">
        <v>468</v>
      </c>
      <c r="M10" s="66"/>
      <c r="N10" s="41"/>
      <c r="O10" s="66"/>
      <c r="P10" s="50"/>
      <c r="Q10" s="25"/>
    </row>
    <row r="11" ht="22.5" customHeight="1">
      <c r="B11" s="25"/>
      <c r="C11" s="27"/>
      <c r="D11" s="66"/>
      <c r="E11" s="32"/>
      <c r="F11" s="32"/>
      <c r="G11" s="34"/>
      <c r="H11" s="34"/>
      <c r="I11" s="25"/>
      <c r="J11" s="66"/>
      <c r="K11" s="38"/>
      <c r="L11" s="25"/>
      <c r="M11" s="66"/>
      <c r="N11" s="41"/>
      <c r="O11" s="66"/>
      <c r="P11" s="50"/>
      <c r="Q11" s="41"/>
    </row>
    <row r="12" ht="22.5" customHeight="1">
      <c r="B12" s="25"/>
      <c r="C12" s="27"/>
      <c r="D12" s="66"/>
      <c r="E12" s="32"/>
      <c r="F12" s="32"/>
      <c r="G12" s="34"/>
      <c r="H12" s="34"/>
      <c r="I12" s="25"/>
      <c r="J12" s="66"/>
      <c r="K12" s="38"/>
      <c r="L12" s="25"/>
      <c r="M12" s="66"/>
      <c r="N12" s="41"/>
      <c r="O12" s="66"/>
      <c r="P12" s="50"/>
      <c r="Q12" s="41"/>
    </row>
    <row r="13" ht="22.5" customHeight="1">
      <c r="B13" s="25"/>
      <c r="C13" s="27"/>
      <c r="D13" s="66"/>
      <c r="E13" s="32"/>
      <c r="F13" s="32"/>
      <c r="G13" s="34"/>
      <c r="H13" s="34"/>
      <c r="I13" s="25"/>
      <c r="J13" s="66"/>
      <c r="K13" s="38"/>
      <c r="L13" s="25"/>
      <c r="M13" s="66"/>
      <c r="N13" s="41"/>
      <c r="O13" s="66"/>
      <c r="P13" s="50"/>
      <c r="Q13" s="41"/>
    </row>
    <row r="14" ht="22.5" customHeight="1">
      <c r="B14" s="25"/>
      <c r="C14" s="27"/>
      <c r="D14" s="66"/>
      <c r="E14" s="32"/>
      <c r="F14" s="32"/>
      <c r="G14" s="34"/>
      <c r="H14" s="34"/>
      <c r="I14" s="41"/>
      <c r="J14" s="50"/>
      <c r="K14" s="49"/>
      <c r="L14" s="41"/>
      <c r="M14" s="50"/>
      <c r="N14" s="41"/>
      <c r="O14" s="50"/>
      <c r="P14" s="50"/>
      <c r="Q14" s="41"/>
    </row>
    <row r="15" ht="22.5" customHeight="1">
      <c r="B15" s="41"/>
      <c r="C15" s="32"/>
      <c r="D15" s="66"/>
      <c r="E15" s="32"/>
      <c r="F15" s="32"/>
      <c r="G15" s="67"/>
      <c r="H15" s="67"/>
      <c r="I15" s="41"/>
      <c r="J15" s="50"/>
      <c r="K15" s="49"/>
      <c r="L15" s="41"/>
      <c r="M15" s="50"/>
      <c r="N15" s="41"/>
      <c r="O15" s="50"/>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2.63"/>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74</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SUMIFS(OPI_17[MAF NETO],OPI_17[ESTADO],"Desembolsado")</f>
        <v>0</v>
      </c>
      <c r="G4" s="15">
        <f>F4-E4</f>
        <v>-1000000</v>
      </c>
      <c r="H4" s="16">
        <f>SUMIFS(OPI_17[MAF NETO],OPI_17[ESTADO],H$3)</f>
        <v>0</v>
      </c>
      <c r="I4" s="16">
        <f>SUMIFS(OPI_17[MAF NETO],OPI_17[ESTADO],I$3)</f>
        <v>0</v>
      </c>
      <c r="J4" s="16">
        <f>SUMIFS(OPI_17[MAF NETO],OPI_17[ESTADO],J$3)</f>
        <v>0</v>
      </c>
      <c r="K4" s="16">
        <f>SUMIFS(OPI_17[MAF NETO],OPI_17[ESTADO],K$3)</f>
        <v>0</v>
      </c>
      <c r="L4" s="16">
        <f>SUMIFS(OPI_17[MAF NETO],OPI_17[ESTADO],L$3)</f>
        <v>0</v>
      </c>
      <c r="M4" s="16">
        <f>SUMIFS(OPI_17[MAF NETO],OPI_17[ESTADO],M$3)</f>
        <v>0</v>
      </c>
      <c r="N4" s="16">
        <f>SUMIFS(OPI_17[MAF NETO],OPI_17[ESTADO],N$3)</f>
        <v>0</v>
      </c>
    </row>
    <row r="5" ht="26.25" customHeight="1">
      <c r="D5" s="17" t="s">
        <v>32</v>
      </c>
      <c r="E5" s="18" t="s">
        <v>34</v>
      </c>
      <c r="F5" s="19">
        <f>COUNTIFS(OPI_17[ESTADO],"Desembolsado")</f>
        <v>0</v>
      </c>
      <c r="G5" s="20">
        <f>IFERROR(F4/E4,"")</f>
        <v>0</v>
      </c>
      <c r="H5" s="19">
        <f>COUNTIFS(OPI_17[ESTADO],H$3)</f>
        <v>0</v>
      </c>
      <c r="I5" s="19">
        <f>COUNTIFS(OPI_17[ESTADO],I$3)</f>
        <v>0</v>
      </c>
      <c r="J5" s="19">
        <f>COUNTIFS(OPI_17[ESTADO],J$3)</f>
        <v>0</v>
      </c>
      <c r="K5" s="19">
        <f>COUNTIFS(OPI_17[ESTADO],K$3)</f>
        <v>0</v>
      </c>
      <c r="L5" s="19">
        <f>COUNTIFS(OPI_17[ESTADO],L$3)</f>
        <v>0</v>
      </c>
      <c r="M5" s="19">
        <f>COUNTIFS(OPI_17[ESTADO],M$3)</f>
        <v>0</v>
      </c>
      <c r="N5" s="19">
        <f>COUNTIFS(OPI_17[ESTADO],N$3)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c r="C10" s="27"/>
      <c r="D10" s="66"/>
      <c r="E10" s="32"/>
      <c r="F10" s="32"/>
      <c r="G10" s="34"/>
      <c r="H10" s="34"/>
      <c r="I10" s="25"/>
      <c r="J10" s="66"/>
      <c r="K10" s="38"/>
      <c r="L10" s="25"/>
      <c r="M10" s="66"/>
      <c r="N10" s="41"/>
      <c r="O10" s="66"/>
      <c r="P10" s="50"/>
      <c r="Q10" s="25"/>
    </row>
    <row r="11" ht="22.5" customHeight="1">
      <c r="B11" s="25"/>
      <c r="C11" s="27"/>
      <c r="D11" s="66"/>
      <c r="E11" s="32"/>
      <c r="F11" s="32"/>
      <c r="G11" s="34"/>
      <c r="H11" s="34"/>
      <c r="I11" s="25"/>
      <c r="J11" s="66"/>
      <c r="K11" s="38"/>
      <c r="L11" s="25"/>
      <c r="M11" s="66"/>
      <c r="N11" s="41"/>
      <c r="O11" s="66"/>
      <c r="P11" s="50"/>
      <c r="Q11" s="41"/>
    </row>
    <row r="12" ht="22.5" customHeight="1">
      <c r="B12" s="25"/>
      <c r="C12" s="27"/>
      <c r="D12" s="66"/>
      <c r="E12" s="32"/>
      <c r="F12" s="32"/>
      <c r="G12" s="34"/>
      <c r="H12" s="34"/>
      <c r="I12" s="25"/>
      <c r="J12" s="66"/>
      <c r="K12" s="38"/>
      <c r="L12" s="25"/>
      <c r="M12" s="66"/>
      <c r="N12" s="41"/>
      <c r="O12" s="66"/>
      <c r="P12" s="50"/>
      <c r="Q12" s="41"/>
    </row>
    <row r="13" ht="22.5" customHeight="1">
      <c r="B13" s="25"/>
      <c r="C13" s="27"/>
      <c r="D13" s="66"/>
      <c r="E13" s="32"/>
      <c r="F13" s="32"/>
      <c r="G13" s="34"/>
      <c r="H13" s="34"/>
      <c r="I13" s="25"/>
      <c r="J13" s="66"/>
      <c r="K13" s="38"/>
      <c r="L13" s="25"/>
      <c r="M13" s="66"/>
      <c r="N13" s="41"/>
      <c r="O13" s="66"/>
      <c r="P13" s="50"/>
      <c r="Q13" s="41"/>
    </row>
    <row r="14" ht="22.5" customHeight="1">
      <c r="B14" s="25"/>
      <c r="C14" s="27"/>
      <c r="D14" s="66"/>
      <c r="E14" s="32"/>
      <c r="F14" s="32"/>
      <c r="G14" s="34"/>
      <c r="H14" s="34"/>
      <c r="I14" s="41"/>
      <c r="J14" s="50"/>
      <c r="K14" s="49"/>
      <c r="L14" s="41"/>
      <c r="M14" s="50"/>
      <c r="N14" s="41"/>
      <c r="O14" s="50"/>
      <c r="P14" s="50"/>
      <c r="Q14" s="41"/>
    </row>
    <row r="15" ht="22.5" customHeight="1">
      <c r="B15" s="41"/>
      <c r="C15" s="32"/>
      <c r="D15" s="66"/>
      <c r="E15" s="32"/>
      <c r="F15" s="32"/>
      <c r="G15" s="67"/>
      <c r="H15" s="67"/>
      <c r="I15" s="41"/>
      <c r="J15" s="50"/>
      <c r="K15" s="49"/>
      <c r="L15" s="41"/>
      <c r="M15" s="50"/>
      <c r="N15" s="41"/>
      <c r="O15" s="50"/>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30.0"/>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69</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SUMIFS(OPI_13[MAF NETO],OPI_13[ESTADO],"Desembolsado")</f>
        <v>279880</v>
      </c>
      <c r="G4" s="15">
        <f>F4-E4</f>
        <v>-720120</v>
      </c>
      <c r="H4" s="16">
        <f>SUMIFS(OPI_13[MAF NETO],OPI_13[ESTADO],H$3)</f>
        <v>0</v>
      </c>
      <c r="I4" s="16">
        <f>SUMIFS(OPI_13[MAF NETO],OPI_13[ESTADO],I$3)</f>
        <v>0</v>
      </c>
      <c r="J4" s="16">
        <f>SUMIFS(OPI_13[MAF NETO],OPI_13[ESTADO],J$3)</f>
        <v>0</v>
      </c>
      <c r="K4" s="16">
        <f>SUMIFS(OPI_13[MAF NETO],OPI_13[ESTADO],K$3)</f>
        <v>0</v>
      </c>
      <c r="L4" s="16">
        <f>SUMIFS(OPI_13[MAF NETO],OPI_13[ESTADO],L$3)</f>
        <v>0</v>
      </c>
      <c r="M4" s="16">
        <f>SUMIFS(OPI_13[MAF NETO],OPI_13[ESTADO],M$3)</f>
        <v>0</v>
      </c>
      <c r="N4" s="16">
        <f>SUMIFS(OPI_13[MAF NETO],OPI_13[ESTADO],N$3)</f>
        <v>175920</v>
      </c>
    </row>
    <row r="5" ht="26.25" customHeight="1">
      <c r="D5" s="17" t="s">
        <v>32</v>
      </c>
      <c r="E5" s="18" t="s">
        <v>34</v>
      </c>
      <c r="F5" s="19">
        <f>COUNTIFS(OPI_13[ESTADO],"Desembolsado")</f>
        <v>4</v>
      </c>
      <c r="G5" s="20">
        <f>IFERROR(F4/E4,"")</f>
        <v>0.27988</v>
      </c>
      <c r="H5" s="19">
        <f>COUNTIFS(OPI_13[ESTADO],H$3)</f>
        <v>0</v>
      </c>
      <c r="I5" s="19">
        <f>COUNTIFS(OPI_13[ESTADO],I$3)</f>
        <v>0</v>
      </c>
      <c r="J5" s="19">
        <f>COUNTIFS(OPI_13[ESTADO],J$3)</f>
        <v>0</v>
      </c>
      <c r="K5" s="19">
        <f>COUNTIFS(OPI_13[ESTADO],K$3)</f>
        <v>0</v>
      </c>
      <c r="L5" s="19">
        <f>COUNTIFS(OPI_13[ESTADO],L$3)</f>
        <v>0</v>
      </c>
      <c r="M5" s="19">
        <f>COUNTIFS(OPI_13[ESTADO],M$3)</f>
        <v>0</v>
      </c>
      <c r="N5" s="19">
        <f>COUNTIFS(OPI_13[ESTADO],N$3)</f>
        <v>2</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69</v>
      </c>
      <c r="C10" s="27">
        <v>46158.0</v>
      </c>
      <c r="D10" s="29" t="s">
        <v>83</v>
      </c>
      <c r="E10" s="32"/>
      <c r="F10" s="32"/>
      <c r="G10" s="34" t="s">
        <v>469</v>
      </c>
      <c r="H10" s="34" t="s">
        <v>470</v>
      </c>
      <c r="I10" s="25" t="s">
        <v>90</v>
      </c>
      <c r="J10" s="29" t="s">
        <v>26</v>
      </c>
      <c r="K10" s="38">
        <v>130900.0</v>
      </c>
      <c r="L10" s="25" t="s">
        <v>471</v>
      </c>
      <c r="M10" s="29" t="s">
        <v>75</v>
      </c>
      <c r="N10" s="41"/>
      <c r="O10" s="29" t="s">
        <v>472</v>
      </c>
      <c r="P10" s="50"/>
      <c r="Q10" s="25" t="s">
        <v>473</v>
      </c>
    </row>
    <row r="11" ht="22.5" customHeight="1">
      <c r="B11" s="25" t="s">
        <v>69</v>
      </c>
      <c r="C11" s="27">
        <v>46158.0</v>
      </c>
      <c r="D11" s="29" t="s">
        <v>55</v>
      </c>
      <c r="E11" s="32"/>
      <c r="F11" s="32"/>
      <c r="G11" s="34" t="s">
        <v>474</v>
      </c>
      <c r="H11" s="34" t="s">
        <v>475</v>
      </c>
      <c r="I11" s="25" t="s">
        <v>61</v>
      </c>
      <c r="J11" s="29" t="s">
        <v>18</v>
      </c>
      <c r="K11" s="38">
        <v>83800.0</v>
      </c>
      <c r="L11" s="25" t="s">
        <v>471</v>
      </c>
      <c r="M11" s="29" t="s">
        <v>75</v>
      </c>
      <c r="N11" s="41"/>
      <c r="O11" s="29" t="s">
        <v>476</v>
      </c>
      <c r="P11" s="50"/>
      <c r="Q11" s="41"/>
    </row>
    <row r="12" ht="22.5" customHeight="1">
      <c r="B12" s="25" t="s">
        <v>69</v>
      </c>
      <c r="C12" s="27">
        <v>46163.0</v>
      </c>
      <c r="D12" s="29" t="s">
        <v>55</v>
      </c>
      <c r="E12" s="32"/>
      <c r="F12" s="32"/>
      <c r="G12" s="34" t="s">
        <v>477</v>
      </c>
      <c r="H12" s="34" t="s">
        <v>478</v>
      </c>
      <c r="I12" s="25" t="s">
        <v>166</v>
      </c>
      <c r="J12" s="29" t="s">
        <v>18</v>
      </c>
      <c r="K12" s="38">
        <v>81350.0</v>
      </c>
      <c r="L12" s="25" t="s">
        <v>471</v>
      </c>
      <c r="M12" s="29" t="s">
        <v>75</v>
      </c>
      <c r="N12" s="41"/>
      <c r="O12" s="29" t="s">
        <v>479</v>
      </c>
      <c r="P12" s="50"/>
      <c r="Q12" s="41"/>
    </row>
    <row r="13" ht="22.5" customHeight="1">
      <c r="B13" s="25" t="s">
        <v>69</v>
      </c>
      <c r="C13" s="27">
        <v>46163.0</v>
      </c>
      <c r="D13" s="29" t="s">
        <v>55</v>
      </c>
      <c r="E13" s="32"/>
      <c r="F13" s="32"/>
      <c r="G13" s="34" t="s">
        <v>480</v>
      </c>
      <c r="H13" s="34" t="s">
        <v>481</v>
      </c>
      <c r="I13" s="25" t="s">
        <v>90</v>
      </c>
      <c r="J13" s="29" t="s">
        <v>26</v>
      </c>
      <c r="K13" s="38">
        <v>45020.0</v>
      </c>
      <c r="L13" s="25" t="s">
        <v>482</v>
      </c>
      <c r="M13" s="29" t="s">
        <v>75</v>
      </c>
      <c r="N13" s="41"/>
      <c r="O13" s="29" t="s">
        <v>479</v>
      </c>
      <c r="P13" s="50"/>
      <c r="Q13" s="25" t="s">
        <v>483</v>
      </c>
    </row>
    <row r="14" ht="22.5" customHeight="1">
      <c r="B14" s="25" t="s">
        <v>69</v>
      </c>
      <c r="C14" s="27">
        <v>46169.0</v>
      </c>
      <c r="D14" s="29" t="s">
        <v>55</v>
      </c>
      <c r="E14" s="32"/>
      <c r="F14" s="32"/>
      <c r="G14" s="34" t="s">
        <v>484</v>
      </c>
      <c r="H14" s="34" t="s">
        <v>485</v>
      </c>
      <c r="I14" s="25" t="s">
        <v>166</v>
      </c>
      <c r="J14" s="29" t="s">
        <v>18</v>
      </c>
      <c r="K14" s="38">
        <v>69500.0</v>
      </c>
      <c r="L14" s="25" t="s">
        <v>471</v>
      </c>
      <c r="M14" s="29" t="s">
        <v>75</v>
      </c>
      <c r="N14" s="41"/>
      <c r="O14" s="29" t="s">
        <v>486</v>
      </c>
      <c r="P14" s="50"/>
      <c r="Q14" s="41"/>
    </row>
    <row r="15" ht="22.5" customHeight="1">
      <c r="B15" s="25" t="s">
        <v>69</v>
      </c>
      <c r="C15" s="27">
        <v>46170.0</v>
      </c>
      <c r="D15" s="29" t="s">
        <v>55</v>
      </c>
      <c r="E15" s="32"/>
      <c r="F15" s="32"/>
      <c r="G15" s="34" t="s">
        <v>487</v>
      </c>
      <c r="H15" s="34" t="s">
        <v>488</v>
      </c>
      <c r="I15" s="25" t="s">
        <v>61</v>
      </c>
      <c r="J15" s="29" t="s">
        <v>18</v>
      </c>
      <c r="K15" s="38">
        <v>45230.0</v>
      </c>
      <c r="L15" s="25" t="s">
        <v>482</v>
      </c>
      <c r="M15" s="29" t="s">
        <v>75</v>
      </c>
      <c r="N15" s="41"/>
      <c r="O15" s="29" t="s">
        <v>489</v>
      </c>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F00"/>
    <outlinePr summaryBelow="0" summaryRight="0"/>
  </sheetPr>
  <sheetViews>
    <sheetView showGridLines="0" workbookViewId="0"/>
  </sheetViews>
  <sheetFormatPr customHeight="1" defaultColWidth="12.63" defaultRowHeight="15.75"/>
  <cols>
    <col customWidth="1" min="1" max="1" width="7.63"/>
    <col customWidth="1" min="2" max="2" width="18.88"/>
    <col customWidth="1" min="3" max="3" width="31.13"/>
    <col customWidth="1" min="4" max="4" width="24.38"/>
    <col customWidth="1" min="5" max="5" width="23.88"/>
    <col customWidth="1" min="6" max="6" width="27.63"/>
    <col customWidth="1" min="7" max="7" width="20.63"/>
    <col customWidth="1" min="8" max="8" width="22.63"/>
    <col customWidth="1" min="9" max="9" width="19.25"/>
    <col customWidth="1" min="10" max="10" width="22.88"/>
    <col customWidth="1" min="11" max="11" width="17.0"/>
    <col customWidth="1" min="12" max="12" width="14.25"/>
    <col customWidth="1" min="13" max="13" width="22.5"/>
    <col customWidth="1" min="14" max="14" width="35.0"/>
    <col customWidth="1" min="15" max="15" width="33.13"/>
    <col customWidth="1" min="16" max="16" width="18.25"/>
    <col customWidth="1" min="17" max="17" width="13.75"/>
    <col customWidth="1" min="18" max="18" width="7.63"/>
    <col hidden="1" min="19" max="27" width="12.63"/>
  </cols>
  <sheetData>
    <row r="3" ht="26.25" customHeight="1">
      <c r="D3" s="9" t="s">
        <v>16</v>
      </c>
      <c r="E3" s="10" t="s">
        <v>17</v>
      </c>
      <c r="F3" s="10" t="s">
        <v>18</v>
      </c>
      <c r="G3" s="11" t="s">
        <v>19</v>
      </c>
      <c r="H3" s="10" t="s">
        <v>20</v>
      </c>
      <c r="I3" s="10" t="s">
        <v>21</v>
      </c>
      <c r="J3" s="10" t="s">
        <v>22</v>
      </c>
      <c r="K3" s="10" t="s">
        <v>23</v>
      </c>
      <c r="L3" s="10" t="s">
        <v>24</v>
      </c>
      <c r="M3" s="10" t="s">
        <v>25</v>
      </c>
      <c r="N3" s="10" t="s">
        <v>26</v>
      </c>
    </row>
    <row r="4" ht="26.25" customHeight="1">
      <c r="D4" s="12" t="s">
        <v>27</v>
      </c>
      <c r="E4" s="13">
        <v>1000000.0</v>
      </c>
      <c r="F4" s="15">
        <f>SUMIFS(OPI_2[MAF NETO],OPI_2[ESTADO],"Desembolsado")</f>
        <v>46000</v>
      </c>
      <c r="G4" s="15">
        <f>F4-E4</f>
        <v>-954000</v>
      </c>
      <c r="H4" s="16">
        <f>SUMIFS(OPI_2[MAF NETO],OPI_2[ESTADO],H$3)</f>
        <v>0</v>
      </c>
      <c r="I4" s="16">
        <f>SUMIFS(OPI_2[MAF NETO],OPI_2[ESTADO],I$3)</f>
        <v>0</v>
      </c>
      <c r="J4" s="16">
        <f>SUMIFS(OPI_2[MAF NETO],OPI_2[ESTADO],J$3)</f>
        <v>0</v>
      </c>
      <c r="K4" s="16">
        <f>SUMIFS(OPI_2[MAF NETO],OPI_2[ESTADO],K$3)</f>
        <v>0</v>
      </c>
      <c r="L4" s="16">
        <f>SUMIFS(OPI_2[MAF NETO],OPI_2[ESTADO],L$3)</f>
        <v>0</v>
      </c>
      <c r="M4" s="16">
        <f>SUMIFS(OPI_2[MAF NETO],OPI_2[ESTADO],M$3)</f>
        <v>0</v>
      </c>
      <c r="N4" s="16">
        <f>SUMIFS(OPI_2[MAF NETO],OPI_2[ESTADO],N$3)</f>
        <v>0</v>
      </c>
    </row>
    <row r="5" ht="26.25" customHeight="1">
      <c r="D5" s="17" t="s">
        <v>32</v>
      </c>
      <c r="E5" s="18" t="s">
        <v>34</v>
      </c>
      <c r="F5" s="19">
        <f>COUNTIFS(OPI_2[ESTADO],"Desembolsado")</f>
        <v>1</v>
      </c>
      <c r="G5" s="20">
        <f>IFERROR(F4/E4,"")</f>
        <v>0.046</v>
      </c>
      <c r="H5" s="19">
        <f>COUNTIFS(OPI_2[ESTADO],H$3)</f>
        <v>0</v>
      </c>
      <c r="I5" s="19">
        <f>COUNTIFS(OPI_2[ESTADO],I$3)</f>
        <v>0</v>
      </c>
      <c r="J5" s="19">
        <f>COUNTIFS(OPI_2[ESTADO],J$3)</f>
        <v>0</v>
      </c>
      <c r="K5" s="19">
        <f>COUNTIFS(OPI_2[ESTADO],K$3)</f>
        <v>0</v>
      </c>
      <c r="L5" s="19">
        <f>COUNTIFS(OPI_2[ESTADO],L$3)</f>
        <v>0</v>
      </c>
      <c r="M5" s="19">
        <f>COUNTIFS(OPI_2[ESTADO],M$3)</f>
        <v>0</v>
      </c>
      <c r="N5" s="19">
        <f>COUNTIFS(OPI_2[ESTADO],N$3)</f>
        <v>0</v>
      </c>
    </row>
    <row r="9" ht="22.5" customHeight="1">
      <c r="A9" s="21"/>
      <c r="B9" s="22" t="s">
        <v>37</v>
      </c>
      <c r="C9" s="22" t="s">
        <v>38</v>
      </c>
      <c r="D9" s="23" t="s">
        <v>39</v>
      </c>
      <c r="E9" s="22" t="s">
        <v>41</v>
      </c>
      <c r="F9" s="22" t="s">
        <v>42</v>
      </c>
      <c r="G9" s="22" t="s">
        <v>43</v>
      </c>
      <c r="H9" s="22" t="s">
        <v>44</v>
      </c>
      <c r="I9" s="22" t="s">
        <v>45</v>
      </c>
      <c r="J9" s="23" t="s">
        <v>46</v>
      </c>
      <c r="K9" s="22" t="s">
        <v>47</v>
      </c>
      <c r="L9" s="22" t="s">
        <v>48</v>
      </c>
      <c r="M9" s="23" t="s">
        <v>49</v>
      </c>
      <c r="N9" s="22" t="s">
        <v>50</v>
      </c>
      <c r="O9" s="23" t="s">
        <v>51</v>
      </c>
      <c r="P9" s="23" t="s">
        <v>53</v>
      </c>
      <c r="Q9" s="22" t="s">
        <v>54</v>
      </c>
    </row>
    <row r="10" ht="22.5" customHeight="1">
      <c r="B10" s="25" t="s">
        <v>490</v>
      </c>
      <c r="C10" s="27">
        <v>46148.0</v>
      </c>
      <c r="D10" s="29" t="s">
        <v>55</v>
      </c>
      <c r="E10" s="27">
        <v>46153.0</v>
      </c>
      <c r="F10" s="27">
        <v>46153.0</v>
      </c>
      <c r="G10" s="34" t="s">
        <v>491</v>
      </c>
      <c r="H10" s="34" t="s">
        <v>492</v>
      </c>
      <c r="I10" s="25" t="s">
        <v>61</v>
      </c>
      <c r="J10" s="29" t="s">
        <v>18</v>
      </c>
      <c r="K10" s="38">
        <v>46000.0</v>
      </c>
      <c r="L10" s="41"/>
      <c r="M10" s="66"/>
      <c r="N10" s="41"/>
      <c r="O10" s="50"/>
      <c r="P10" s="50"/>
      <c r="Q10" s="41"/>
    </row>
    <row r="11" ht="22.5" customHeight="1">
      <c r="B11" s="41"/>
      <c r="C11" s="32"/>
      <c r="D11" s="66"/>
      <c r="E11" s="32"/>
      <c r="F11" s="32"/>
      <c r="G11" s="34"/>
      <c r="H11" s="67"/>
      <c r="I11" s="41"/>
      <c r="J11" s="50"/>
      <c r="K11" s="49"/>
      <c r="L11" s="41"/>
      <c r="M11" s="50"/>
      <c r="N11" s="41"/>
      <c r="O11" s="50"/>
      <c r="P11" s="50"/>
      <c r="Q11" s="41"/>
    </row>
    <row r="12" ht="22.5" customHeight="1">
      <c r="B12" s="41"/>
      <c r="C12" s="32"/>
      <c r="D12" s="66"/>
      <c r="E12" s="32"/>
      <c r="F12" s="32"/>
      <c r="G12" s="67"/>
      <c r="H12" s="67"/>
      <c r="I12" s="41"/>
      <c r="J12" s="50"/>
      <c r="K12" s="49"/>
      <c r="L12" s="41"/>
      <c r="M12" s="50"/>
      <c r="N12" s="41"/>
      <c r="O12" s="50"/>
      <c r="P12" s="50"/>
      <c r="Q12" s="41"/>
    </row>
    <row r="13" ht="22.5" customHeight="1">
      <c r="B13" s="41"/>
      <c r="C13" s="32"/>
      <c r="D13" s="66"/>
      <c r="E13" s="32"/>
      <c r="F13" s="32"/>
      <c r="G13" s="67"/>
      <c r="H13" s="67"/>
      <c r="I13" s="41"/>
      <c r="J13" s="50"/>
      <c r="K13" s="49"/>
      <c r="L13" s="41"/>
      <c r="M13" s="50"/>
      <c r="N13" s="41"/>
      <c r="O13" s="50"/>
      <c r="P13" s="50"/>
      <c r="Q13" s="41"/>
    </row>
    <row r="14" ht="22.5" customHeight="1">
      <c r="B14" s="41"/>
      <c r="C14" s="32"/>
      <c r="D14" s="66"/>
      <c r="E14" s="32"/>
      <c r="F14" s="32"/>
      <c r="G14" s="67"/>
      <c r="H14" s="67"/>
      <c r="I14" s="41"/>
      <c r="J14" s="50"/>
      <c r="K14" s="49"/>
      <c r="L14" s="41"/>
      <c r="M14" s="50"/>
      <c r="N14" s="41"/>
      <c r="O14" s="50"/>
      <c r="P14" s="50"/>
      <c r="Q14" s="41"/>
    </row>
    <row r="15" ht="22.5" customHeight="1">
      <c r="B15" s="41"/>
      <c r="C15" s="32"/>
      <c r="D15" s="66"/>
      <c r="E15" s="32"/>
      <c r="F15" s="32"/>
      <c r="G15" s="67"/>
      <c r="H15" s="67"/>
      <c r="I15" s="41"/>
      <c r="J15" s="50"/>
      <c r="K15" s="49"/>
      <c r="L15" s="41"/>
      <c r="M15" s="50"/>
      <c r="N15" s="41"/>
      <c r="O15" s="50"/>
      <c r="P15" s="50"/>
      <c r="Q15" s="41"/>
    </row>
    <row r="16" ht="22.5" customHeight="1">
      <c r="B16" s="41"/>
      <c r="C16" s="32"/>
      <c r="D16" s="66"/>
      <c r="E16" s="32"/>
      <c r="F16" s="32"/>
      <c r="G16" s="67"/>
      <c r="H16" s="67"/>
      <c r="I16" s="41"/>
      <c r="J16" s="50"/>
      <c r="K16" s="49"/>
      <c r="L16" s="41"/>
      <c r="M16" s="50"/>
      <c r="N16" s="41"/>
      <c r="O16" s="50"/>
      <c r="P16" s="50"/>
      <c r="Q16" s="41"/>
    </row>
    <row r="17" ht="22.5" customHeight="1">
      <c r="B17" s="41"/>
      <c r="C17" s="32"/>
      <c r="D17" s="66"/>
      <c r="E17" s="32"/>
      <c r="F17" s="32"/>
      <c r="G17" s="67"/>
      <c r="H17" s="67"/>
      <c r="I17" s="41"/>
      <c r="J17" s="50"/>
      <c r="K17" s="49"/>
      <c r="L17" s="41"/>
      <c r="M17" s="50"/>
      <c r="N17" s="41"/>
      <c r="O17" s="50"/>
      <c r="P17" s="50"/>
      <c r="Q17" s="41"/>
    </row>
    <row r="18" ht="22.5" customHeight="1">
      <c r="B18" s="41"/>
      <c r="C18" s="32"/>
      <c r="D18" s="66"/>
      <c r="E18" s="32"/>
      <c r="F18" s="32"/>
      <c r="G18" s="67"/>
      <c r="H18" s="67"/>
      <c r="I18" s="41"/>
      <c r="J18" s="50"/>
      <c r="K18" s="49"/>
      <c r="L18" s="41"/>
      <c r="M18" s="50"/>
      <c r="N18" s="41"/>
      <c r="O18" s="50"/>
      <c r="P18" s="50"/>
      <c r="Q18" s="41"/>
    </row>
    <row r="19" ht="22.5" customHeight="1">
      <c r="B19" s="41"/>
      <c r="C19" s="32"/>
      <c r="D19" s="66"/>
      <c r="E19" s="32"/>
      <c r="F19" s="32"/>
      <c r="G19" s="67"/>
      <c r="H19" s="67"/>
      <c r="I19" s="41"/>
      <c r="J19" s="50"/>
      <c r="K19" s="49"/>
      <c r="L19" s="41"/>
      <c r="M19" s="50"/>
      <c r="N19" s="41"/>
      <c r="O19" s="50"/>
      <c r="P19" s="50"/>
      <c r="Q19" s="41"/>
    </row>
    <row r="20" ht="22.5" customHeight="1">
      <c r="B20" s="41"/>
      <c r="C20" s="32"/>
      <c r="D20" s="66"/>
      <c r="E20" s="32"/>
      <c r="F20" s="32"/>
      <c r="G20" s="67"/>
      <c r="H20" s="67"/>
      <c r="I20" s="41"/>
      <c r="J20" s="50"/>
      <c r="K20" s="49"/>
      <c r="L20" s="41"/>
      <c r="M20" s="50"/>
      <c r="N20" s="41"/>
      <c r="O20" s="50"/>
      <c r="P20" s="50"/>
      <c r="Q20" s="41"/>
    </row>
    <row r="21" ht="22.5" customHeight="1">
      <c r="B21" s="41"/>
      <c r="C21" s="32"/>
      <c r="D21" s="66"/>
      <c r="E21" s="32"/>
      <c r="F21" s="32"/>
      <c r="G21" s="67"/>
      <c r="H21" s="67"/>
      <c r="I21" s="41"/>
      <c r="J21" s="50"/>
      <c r="K21" s="49"/>
      <c r="L21" s="41"/>
      <c r="M21" s="50"/>
      <c r="N21" s="41"/>
      <c r="O21" s="50"/>
      <c r="P21" s="50"/>
      <c r="Q21" s="41"/>
    </row>
    <row r="22" ht="22.5" customHeight="1">
      <c r="B22" s="41"/>
      <c r="C22" s="32"/>
      <c r="D22" s="66"/>
      <c r="E22" s="32"/>
      <c r="F22" s="32"/>
      <c r="G22" s="67"/>
      <c r="H22" s="67"/>
      <c r="I22" s="41"/>
      <c r="J22" s="50"/>
      <c r="K22" s="49"/>
      <c r="L22" s="41"/>
      <c r="M22" s="50"/>
      <c r="N22" s="41"/>
      <c r="O22" s="50"/>
      <c r="P22" s="50"/>
      <c r="Q22" s="41"/>
    </row>
    <row r="23" ht="22.5" customHeight="1">
      <c r="B23" s="41"/>
      <c r="C23" s="32"/>
      <c r="D23" s="66"/>
      <c r="E23" s="32"/>
      <c r="F23" s="32"/>
      <c r="G23" s="67"/>
      <c r="H23" s="67"/>
      <c r="I23" s="41"/>
      <c r="J23" s="50"/>
      <c r="K23" s="49"/>
      <c r="L23" s="41"/>
      <c r="M23" s="50"/>
      <c r="N23" s="41"/>
      <c r="O23" s="50"/>
      <c r="P23" s="50"/>
      <c r="Q23" s="41"/>
    </row>
    <row r="24" ht="22.5" customHeight="1">
      <c r="B24" s="41"/>
      <c r="C24" s="32"/>
      <c r="D24" s="66"/>
      <c r="E24" s="32"/>
      <c r="F24" s="32"/>
      <c r="G24" s="67"/>
      <c r="H24" s="67"/>
      <c r="I24" s="41"/>
      <c r="J24" s="50"/>
      <c r="K24" s="49"/>
      <c r="L24" s="41"/>
      <c r="M24" s="50"/>
      <c r="N24" s="41"/>
      <c r="O24" s="50"/>
      <c r="P24" s="50"/>
      <c r="Q24" s="41"/>
    </row>
    <row r="25" ht="22.5" customHeight="1">
      <c r="B25" s="41"/>
      <c r="C25" s="32"/>
      <c r="D25" s="66"/>
      <c r="E25" s="32"/>
      <c r="F25" s="32"/>
      <c r="G25" s="67"/>
      <c r="H25" s="67"/>
      <c r="I25" s="41"/>
      <c r="J25" s="50"/>
      <c r="K25" s="49"/>
      <c r="L25" s="41"/>
      <c r="M25" s="50"/>
      <c r="N25" s="41"/>
      <c r="O25" s="50"/>
      <c r="P25" s="50"/>
      <c r="Q25" s="41"/>
    </row>
    <row r="26" ht="22.5" customHeight="1">
      <c r="B26" s="41"/>
      <c r="C26" s="32"/>
      <c r="D26" s="66"/>
      <c r="E26" s="32"/>
      <c r="F26" s="32"/>
      <c r="G26" s="67"/>
      <c r="H26" s="67"/>
      <c r="I26" s="41"/>
      <c r="J26" s="50"/>
      <c r="K26" s="49"/>
      <c r="L26" s="41"/>
      <c r="M26" s="50"/>
      <c r="N26" s="41"/>
      <c r="O26" s="50"/>
      <c r="P26" s="50"/>
      <c r="Q26" s="41"/>
    </row>
    <row r="27" ht="22.5" customHeight="1">
      <c r="B27" s="41"/>
      <c r="C27" s="32"/>
      <c r="D27" s="66"/>
      <c r="E27" s="32"/>
      <c r="F27" s="32"/>
      <c r="G27" s="67"/>
      <c r="H27" s="67"/>
      <c r="I27" s="41"/>
      <c r="J27" s="50"/>
      <c r="K27" s="49"/>
      <c r="L27" s="41"/>
      <c r="M27" s="50"/>
      <c r="N27" s="41"/>
      <c r="O27" s="50"/>
      <c r="P27" s="50"/>
      <c r="Q27" s="41"/>
    </row>
    <row r="28" ht="22.5" customHeight="1">
      <c r="B28" s="41"/>
      <c r="C28" s="32"/>
      <c r="D28" s="66"/>
      <c r="E28" s="32"/>
      <c r="F28" s="32"/>
      <c r="G28" s="67"/>
      <c r="H28" s="67"/>
      <c r="I28" s="41"/>
      <c r="J28" s="50"/>
      <c r="K28" s="49"/>
      <c r="L28" s="41"/>
      <c r="M28" s="50"/>
      <c r="N28" s="41"/>
      <c r="O28" s="50"/>
      <c r="P28" s="50"/>
      <c r="Q28" s="41"/>
    </row>
    <row r="29" ht="22.5" customHeight="1">
      <c r="B29" s="41"/>
      <c r="C29" s="32"/>
      <c r="D29" s="66"/>
      <c r="E29" s="32"/>
      <c r="F29" s="32"/>
      <c r="G29" s="67"/>
      <c r="H29" s="67"/>
      <c r="I29" s="41"/>
      <c r="J29" s="50"/>
      <c r="K29" s="49"/>
      <c r="L29" s="41"/>
      <c r="M29" s="50"/>
      <c r="N29" s="41"/>
      <c r="O29" s="50"/>
      <c r="P29" s="50"/>
      <c r="Q29" s="41"/>
    </row>
    <row r="30" ht="22.5" customHeight="1">
      <c r="B30" s="41"/>
      <c r="C30" s="32"/>
      <c r="D30" s="66"/>
      <c r="E30" s="32"/>
      <c r="F30" s="32"/>
      <c r="G30" s="67"/>
      <c r="H30" s="67"/>
      <c r="I30" s="41"/>
      <c r="J30" s="50"/>
      <c r="K30" s="49"/>
      <c r="L30" s="41"/>
      <c r="M30" s="50"/>
      <c r="N30" s="41"/>
      <c r="O30" s="50"/>
      <c r="P30" s="50"/>
      <c r="Q30" s="41"/>
    </row>
    <row r="31" ht="22.5" customHeight="1">
      <c r="B31" s="41"/>
      <c r="C31" s="32"/>
      <c r="D31" s="66"/>
      <c r="E31" s="32"/>
      <c r="F31" s="32"/>
      <c r="G31" s="67"/>
      <c r="H31" s="67"/>
      <c r="I31" s="41"/>
      <c r="J31" s="50"/>
      <c r="K31" s="49"/>
      <c r="L31" s="41"/>
      <c r="M31" s="50"/>
      <c r="N31" s="41"/>
      <c r="O31" s="50"/>
      <c r="P31" s="50"/>
      <c r="Q31" s="41"/>
    </row>
    <row r="32" ht="22.5" customHeight="1">
      <c r="B32" s="41"/>
      <c r="C32" s="32"/>
      <c r="D32" s="66"/>
      <c r="E32" s="32"/>
      <c r="F32" s="32"/>
      <c r="G32" s="67"/>
      <c r="H32" s="67"/>
      <c r="I32" s="41"/>
      <c r="J32" s="50"/>
      <c r="K32" s="49"/>
      <c r="L32" s="41"/>
      <c r="M32" s="50"/>
      <c r="N32" s="41"/>
      <c r="O32" s="50"/>
      <c r="P32" s="50"/>
      <c r="Q32" s="41"/>
    </row>
    <row r="33" ht="22.5" customHeight="1">
      <c r="B33" s="41"/>
      <c r="C33" s="32"/>
      <c r="D33" s="66"/>
      <c r="E33" s="32"/>
      <c r="F33" s="32"/>
      <c r="G33" s="67"/>
      <c r="H33" s="67"/>
      <c r="I33" s="41"/>
      <c r="J33" s="50"/>
      <c r="K33" s="49"/>
      <c r="L33" s="41"/>
      <c r="M33" s="50"/>
      <c r="N33" s="41"/>
      <c r="O33" s="50"/>
      <c r="P33" s="50"/>
      <c r="Q33" s="41"/>
    </row>
    <row r="34" ht="22.5" customHeight="1">
      <c r="B34" s="41"/>
      <c r="C34" s="32"/>
      <c r="D34" s="66"/>
      <c r="E34" s="32"/>
      <c r="F34" s="32"/>
      <c r="G34" s="67"/>
      <c r="H34" s="67"/>
      <c r="I34" s="41"/>
      <c r="J34" s="50"/>
      <c r="K34" s="49"/>
      <c r="L34" s="41"/>
      <c r="M34" s="50"/>
      <c r="N34" s="41"/>
      <c r="O34" s="50"/>
      <c r="P34" s="50"/>
      <c r="Q34" s="41"/>
    </row>
    <row r="35" ht="22.5" customHeight="1">
      <c r="B35" s="41"/>
      <c r="C35" s="32"/>
      <c r="D35" s="66"/>
      <c r="E35" s="32"/>
      <c r="F35" s="32"/>
      <c r="G35" s="67"/>
      <c r="H35" s="67"/>
      <c r="I35" s="41"/>
      <c r="J35" s="50"/>
      <c r="K35" s="49"/>
      <c r="L35" s="41"/>
      <c r="M35" s="50"/>
      <c r="N35" s="41"/>
      <c r="O35" s="50"/>
      <c r="P35" s="50"/>
      <c r="Q35" s="41"/>
    </row>
    <row r="36" ht="22.5" customHeight="1">
      <c r="B36" s="41"/>
      <c r="C36" s="32"/>
      <c r="D36" s="66"/>
      <c r="E36" s="32"/>
      <c r="F36" s="32"/>
      <c r="G36" s="67"/>
      <c r="H36" s="67"/>
      <c r="I36" s="41"/>
      <c r="J36" s="50"/>
      <c r="K36" s="49"/>
      <c r="L36" s="41"/>
      <c r="M36" s="50"/>
      <c r="N36" s="41"/>
      <c r="O36" s="50"/>
      <c r="P36" s="50"/>
      <c r="Q36" s="41"/>
    </row>
    <row r="37" ht="22.5" customHeight="1">
      <c r="B37" s="41"/>
      <c r="C37" s="32"/>
      <c r="D37" s="66"/>
      <c r="E37" s="32"/>
      <c r="F37" s="32"/>
      <c r="G37" s="67"/>
      <c r="H37" s="67"/>
      <c r="I37" s="41"/>
      <c r="J37" s="50"/>
      <c r="K37" s="49"/>
      <c r="L37" s="41"/>
      <c r="M37" s="50"/>
      <c r="N37" s="41"/>
      <c r="O37" s="50"/>
      <c r="P37" s="50"/>
      <c r="Q37" s="41"/>
    </row>
    <row r="38" ht="22.5" customHeight="1">
      <c r="B38" s="41"/>
      <c r="C38" s="32"/>
      <c r="D38" s="66"/>
      <c r="E38" s="32"/>
      <c r="F38" s="32"/>
      <c r="G38" s="67"/>
      <c r="H38" s="67"/>
      <c r="I38" s="41"/>
      <c r="J38" s="50"/>
      <c r="K38" s="49"/>
      <c r="L38" s="41"/>
      <c r="M38" s="50"/>
      <c r="N38" s="41"/>
      <c r="O38" s="50"/>
      <c r="P38" s="50"/>
      <c r="Q38" s="41"/>
    </row>
    <row r="39" ht="22.5" customHeight="1">
      <c r="B39" s="41"/>
      <c r="C39" s="32"/>
      <c r="D39" s="66"/>
      <c r="E39" s="32"/>
      <c r="F39" s="32"/>
      <c r="G39" s="67"/>
      <c r="H39" s="67"/>
      <c r="I39" s="41"/>
      <c r="J39" s="50"/>
      <c r="K39" s="49"/>
      <c r="L39" s="41"/>
      <c r="M39" s="50"/>
      <c r="N39" s="41"/>
      <c r="O39" s="50"/>
      <c r="P39" s="50"/>
      <c r="Q39" s="41"/>
    </row>
    <row r="40" ht="22.5" customHeight="1">
      <c r="B40" s="41"/>
      <c r="C40" s="32"/>
      <c r="D40" s="66"/>
      <c r="E40" s="32"/>
      <c r="F40" s="32"/>
      <c r="G40" s="67"/>
      <c r="H40" s="67"/>
      <c r="I40" s="41"/>
      <c r="J40" s="50"/>
      <c r="K40" s="49"/>
      <c r="L40" s="41"/>
      <c r="M40" s="50"/>
      <c r="N40" s="41"/>
      <c r="O40" s="50"/>
      <c r="P40" s="50"/>
      <c r="Q40" s="41"/>
    </row>
    <row r="41" ht="22.5" customHeight="1">
      <c r="B41" s="41"/>
      <c r="C41" s="32"/>
      <c r="D41" s="66"/>
      <c r="E41" s="32"/>
      <c r="F41" s="32"/>
      <c r="G41" s="67"/>
      <c r="H41" s="67"/>
      <c r="I41" s="41"/>
      <c r="J41" s="50"/>
      <c r="K41" s="49"/>
      <c r="L41" s="41"/>
      <c r="M41" s="50"/>
      <c r="N41" s="41"/>
      <c r="O41" s="50"/>
      <c r="P41" s="50"/>
      <c r="Q41" s="41"/>
    </row>
    <row r="42" ht="22.5" customHeight="1">
      <c r="B42" s="41"/>
      <c r="C42" s="32"/>
      <c r="D42" s="66"/>
      <c r="E42" s="32"/>
      <c r="F42" s="32"/>
      <c r="G42" s="67"/>
      <c r="H42" s="67"/>
      <c r="I42" s="41"/>
      <c r="J42" s="50"/>
      <c r="K42" s="49"/>
      <c r="L42" s="41"/>
      <c r="M42" s="50"/>
      <c r="N42" s="41"/>
      <c r="O42" s="50"/>
      <c r="P42" s="50"/>
      <c r="Q42" s="41"/>
    </row>
    <row r="43" ht="22.5" customHeight="1">
      <c r="B43" s="41"/>
      <c r="C43" s="32"/>
      <c r="D43" s="66"/>
      <c r="E43" s="32"/>
      <c r="F43" s="32"/>
      <c r="G43" s="67"/>
      <c r="H43" s="67"/>
      <c r="I43" s="41"/>
      <c r="J43" s="50"/>
      <c r="K43" s="49"/>
      <c r="L43" s="41"/>
      <c r="M43" s="50"/>
      <c r="N43" s="41"/>
      <c r="O43" s="50"/>
      <c r="P43" s="50"/>
      <c r="Q43" s="41"/>
    </row>
    <row r="44" ht="22.5" customHeight="1">
      <c r="B44" s="41"/>
      <c r="C44" s="32"/>
      <c r="D44" s="66"/>
      <c r="E44" s="32"/>
      <c r="F44" s="32"/>
      <c r="G44" s="67"/>
      <c r="H44" s="67"/>
      <c r="I44" s="41"/>
      <c r="J44" s="50"/>
      <c r="K44" s="49"/>
      <c r="L44" s="41"/>
      <c r="M44" s="50"/>
      <c r="N44" s="41"/>
      <c r="O44" s="50"/>
      <c r="P44" s="50"/>
      <c r="Q44" s="41"/>
    </row>
    <row r="45" ht="22.5" customHeight="1">
      <c r="B45" s="41"/>
      <c r="C45" s="32"/>
      <c r="D45" s="66"/>
      <c r="E45" s="32"/>
      <c r="F45" s="32"/>
      <c r="G45" s="67"/>
      <c r="H45" s="67"/>
      <c r="I45" s="41"/>
      <c r="J45" s="50"/>
      <c r="K45" s="49"/>
      <c r="L45" s="41"/>
      <c r="M45" s="50"/>
      <c r="N45" s="41"/>
      <c r="O45" s="50"/>
      <c r="P45" s="50"/>
      <c r="Q45" s="41"/>
    </row>
    <row r="46" ht="22.5" customHeight="1">
      <c r="B46" s="41"/>
      <c r="C46" s="32"/>
      <c r="D46" s="66"/>
      <c r="E46" s="32"/>
      <c r="F46" s="32"/>
      <c r="G46" s="67"/>
      <c r="H46" s="67"/>
      <c r="I46" s="41"/>
      <c r="J46" s="50"/>
      <c r="K46" s="49"/>
      <c r="L46" s="41"/>
      <c r="M46" s="50"/>
      <c r="N46" s="41"/>
      <c r="O46" s="50"/>
      <c r="P46" s="50"/>
      <c r="Q46" s="41"/>
    </row>
    <row r="47" ht="22.5" customHeight="1">
      <c r="B47" s="41"/>
      <c r="C47" s="32"/>
      <c r="D47" s="66"/>
      <c r="E47" s="32"/>
      <c r="F47" s="32"/>
      <c r="G47" s="67"/>
      <c r="H47" s="67"/>
      <c r="I47" s="41"/>
      <c r="J47" s="50"/>
      <c r="K47" s="49"/>
      <c r="L47" s="41"/>
      <c r="M47" s="50"/>
      <c r="N47" s="41"/>
      <c r="O47" s="50"/>
      <c r="P47" s="50"/>
      <c r="Q47" s="41"/>
    </row>
    <row r="48" ht="22.5" customHeight="1">
      <c r="B48" s="41"/>
      <c r="C48" s="32"/>
      <c r="D48" s="66"/>
      <c r="E48" s="32"/>
      <c r="F48" s="32"/>
      <c r="G48" s="67"/>
      <c r="H48" s="67"/>
      <c r="I48" s="41"/>
      <c r="J48" s="50"/>
      <c r="K48" s="49"/>
      <c r="L48" s="41"/>
      <c r="M48" s="50"/>
      <c r="N48" s="41"/>
      <c r="O48" s="50"/>
      <c r="P48" s="50"/>
      <c r="Q48" s="41"/>
    </row>
    <row r="49" ht="22.5" customHeight="1">
      <c r="B49" s="41"/>
      <c r="C49" s="32"/>
      <c r="D49" s="66"/>
      <c r="E49" s="32"/>
      <c r="F49" s="32"/>
      <c r="G49" s="67"/>
      <c r="H49" s="67"/>
      <c r="I49" s="41"/>
      <c r="J49" s="50"/>
      <c r="K49" s="49"/>
      <c r="L49" s="41"/>
      <c r="M49" s="50"/>
      <c r="N49" s="41"/>
      <c r="O49" s="50"/>
      <c r="P49" s="50"/>
      <c r="Q49" s="41"/>
    </row>
    <row r="50" ht="22.5" customHeight="1">
      <c r="B50" s="41"/>
      <c r="C50" s="32"/>
      <c r="D50" s="66"/>
      <c r="E50" s="32"/>
      <c r="F50" s="32"/>
      <c r="G50" s="67"/>
      <c r="H50" s="67"/>
      <c r="I50" s="41"/>
      <c r="J50" s="50"/>
      <c r="K50" s="49"/>
      <c r="L50" s="41"/>
      <c r="M50" s="50"/>
      <c r="N50" s="41"/>
      <c r="O50" s="50"/>
      <c r="P50" s="50"/>
      <c r="Q50" s="41"/>
    </row>
    <row r="51" ht="22.5" customHeight="1">
      <c r="B51" s="41"/>
      <c r="C51" s="32"/>
      <c r="D51" s="66"/>
      <c r="E51" s="32"/>
      <c r="F51" s="32"/>
      <c r="G51" s="67"/>
      <c r="H51" s="67"/>
      <c r="I51" s="41"/>
      <c r="J51" s="50"/>
      <c r="K51" s="49"/>
      <c r="L51" s="41"/>
      <c r="M51" s="50"/>
      <c r="N51" s="41"/>
      <c r="O51" s="50"/>
      <c r="P51" s="50"/>
      <c r="Q51" s="41"/>
    </row>
    <row r="52" ht="22.5" customHeight="1">
      <c r="B52" s="41"/>
      <c r="C52" s="32"/>
      <c r="D52" s="66"/>
      <c r="E52" s="32"/>
      <c r="F52" s="32"/>
      <c r="G52" s="67"/>
      <c r="H52" s="67"/>
      <c r="I52" s="41"/>
      <c r="J52" s="50"/>
      <c r="K52" s="49"/>
      <c r="L52" s="41"/>
      <c r="M52" s="50"/>
      <c r="N52" s="41"/>
      <c r="O52" s="50"/>
      <c r="P52" s="50"/>
      <c r="Q52" s="41"/>
    </row>
  </sheetData>
  <conditionalFormatting sqref="G4">
    <cfRule type="cellIs" dxfId="5" priority="1" operator="lessThan">
      <formula>0</formula>
    </cfRule>
  </conditionalFormatting>
  <conditionalFormatting sqref="G4">
    <cfRule type="cellIs" dxfId="6" priority="2" operator="greaterThanOrEqual">
      <formula>0</formula>
    </cfRule>
  </conditionalFormatting>
  <dataValidations>
    <dataValidation type="list" allowBlank="1" sqref="D10:D52">
      <formula1>"Enviada,Aprobada,Rechazada"</formula1>
    </dataValidation>
    <dataValidation type="list" allowBlank="1" sqref="J10:J52">
      <formula1>"Pendiente De Documentar,Pendiente De Remesa,Pendiente de BackOffice,Evaluación BCP,Obs BackOffice,Obs BCP,Rechazado,Desembolsado"</formula1>
    </dataValidation>
    <dataValidation type="list" allowBlank="1" sqref="M10:M52 O10:P52">
      <formula1>"Si,No"</formula1>
    </dataValidation>
    <dataValidation type="custom" allowBlank="1" showDropDown="1" sqref="C10:C52 E10:F52">
      <formula1>OR(NOT(ISERROR(DATEVALUE(C10))), AND(ISNUMBER(C10), LEFT(CELL("format", C10))="D"))</formula1>
    </dataValidation>
    <dataValidation type="custom" allowBlank="1" showDropDown="1" sqref="K10:K52">
      <formula1>AND(ISNUMBER(K10),(NOT(OR(NOT(ISERROR(DATEVALUE(K10))), AND(ISNUMBER(K10), LEFT(CELL("format", K10))="D")))))</formula1>
    </dataValidation>
    <dataValidation allowBlank="1" showDropDown="1" sqref="G10:H52"/>
  </dataValidations>
  <drawing r:id="rId1"/>
  <tableParts count="1">
    <tablePart r:id="rId3"/>
  </tableParts>
</worksheet>
</file>