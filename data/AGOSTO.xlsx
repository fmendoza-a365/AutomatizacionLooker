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5"/>
    <sheet state="visible" name="ANGIE SILVERA" sheetId="2" r:id="rId6"/>
    <sheet state="visible" name="NAHOMI DIAZ" sheetId="3" r:id="rId7"/>
    <sheet state="visible" name="JHON ZAMORA" sheetId="4" r:id="rId8"/>
    <sheet state="visible" name="WENDY IPANEQUE" sheetId="5" r:id="rId9"/>
    <sheet state="visible" name="OMAR MINAYA" sheetId="6" r:id="rId10"/>
    <sheet state="visible" name="NATHALIE ARANDA" sheetId="7" r:id="rId11"/>
    <sheet state="visible" name="LUIS CHUSE" sheetId="8" r:id="rId12"/>
    <sheet state="visible" name="ANA ALIAGA" sheetId="9" r:id="rId13"/>
    <sheet state="visible" name="MERCEDES GIRALDO" sheetId="10" r:id="rId14"/>
    <sheet state="visible" name="JIMMY COLLAZOS" sheetId="11" r:id="rId15"/>
    <sheet state="visible" name="KENNY MORALES" sheetId="12" r:id="rId16"/>
    <sheet state="visible" name="WINNIE ESCALANTE" sheetId="13" r:id="rId17"/>
    <sheet state="visible" name="MARIELLA PAÑAHUA" sheetId="14" r:id="rId18"/>
    <sheet state="visible" name="JOSE LUIS QUINTEROS" sheetId="15" r:id="rId19"/>
    <sheet state="visible" name="ELIZABETH ESQUIVEL" sheetId="16" r:id="rId20"/>
    <sheet state="visible" name="MILUSKA LINARES" sheetId="17" r:id="rId21"/>
    <sheet state="visible" name="THALIA SALOME" sheetId="18" r:id="rId22"/>
    <sheet state="visible" name="VIOLETA LLERENA" sheetId="19" r:id="rId23"/>
    <sheet state="visible" name="ARACELY VENTURA" sheetId="20" r:id="rId24"/>
    <sheet state="visible" name="ALEXANDRA GUZMAN" sheetId="21" r:id="rId25"/>
    <sheet state="visible" name="RENZO CACEDA" sheetId="22" r:id="rId26"/>
  </sheets>
  <definedNames>
    <definedName hidden="1" localSheetId="1" name="_xlnm._FilterDatabase">'ANGIE SILVERA'!$B$9:$Q$52</definedName>
    <definedName hidden="1" localSheetId="4" name="_xlnm._FilterDatabase">'WENDY IPANEQUE'!$B$9:$Q$52</definedName>
    <definedName hidden="1" localSheetId="5" name="_xlnm._FilterDatabase">'OMAR MINAYA'!$B$9:$Q$52</definedName>
    <definedName hidden="1" localSheetId="7" name="_xlnm._FilterDatabase">'LUIS CHUSE'!$B$9:$Q$52</definedName>
    <definedName hidden="1" localSheetId="9" name="_xlnm._FilterDatabase">'MERCEDES GIRALDO'!$B$9:$Q$52</definedName>
    <definedName hidden="1" localSheetId="19" name="_xlnm._FilterDatabase">'ARACELY VENTURA'!$B$9:$Q$52</definedName>
  </definedNames>
  <calcPr/>
</workbook>
</file>

<file path=xl/sharedStrings.xml><?xml version="1.0" encoding="utf-8"?>
<sst xmlns="http://schemas.openxmlformats.org/spreadsheetml/2006/main" count="3433" uniqueCount="1031">
  <si>
    <t>,</t>
  </si>
  <si>
    <t>Tablas de Gestión:</t>
  </si>
  <si>
    <t>SUPERVISOR</t>
  </si>
  <si>
    <t>ZONA</t>
  </si>
  <si>
    <t>TOTAL DESEMBOLSO</t>
  </si>
  <si>
    <t>Q DESEMBOLSO</t>
  </si>
  <si>
    <t>EVALUACION BCP</t>
  </si>
  <si>
    <t>PENDIENTE DE BACK</t>
  </si>
  <si>
    <t>PENDIENTE DE REMESA</t>
  </si>
  <si>
    <t>PENDIENTE DE DOCUMENTAR</t>
  </si>
  <si>
    <t>META OBJETIVO</t>
  </si>
  <si>
    <t>AVANCE</t>
  </si>
  <si>
    <t>Q EVALUACION BCP</t>
  </si>
  <si>
    <t>Q PENDIENTE DE BACK</t>
  </si>
  <si>
    <t>JIMMY COLLAZOS</t>
  </si>
  <si>
    <t>CHICLAYO</t>
  </si>
  <si>
    <t>LIMA 1</t>
  </si>
  <si>
    <t>ALEXANDRA GUZMAN</t>
  </si>
  <si>
    <t>Meta</t>
  </si>
  <si>
    <t>Desembolsado</t>
  </si>
  <si>
    <t>Avance</t>
  </si>
  <si>
    <t>Pendiente De Documentar</t>
  </si>
  <si>
    <t>Pendiente De Remesa</t>
  </si>
  <si>
    <t>Pendiente De Backoffice</t>
  </si>
  <si>
    <t>Evaluación BCP</t>
  </si>
  <si>
    <t>Obs Backoffice</t>
  </si>
  <si>
    <t>Obs BCP</t>
  </si>
  <si>
    <t>Rechazado</t>
  </si>
  <si>
    <t>S/.</t>
  </si>
  <si>
    <t>RENZO CACEDA</t>
  </si>
  <si>
    <t>WENDY IPANAQUÉ</t>
  </si>
  <si>
    <t>Q / %</t>
  </si>
  <si>
    <t>-</t>
  </si>
  <si>
    <t>ANGIE SILVERA</t>
  </si>
  <si>
    <t>PLAZA DE VENTA</t>
  </si>
  <si>
    <t>FECHA DE ENVIO DE REMESA</t>
  </si>
  <si>
    <t>ESTADO DE REMESA</t>
  </si>
  <si>
    <t>FECHA DE INGRESO</t>
  </si>
  <si>
    <t>FECHA DE DESEMBOLSO</t>
  </si>
  <si>
    <t>DOCUMENTO</t>
  </si>
  <si>
    <t>NOMBRES Y APELLIDOS</t>
  </si>
  <si>
    <t>KENNY MORALES</t>
  </si>
  <si>
    <t>CONVENIO</t>
  </si>
  <si>
    <t>ESTADO</t>
  </si>
  <si>
    <t>MAF NETO</t>
  </si>
  <si>
    <t>EJECUTIVO</t>
  </si>
  <si>
    <t>FILE ENVIADO A BANCO</t>
  </si>
  <si>
    <t>FECHA DE ENVIÓ CARTA PODER A BCP</t>
  </si>
  <si>
    <t>COMPRA DE DEUDA REALIZADA</t>
  </si>
  <si>
    <t>LIBERACIÓN</t>
  </si>
  <si>
    <t>FEEDBACK</t>
  </si>
  <si>
    <t>LIMA</t>
  </si>
  <si>
    <t>LUIS CHUSE</t>
  </si>
  <si>
    <t>Aprobada</t>
  </si>
  <si>
    <t>75850910</t>
  </si>
  <si>
    <t>CUSI AUQUIRIMA ROYER QUELVIN</t>
  </si>
  <si>
    <t>PNP</t>
  </si>
  <si>
    <t>MARIELLA PAÑAHUA</t>
  </si>
  <si>
    <t>JUAN CORDOVA</t>
  </si>
  <si>
    <t>WINNIE ESCALANTE</t>
  </si>
  <si>
    <t>74150135</t>
  </si>
  <si>
    <t>FERRER BENITES SERGIO SEBASTIAN</t>
  </si>
  <si>
    <t>ICA</t>
  </si>
  <si>
    <t xml:space="preserve">EJERCITO </t>
  </si>
  <si>
    <t>JOSE LUIS QUINTEROS</t>
  </si>
  <si>
    <t>74918667</t>
  </si>
  <si>
    <t>PONCE HUALLANCA EDINSON MARLON</t>
  </si>
  <si>
    <t xml:space="preserve">EYLIN VELASCO </t>
  </si>
  <si>
    <t>AURELIA FERNANDEZ</t>
  </si>
  <si>
    <t>NATHALIE ARANDA</t>
  </si>
  <si>
    <t>ARACELY VENTURA</t>
  </si>
  <si>
    <t>47185989</t>
  </si>
  <si>
    <t>PACAYA SAAVEDRA LUIS DANIEL</t>
  </si>
  <si>
    <t>EP</t>
  </si>
  <si>
    <t>JHON ZAMORA</t>
  </si>
  <si>
    <t>73377048</t>
  </si>
  <si>
    <t>LLATAS RIMARACHIN JORGE LUIS</t>
  </si>
  <si>
    <t>77060050</t>
  </si>
  <si>
    <t>LOPEZ MARCOS BRAYAN ANTONIO</t>
  </si>
  <si>
    <t>OMAR MINAYA</t>
  </si>
  <si>
    <t xml:space="preserve">PNP </t>
  </si>
  <si>
    <t>FLOR LLATAS</t>
  </si>
  <si>
    <t>CLIENTE EN CPP</t>
  </si>
  <si>
    <t>NAHOMI DIAZ</t>
  </si>
  <si>
    <t>46931645</t>
  </si>
  <si>
    <t>VARGAS VILDOSOLA MARCO ANTONIO</t>
  </si>
  <si>
    <t>72467967</t>
  </si>
  <si>
    <t>PORTOCARRERO INFANTES KARINA STEPHANI</t>
  </si>
  <si>
    <t>VIOLETA LLERENA</t>
  </si>
  <si>
    <t>EJERCITO</t>
  </si>
  <si>
    <t>MILUSKA LINARES</t>
  </si>
  <si>
    <t>72637149</t>
  </si>
  <si>
    <t>GONZALES DAVILA JHOJAN JHAIR</t>
  </si>
  <si>
    <t>THALIA SALOME</t>
  </si>
  <si>
    <t>70581588</t>
  </si>
  <si>
    <t>DIAZ PINEDO MARIA ANGELICA</t>
  </si>
  <si>
    <t>ELIZABETH ESQUIVEL</t>
  </si>
  <si>
    <t>71824277</t>
  </si>
  <si>
    <t>URIARTE RENTERIA SOFIA STEFANI</t>
  </si>
  <si>
    <t>47239818</t>
  </si>
  <si>
    <t>DIAZ PEREZ EDWIN JOEL</t>
  </si>
  <si>
    <t>Si</t>
  </si>
  <si>
    <t>ANA ALIAGA</t>
  </si>
  <si>
    <t>44069732</t>
  </si>
  <si>
    <t>TARAZONA LLANTO MIRELLA ALICIA</t>
  </si>
  <si>
    <t>74969973</t>
  </si>
  <si>
    <t>SIESQUEN DIAZ KEVIN ANDERSON</t>
  </si>
  <si>
    <t>MERCEDES GIRALDO</t>
  </si>
  <si>
    <t>TOTAL</t>
  </si>
  <si>
    <t>77529142</t>
  </si>
  <si>
    <t>LLONTOP FARRO DENNYS JESUS</t>
  </si>
  <si>
    <t>46371023</t>
  </si>
  <si>
    <t>HUABLOCHO GUIZADO YESSENIA</t>
  </si>
  <si>
    <t>MGP</t>
  </si>
  <si>
    <t>PLAZA</t>
  </si>
  <si>
    <t>42047411</t>
  </si>
  <si>
    <t>EDGAR SMITH CUMPEN LARA</t>
  </si>
  <si>
    <t>48039696</t>
  </si>
  <si>
    <t>TEVES TINTAYA KATHERINE MILUSKA</t>
  </si>
  <si>
    <t>71098056</t>
  </si>
  <si>
    <t>LIMA 2</t>
  </si>
  <si>
    <t>CHOQUE RODRIGUEZ PEDRO AURELIO</t>
  </si>
  <si>
    <t>NORTE</t>
  </si>
  <si>
    <t>75066361</t>
  </si>
  <si>
    <t>DE LA CRUZ NAVARRETE ANGEL FARY</t>
  </si>
  <si>
    <t>TARAPOTO</t>
  </si>
  <si>
    <t>47933860</t>
  </si>
  <si>
    <t>HUERTAS SERNAQUE IRVIN OMAR</t>
  </si>
  <si>
    <t>AYACUCHO</t>
  </si>
  <si>
    <t>AREQUIPA</t>
  </si>
  <si>
    <t>75338267</t>
  </si>
  <si>
    <t>HUANCAYO</t>
  </si>
  <si>
    <t>ZARATE DIAZ HAYDY MAYDELIT</t>
  </si>
  <si>
    <t>48363308</t>
  </si>
  <si>
    <t>RIVERA QUISPE ADIN JOEL</t>
  </si>
  <si>
    <t>71648848</t>
  </si>
  <si>
    <t>MASLUCAN SOLANO CARLOS DANIEL</t>
  </si>
  <si>
    <t>72752565</t>
  </si>
  <si>
    <t>SANCHEZ LOAYZA KEVIN ALONSO</t>
  </si>
  <si>
    <t>MARIA LLONTOP</t>
  </si>
  <si>
    <t>75619081</t>
  </si>
  <si>
    <t>ROMAN OLARTE JOSEFH LUIS</t>
  </si>
  <si>
    <t>72729971</t>
  </si>
  <si>
    <t>RELUZ CALDERON RICARDO ENRIQUE</t>
  </si>
  <si>
    <t>DESISTIO</t>
  </si>
  <si>
    <t>47167356</t>
  </si>
  <si>
    <t>LLANOS TOMASTO JOSE MIGUEL</t>
  </si>
  <si>
    <t>43399740</t>
  </si>
  <si>
    <t>ESPINO SORIA WILINGTHON JESUS</t>
  </si>
  <si>
    <t>Enviada</t>
  </si>
  <si>
    <t>47175399</t>
  </si>
  <si>
    <t>47134517</t>
  </si>
  <si>
    <t>COTERA ROJAS PEDRO JUNIOR</t>
  </si>
  <si>
    <t>MARTINEZ JULCA ROGER</t>
  </si>
  <si>
    <t>72980174</t>
  </si>
  <si>
    <t>PINEDO SERVAN JOSE MANUEL</t>
  </si>
  <si>
    <t>76097234</t>
  </si>
  <si>
    <t>FIORELA DELGADO</t>
  </si>
  <si>
    <t>HUAMAN IMAN,EDGARD STIWER ADOLFO</t>
  </si>
  <si>
    <t>72262874</t>
  </si>
  <si>
    <t>MONTENEGRO ESTELA GEIBER</t>
  </si>
  <si>
    <t>72751746</t>
  </si>
  <si>
    <t>SALDAÑA PELAEZ ROSA GLADYS MILAGROS</t>
  </si>
  <si>
    <t>&lt;&lt;&lt;&lt;&lt;&lt;&lt;&lt;&lt;&lt;&lt;&lt;&lt;&lt;&lt;&lt;&lt;&lt;</t>
  </si>
  <si>
    <t>71442909</t>
  </si>
  <si>
    <t>ROJAS FLORES JESUS LEONARDO</t>
  </si>
  <si>
    <t>75493599</t>
  </si>
  <si>
    <t>CORONADO VIDAURRE EDWARD</t>
  </si>
  <si>
    <t>JOSE CORTEZ</t>
  </si>
  <si>
    <t>3/08/0206</t>
  </si>
  <si>
    <t>NO FIRMO</t>
  </si>
  <si>
    <t>45464725</t>
  </si>
  <si>
    <t>45262744</t>
  </si>
  <si>
    <t>CASTRO LLANCO BRIAN OMAR</t>
  </si>
  <si>
    <t>HAYDEN SALAZAR MELISSA MERCEDES</t>
  </si>
  <si>
    <t>PIURA</t>
  </si>
  <si>
    <t>72671282</t>
  </si>
  <si>
    <t>SAENZ GAMERO ESTUARDO GIACCOMO ALESSANDRO</t>
  </si>
  <si>
    <t>Rechazada</t>
  </si>
  <si>
    <t>72301326</t>
  </si>
  <si>
    <t>MIRANDA VARGAS ALEJANDRO MARTIN</t>
  </si>
  <si>
    <t>CAYO CPP</t>
  </si>
  <si>
    <t>76071012</t>
  </si>
  <si>
    <t>DAMASO LEGUIA JORGE ALFREDO JUNIOR</t>
  </si>
  <si>
    <t>YESICA HEREDIA</t>
  </si>
  <si>
    <t>72942500</t>
  </si>
  <si>
    <t>TORRES RIOS FRANK CARLOS</t>
  </si>
  <si>
    <t>72781164</t>
  </si>
  <si>
    <t>FIGUEROA CADENAS HERNAN EDGARDO</t>
  </si>
  <si>
    <t>46499797</t>
  </si>
  <si>
    <t>DIAZ MERINO PATRICIA DEL MILAGRO</t>
  </si>
  <si>
    <t>47677371</t>
  </si>
  <si>
    <t>BRAVO ROJAS JUAN PORFIRIO</t>
  </si>
  <si>
    <t>ESSALUD</t>
  </si>
  <si>
    <t>70771203</t>
  </si>
  <si>
    <t>ARONI VEGA GOMER KEVYN</t>
  </si>
  <si>
    <t>46984418</t>
  </si>
  <si>
    <t>CARTERA TRANSFERIDA</t>
  </si>
  <si>
    <t>SECLEN ORDINOLA CHRISTIAN</t>
  </si>
  <si>
    <t>42992200</t>
  </si>
  <si>
    <t>PALOMARES VALENTIN JUDITH BEATRIZ</t>
  </si>
  <si>
    <t>WENDY IPANAQUE</t>
  </si>
  <si>
    <t>70777584</t>
  </si>
  <si>
    <t>No</t>
  </si>
  <si>
    <t>VALDEZ ROJAS ALVARO SAMUEL</t>
  </si>
  <si>
    <t>LINEA NUEVA: REALIZADO</t>
  </si>
  <si>
    <t>72368192</t>
  </si>
  <si>
    <t>MACALOPU SIRLOPU CATERYN YAJAYRA</t>
  </si>
  <si>
    <t>73751118</t>
  </si>
  <si>
    <t>VITE JUAREZ STALIN SEGUNDO</t>
  </si>
  <si>
    <t>74565365</t>
  </si>
  <si>
    <t>CESPEDES PINARES JORGE LUIS</t>
  </si>
  <si>
    <t>74403000</t>
  </si>
  <si>
    <t>RODRIGUEZ ORTIZ JORGE LUIS</t>
  </si>
  <si>
    <t>CD BBVA: CD REALIZADO</t>
  </si>
  <si>
    <t>47331215</t>
  </si>
  <si>
    <t>72734015</t>
  </si>
  <si>
    <t>ALLASI SANCHEZ JORGE JAIRO</t>
  </si>
  <si>
    <t>JULCA GONZALES FRANCIS GIANPIERRE</t>
  </si>
  <si>
    <t>45484030</t>
  </si>
  <si>
    <t>NUÑEZ COSSIO LEOPOLDO JOSE MANUEL</t>
  </si>
  <si>
    <t>48409811</t>
  </si>
  <si>
    <t>73812702</t>
  </si>
  <si>
    <t xml:space="preserve">02831131 </t>
  </si>
  <si>
    <t>SANCHEZ GALVEZ PIERO CESAR</t>
  </si>
  <si>
    <t>MUCHA HUARACA JHOEL KENDELL</t>
  </si>
  <si>
    <t>TIMANA RIVAS ROSA</t>
  </si>
  <si>
    <t>CD BANCOM: CD REALIZADO</t>
  </si>
  <si>
    <t>43623113</t>
  </si>
  <si>
    <t>46406798</t>
  </si>
  <si>
    <t>HERRERA PINTADO ELOY ANDRES</t>
  </si>
  <si>
    <t>JULCA JULCA VICTOR ALBERTO</t>
  </si>
  <si>
    <t>73018920</t>
  </si>
  <si>
    <t>GALLO SOTO,LEONARDO MIGUEL</t>
  </si>
  <si>
    <t>REMESA APROB CON IBK</t>
  </si>
  <si>
    <t>JUDITH FARRO</t>
  </si>
  <si>
    <t>70483707</t>
  </si>
  <si>
    <t xml:space="preserve">ISMINIO REATEGUI CESAR KINDER </t>
  </si>
  <si>
    <t>75389848</t>
  </si>
  <si>
    <t>KRIS BARRAGAN RODRIGUEZ</t>
  </si>
  <si>
    <t>RUIZ ROJAS,ANGELO JAVIER</t>
  </si>
  <si>
    <t>CD INTERBANK: REINGRESAR EL 18 DE AGOSTO PARA QUE LE AUMENTE EL MONTO. PENDIENTE RECONFIRMACION DEL CLIENTE</t>
  </si>
  <si>
    <t>46975057</t>
  </si>
  <si>
    <t>FLORES VALLES ANGEL</t>
  </si>
  <si>
    <t>75756343</t>
  </si>
  <si>
    <t xml:space="preserve">SANDOVAL ZUÑIGA KEVIN ELIAN </t>
  </si>
  <si>
    <t>74570049</t>
  </si>
  <si>
    <t>ERICK GUEVARA</t>
  </si>
  <si>
    <t>CHASQUIBOL OLAZABAL NAYRO</t>
  </si>
  <si>
    <t>46146763</t>
  </si>
  <si>
    <t>VERGARA HUALLPAROMACHI AMILCAR</t>
  </si>
  <si>
    <t>72807596</t>
  </si>
  <si>
    <t>VARELA RUIZ PIERO ALEJANDRO</t>
  </si>
  <si>
    <t>45840620</t>
  </si>
  <si>
    <t>ALVAREZ GARCIA JAMES ANTONY</t>
  </si>
  <si>
    <t>PIERO LOPEZ</t>
  </si>
  <si>
    <t>CD BBVA. PENDIENTE RPTA DE DESEMBOLSO</t>
  </si>
  <si>
    <t>74060516</t>
  </si>
  <si>
    <t>BARRA GARRIAZO CHRISTOPHER OSCAR</t>
  </si>
  <si>
    <t>71275212</t>
  </si>
  <si>
    <t>45709668</t>
  </si>
  <si>
    <t>CASTRO FARFAN CHRISTIAN</t>
  </si>
  <si>
    <t>73495802</t>
  </si>
  <si>
    <t>ALARCON MENOR MARIA YOHANA</t>
  </si>
  <si>
    <t>GUERRERO ZULUETA LUIS ARMANDO</t>
  </si>
  <si>
    <t>CD BBVA: SE CAYO VENTA</t>
  </si>
  <si>
    <t>74374761</t>
  </si>
  <si>
    <t>GONZALES GONZALES EDIN YOEL</t>
  </si>
  <si>
    <t>45198946</t>
  </si>
  <si>
    <t>ANCAJIMA ALARCON ELMER ALEXANDER</t>
  </si>
  <si>
    <t>46107693</t>
  </si>
  <si>
    <t>PERALTA ALHUAY GUISSELLA KATHY</t>
  </si>
  <si>
    <t>GINO SANDOVAL ROMAN</t>
  </si>
  <si>
    <t>CD BANBIF: SE CAYO VENTA</t>
  </si>
  <si>
    <t>70382529</t>
  </si>
  <si>
    <t>CASTILLO VILELA CRISTIAN ANDERSON</t>
  </si>
  <si>
    <t>48211384</t>
  </si>
  <si>
    <t>GUERRERO HUAMAN ELVIS BETO</t>
  </si>
  <si>
    <t xml:space="preserve"> </t>
  </si>
  <si>
    <t>CS SCOTIABANK Y NACION: CD REALIZADO</t>
  </si>
  <si>
    <t>74387078</t>
  </si>
  <si>
    <t>ASTUDILLOS SANCHEZ CHRISTIAN JIM</t>
  </si>
  <si>
    <t>76427389</t>
  </si>
  <si>
    <t xml:space="preserve">OBREGON CACERES CARLA ROSMERI </t>
  </si>
  <si>
    <t>47567773</t>
  </si>
  <si>
    <t>CARHUACHAGUA CAPCHA JORDAN MARVIN</t>
  </si>
  <si>
    <t>CD SCOTIABANK: PENDIENTE CD</t>
  </si>
  <si>
    <t>03892055</t>
  </si>
  <si>
    <t>ESCOBAR REVOLLEDO NORMA VIRGINIA</t>
  </si>
  <si>
    <t>LUCIANO CASTILLO</t>
  </si>
  <si>
    <t>CD BANBIF: PENDIENTE RPTA DE DESEMBOLSOS</t>
  </si>
  <si>
    <t>73830703</t>
  </si>
  <si>
    <t>CUSI YARASCA MIGUEL ANGEL</t>
  </si>
  <si>
    <t>42590269</t>
  </si>
  <si>
    <t>VELASQUEZ MEZONES OMAR</t>
  </si>
  <si>
    <t>46842201</t>
  </si>
  <si>
    <t>CD SCOTIABANK: SE CAYO VENTA</t>
  </si>
  <si>
    <t>ZURITA ALEJANDRIA WILLIAN WALTER</t>
  </si>
  <si>
    <t>74624781</t>
  </si>
  <si>
    <t>SANTISTEBAN CHERO JANETH</t>
  </si>
  <si>
    <t>76259702</t>
  </si>
  <si>
    <t>ABAD CHUQUIHUANGA ANYILI MERLITA</t>
  </si>
  <si>
    <t>MIXSY SANJINEZ BERMEO</t>
  </si>
  <si>
    <t>CD INTERBANK: CTE ESPERARÁ SETIEMBRE</t>
  </si>
  <si>
    <t>77080881</t>
  </si>
  <si>
    <t>HERNANDEZ LEON LUIS DAVID</t>
  </si>
  <si>
    <t>70368042</t>
  </si>
  <si>
    <t>RUIZ GARCIA MARLON JEAN PIERRE</t>
  </si>
  <si>
    <t>73228908</t>
  </si>
  <si>
    <t>CD SCOTIABANK: CD REALIZADO</t>
  </si>
  <si>
    <t>CHAÑA CARBAJAL MICHAEL PATRICK</t>
  </si>
  <si>
    <t>70010234</t>
  </si>
  <si>
    <t>AVILA PIMINCHUMO ARMANDO EDINSON</t>
  </si>
  <si>
    <t>45593624</t>
  </si>
  <si>
    <t>ZULOETA DAVILA MARIA LUCIA</t>
  </si>
  <si>
    <t>43261552</t>
  </si>
  <si>
    <t>REJAS VELASCO EVELYN MARGOT</t>
  </si>
  <si>
    <t>SONIA QUISPE</t>
  </si>
  <si>
    <t>74967466</t>
  </si>
  <si>
    <t>AGUILAR HERNANDEZ JEAN PAUL</t>
  </si>
  <si>
    <t>73437500</t>
  </si>
  <si>
    <t>ISIDRO CAYCO GABRIEL LEVY</t>
  </si>
  <si>
    <t>71743882</t>
  </si>
  <si>
    <t>MANTILLA GALARRETA LUIS MARTIR</t>
  </si>
  <si>
    <t>44519435</t>
  </si>
  <si>
    <t>76527987</t>
  </si>
  <si>
    <t>CRUZ ALARCON CARLOS GERARD</t>
  </si>
  <si>
    <t>HERNANDEZ ROSALES JOSUE ALBERTO</t>
  </si>
  <si>
    <t>70509951</t>
  </si>
  <si>
    <t>ARELLANO LEON BRAYAN DAIL</t>
  </si>
  <si>
    <t>47588730</t>
  </si>
  <si>
    <t>TOCTO FLORES ELSA KATHERINE</t>
  </si>
  <si>
    <t>HOSP. CHULUCANAS</t>
  </si>
  <si>
    <t>80262692</t>
  </si>
  <si>
    <t>COLUPU PURIZACA WALTER</t>
  </si>
  <si>
    <t>MPV</t>
  </si>
  <si>
    <t>CD IBK Y REHABILITADORA: PENDIENTE RPTA DESEMBOLSOS</t>
  </si>
  <si>
    <t>42984845</t>
  </si>
  <si>
    <t>ZAPATA OLAVARRIA CHRISTIAN EDWAR</t>
  </si>
  <si>
    <t>CD  BANCOM Y REHABILITADORA: PENDIENTE RPTA DESEMBOLSOS</t>
  </si>
  <si>
    <t>76819231</t>
  </si>
  <si>
    <t>AGUILAR MARTINEZ FELIX JORDAN</t>
  </si>
  <si>
    <t>CD IBK: REMESA ENVIADA, PENDIENTE RPTA</t>
  </si>
  <si>
    <t>73804924</t>
  </si>
  <si>
    <t>CERNA MENDOZA CARLO MARIO</t>
  </si>
  <si>
    <t xml:space="preserve">ESSALUD </t>
  </si>
  <si>
    <t>ANA FARRO</t>
  </si>
  <si>
    <t>40910774</t>
  </si>
  <si>
    <t xml:space="preserve"> YUPANQUI NAVARRO EDERSON</t>
  </si>
  <si>
    <t>ROSALES REYES JEAN PIERO</t>
  </si>
  <si>
    <t>EPEJERCITO</t>
  </si>
  <si>
    <t xml:space="preserve">CESAR SIESQUEN </t>
  </si>
  <si>
    <t>73245610</t>
  </si>
  <si>
    <t>CALLE NEIRA ANTHONY JHOSELIN</t>
  </si>
  <si>
    <t>74307118</t>
  </si>
  <si>
    <t>HUAMAN TAIRO LENIN MIGUEL FRANCISCO</t>
  </si>
  <si>
    <t>SE INGRESA EL 16</t>
  </si>
  <si>
    <t>------------------------------------</t>
  </si>
  <si>
    <t>-------------------------------------</t>
  </si>
  <si>
    <t>76095329</t>
  </si>
  <si>
    <t xml:space="preserve"> ARCE FLORES LUIS ALFREDO</t>
  </si>
  <si>
    <t xml:space="preserve">GABRIELA VELASQUEZ </t>
  </si>
  <si>
    <t>73199746</t>
  </si>
  <si>
    <t>VILCA TORRES RONALDO</t>
  </si>
  <si>
    <t>48297343</t>
  </si>
  <si>
    <t>HUAMANI QUISPE JHON WILLIAN</t>
  </si>
  <si>
    <t>75202880</t>
  </si>
  <si>
    <t>CORDOVA QUESADA ROCIO MARILIN</t>
  </si>
  <si>
    <t>76643587</t>
  </si>
  <si>
    <t>ORTIZ AREVALO DOYSI MAIDELI</t>
  </si>
  <si>
    <t xml:space="preserve">MARINA </t>
  </si>
  <si>
    <t>HENRY</t>
  </si>
  <si>
    <t>75937974</t>
  </si>
  <si>
    <t>MARCO ANTONIO CALDERON ZAMBRANO</t>
  </si>
  <si>
    <t>KAROL MIÑAN</t>
  </si>
  <si>
    <t>75175687</t>
  </si>
  <si>
    <t>LUIS EDUARDO CHUMPITAZ TEJADA</t>
  </si>
  <si>
    <t>73609607</t>
  </si>
  <si>
    <t xml:space="preserve">DUEÑAS MONTAÑEZ ALEXANDER </t>
  </si>
  <si>
    <t>40129077</t>
  </si>
  <si>
    <t>VASQUEZ DIAZ JOSE HUGO</t>
  </si>
  <si>
    <t>-----------------------------</t>
  </si>
  <si>
    <t>--------------------------------------</t>
  </si>
  <si>
    <t>77290387</t>
  </si>
  <si>
    <t>CEDILLO YNFANTE KENYI JAMPIER</t>
  </si>
  <si>
    <t>MEDALITH</t>
  </si>
  <si>
    <t>46466484</t>
  </si>
  <si>
    <t>CLAUDIA CRISTINA MARRUFO DIAZ</t>
  </si>
  <si>
    <t xml:space="preserve">MILAGROS LIMO </t>
  </si>
  <si>
    <t>45862279</t>
  </si>
  <si>
    <t>TERRONES LLANOS PASCUAL</t>
  </si>
  <si>
    <t>43292897</t>
  </si>
  <si>
    <t xml:space="preserve">MIGUEL ANGEL CORONADO NAVARRO </t>
  </si>
  <si>
    <t xml:space="preserve">YOVANA BACA </t>
  </si>
  <si>
    <t>EVELYN GUTIERREZ</t>
  </si>
  <si>
    <t>72952758</t>
  </si>
  <si>
    <t>YHON WASHINGTON QUISPE CAHUASCANCO</t>
  </si>
  <si>
    <t>URSULA LOPEZ</t>
  </si>
  <si>
    <t>75449894</t>
  </si>
  <si>
    <t>SALVADOR CORREA JOSE EDGARDO</t>
  </si>
  <si>
    <t>71265965</t>
  </si>
  <si>
    <t>ALEXIS RAUL VELASQUEZ HERNANDEZ</t>
  </si>
  <si>
    <t>MERLY ROJAS</t>
  </si>
  <si>
    <t>78551156</t>
  </si>
  <si>
    <t xml:space="preserve">CARLOS SANDOVAL DENNYS FRANLEY </t>
  </si>
  <si>
    <t>72951201</t>
  </si>
  <si>
    <t>JOSUE ANDERSON NIETO PISCONTE</t>
  </si>
  <si>
    <t xml:space="preserve">YURIKO OSPINO </t>
  </si>
  <si>
    <t>45630165</t>
  </si>
  <si>
    <t>HUGO MEDINA GUZMAN</t>
  </si>
  <si>
    <t>74916358</t>
  </si>
  <si>
    <t xml:space="preserve">SENMACHE BUITRON ALEXIS JAIR </t>
  </si>
  <si>
    <t>74710347</t>
  </si>
  <si>
    <t>DIOS SALVATIERRA FABRIZZIO PIERO</t>
  </si>
  <si>
    <t>71819593</t>
  </si>
  <si>
    <t>LEONARDO BRAYAN AMBROSIO SILVA</t>
  </si>
  <si>
    <t>46406734</t>
  </si>
  <si>
    <t>GUERRERO ELERA SAMUEL JORSINHO</t>
  </si>
  <si>
    <t>47510821</t>
  </si>
  <si>
    <t>CLEIFER BENITO MORE CARRION</t>
  </si>
  <si>
    <t>MELINA LEYVA</t>
  </si>
  <si>
    <t>45026737</t>
  </si>
  <si>
    <t>40580977</t>
  </si>
  <si>
    <t>LILIANA SALAZAR PONCE</t>
  </si>
  <si>
    <t>DIRIS LIMA NORTE</t>
  </si>
  <si>
    <t xml:space="preserve">DE LA CRUZ GRAJEDA ABRAHAM FELIX </t>
  </si>
  <si>
    <t>44767826</t>
  </si>
  <si>
    <t>POMA CUEVAS HELEN DIANA</t>
  </si>
  <si>
    <t>TUMBES</t>
  </si>
  <si>
    <t>47552360</t>
  </si>
  <si>
    <t>RICHARD MARX GALAN VILLASECA</t>
  </si>
  <si>
    <t>70245957</t>
  </si>
  <si>
    <t xml:space="preserve">MUÑOZ ARBOLEDA JAIRO ANGELLO </t>
  </si>
  <si>
    <t>KELLY SARMIENTO</t>
  </si>
  <si>
    <t>SE INGRESA 16</t>
  </si>
  <si>
    <t>-------------------------</t>
  </si>
  <si>
    <t>76055611</t>
  </si>
  <si>
    <t>---------------------------</t>
  </si>
  <si>
    <t>CHAYANNE JHUSBER CAMPOS GAVILAN</t>
  </si>
  <si>
    <t>-------------------------------</t>
  </si>
  <si>
    <t>71401455</t>
  </si>
  <si>
    <t>QUICHCA GIRON JULIO AYOROS</t>
  </si>
  <si>
    <t xml:space="preserve">FIRMA SABADO </t>
  </si>
  <si>
    <t>71620010</t>
  </si>
  <si>
    <t xml:space="preserve">CHAVARRY ROJAS CARLOS SERGIO </t>
  </si>
  <si>
    <t>48459291</t>
  </si>
  <si>
    <t>ARNOLD DANIEL MENA TERNERO</t>
  </si>
  <si>
    <t>09835595</t>
  </si>
  <si>
    <t xml:space="preserve">LUJAN FLORES CESAR MARTIN </t>
  </si>
  <si>
    <t>LEYDI MENDOZA</t>
  </si>
  <si>
    <t>76631630</t>
  </si>
  <si>
    <t>JEREMY JESUS CAMARENA FLORIANO</t>
  </si>
  <si>
    <t>74660561</t>
  </si>
  <si>
    <t>XENA SANIT AQUISI SEGURA</t>
  </si>
  <si>
    <t>HUARAZ</t>
  </si>
  <si>
    <t xml:space="preserve">PENDIENTE FIRMAS </t>
  </si>
  <si>
    <t>47710721</t>
  </si>
  <si>
    <t>MARVIN MISAEL ROQUE RODRIGUEZ</t>
  </si>
  <si>
    <t>47145953</t>
  </si>
  <si>
    <t>ACEVEDO LOPEZ DIEGO JOEL</t>
  </si>
  <si>
    <t>75474833</t>
  </si>
  <si>
    <t>LUIS EDUARDO LLACSAHUACHE ALBERCA</t>
  </si>
  <si>
    <t>46309599</t>
  </si>
  <si>
    <t>ANGELES ROJAS LEYZY ROMINA</t>
  </si>
  <si>
    <t>MORE CARRION CLEIFER BENITO</t>
  </si>
  <si>
    <t>42266231</t>
  </si>
  <si>
    <t>VALVERDE CRIOLLO MARLON FERNANDO</t>
  </si>
  <si>
    <t>70336421</t>
  </si>
  <si>
    <t>JOSE LUIS CAPUÑAY FARRO</t>
  </si>
  <si>
    <t>74769536</t>
  </si>
  <si>
    <t>OLAECHEA SALCEDO JOSEPH EDUARDO</t>
  </si>
  <si>
    <t>47356489</t>
  </si>
  <si>
    <t>JOSEPH RODOLFO RAMOS ACEBEDO</t>
  </si>
  <si>
    <t>18178794</t>
  </si>
  <si>
    <t>PORTELLA DEZA HUBERT AUGUSTO</t>
  </si>
  <si>
    <t>HRL</t>
  </si>
  <si>
    <t>HUANUCO</t>
  </si>
  <si>
    <t>45002268</t>
  </si>
  <si>
    <t>44198597</t>
  </si>
  <si>
    <t>BAMBAREN BARBOZA IVAN RICARDO</t>
  </si>
  <si>
    <t>ESPINOZA NICOLAS SEGUNDO JESUS</t>
  </si>
  <si>
    <t>75357867</t>
  </si>
  <si>
    <t>EMERSON OMAR VICTORIO PARIONA</t>
  </si>
  <si>
    <t xml:space="preserve">15753995  </t>
  </si>
  <si>
    <t xml:space="preserve">PADILLA FALCON AMERICO JAVIER </t>
  </si>
  <si>
    <t xml:space="preserve"> MARINA </t>
  </si>
  <si>
    <t>72201915</t>
  </si>
  <si>
    <t>LENIN FERNANDO HERNANDEZ ZAPATA</t>
  </si>
  <si>
    <t>----------------------</t>
  </si>
  <si>
    <t>71810775</t>
  </si>
  <si>
    <t xml:space="preserve">AGUERO ARCOS TYSON HAMES </t>
  </si>
  <si>
    <t>IQUITOS</t>
  </si>
  <si>
    <t>73091410</t>
  </si>
  <si>
    <t>ANGEL BRADLI FERREYRA PINEDO</t>
  </si>
  <si>
    <t>76001406</t>
  </si>
  <si>
    <t xml:space="preserve">AHUANARI TUPULLIMA ROIBER </t>
  </si>
  <si>
    <t>SALAZAR PONCE LILIANA</t>
  </si>
  <si>
    <t>TACNA</t>
  </si>
  <si>
    <t>46559043</t>
  </si>
  <si>
    <t>JORGE ANDRE LINARES PORTUGAL</t>
  </si>
  <si>
    <t>76651507</t>
  </si>
  <si>
    <t>KEITH PATRICK MARTINEZ RAMIREZ</t>
  </si>
  <si>
    <t>45978640</t>
  </si>
  <si>
    <t>EVELYN SABRINA URBINA QUISPE</t>
  </si>
  <si>
    <t>21559718</t>
  </si>
  <si>
    <t>ALMEIDA DONAIRE ROBERTO SANTIAGO</t>
  </si>
  <si>
    <t>40680333</t>
  </si>
  <si>
    <t>VERONICA CRISTINA HUAMAN ALEGRE</t>
  </si>
  <si>
    <t>JOSSEF PFARE</t>
  </si>
  <si>
    <t>45387374</t>
  </si>
  <si>
    <t>MATT CHERIE DEL AGUILA RAMIREZ</t>
  </si>
  <si>
    <t>71919146</t>
  </si>
  <si>
    <t>DANGLES GARCIA WILLY</t>
  </si>
  <si>
    <t>76670984</t>
  </si>
  <si>
    <t xml:space="preserve">ANSONY MARCOS MUÑOZ TEMOCHE </t>
  </si>
  <si>
    <t>47869895</t>
  </si>
  <si>
    <t>ROSSEMARY VILCA SANCHEZ</t>
  </si>
  <si>
    <t>43506674</t>
  </si>
  <si>
    <t>SHENO CHRISTIAN MUNGI CASTILLON</t>
  </si>
  <si>
    <t>74854997</t>
  </si>
  <si>
    <t>ROYER CAMILO ALVARADO OTEO</t>
  </si>
  <si>
    <t>LLACSAHUACHE ALBERCA LUIS EDUARDO</t>
  </si>
  <si>
    <t>41843888</t>
  </si>
  <si>
    <t>WENDY JACQUELINE VALENZUELA QUINTANA</t>
  </si>
  <si>
    <t>72892973</t>
  </si>
  <si>
    <t>MAURICIO RODRIGO UBILLUS LOZADA</t>
  </si>
  <si>
    <t>CAPUÑAY FARRO JOSE LUIS</t>
  </si>
  <si>
    <t>LA MERCED</t>
  </si>
  <si>
    <t>47893379</t>
  </si>
  <si>
    <t>ELVIS KELVIN CARBAJAL HUAMAN</t>
  </si>
  <si>
    <t>YURIMAGUAS</t>
  </si>
  <si>
    <t>42971795</t>
  </si>
  <si>
    <t>BERTHA NOELIA REQUEJO SANCHEZ</t>
  </si>
  <si>
    <t>46134037</t>
  </si>
  <si>
    <t>PEDRO LUIS MORAN HUAPAYA</t>
  </si>
  <si>
    <t>75713932</t>
  </si>
  <si>
    <t>UWAK RODRIGUEZ FIORELA VIVIANA</t>
  </si>
  <si>
    <t>LUIS MENDOZA</t>
  </si>
  <si>
    <t>40158154</t>
  </si>
  <si>
    <t>ROJAS BAUTISTA ANDERSON</t>
  </si>
  <si>
    <t>CESAR MANUYAMA</t>
  </si>
  <si>
    <t>CARLA GAMARRA</t>
  </si>
  <si>
    <t>RAMOS ACEBEDO JOSEPH RODOLFO</t>
  </si>
  <si>
    <t>42155801</t>
  </si>
  <si>
    <t>VASQUEZ BUITRON,ROCIO MARIA EUGENIA</t>
  </si>
  <si>
    <t>42250485</t>
  </si>
  <si>
    <t>PURIZACA VILCHEZ JUAN GUILLERMO</t>
  </si>
  <si>
    <t>MINJUS</t>
  </si>
  <si>
    <t>45071771</t>
  </si>
  <si>
    <t>VIDAL ADRIANZEN ALEXIS ANTONIO</t>
  </si>
  <si>
    <t>MAX DUEÑAS</t>
  </si>
  <si>
    <t>75157780</t>
  </si>
  <si>
    <t>CASTRO TUCTO JHON ALFREDO</t>
  </si>
  <si>
    <t>70947975</t>
  </si>
  <si>
    <t>70336859</t>
  </si>
  <si>
    <t>BRYAN ERICK FRANCO CCALLO</t>
  </si>
  <si>
    <t xml:space="preserve">ESTRADA GARCIA DAVID ERGILIO </t>
  </si>
  <si>
    <t>MV</t>
  </si>
  <si>
    <t>43713279</t>
  </si>
  <si>
    <t>CODARLUPO ROCA PERCY JOSE</t>
  </si>
  <si>
    <t>48462763</t>
  </si>
  <si>
    <t>FLORES HUARACA ALEX TITO</t>
  </si>
  <si>
    <t>45243293</t>
  </si>
  <si>
    <t>ARCAYA VICENTE   JAVIER ELADIO</t>
  </si>
  <si>
    <t>CAROL URBISAGASTEGUI</t>
  </si>
  <si>
    <t>74636734</t>
  </si>
  <si>
    <t>PUESCAS QUEVEDO,CARLOS DAVID</t>
  </si>
  <si>
    <t>40300885</t>
  </si>
  <si>
    <t>VALENTIN FRANCO FRANK GILMAR</t>
  </si>
  <si>
    <t>76313539</t>
  </si>
  <si>
    <t>FLORES LLANQUI ANGELA XIMENA</t>
  </si>
  <si>
    <t>76420240</t>
  </si>
  <si>
    <t>IBARRA SULCA DANIEL EDUARDO</t>
  </si>
  <si>
    <t>CLARA DELGADO</t>
  </si>
  <si>
    <t>KATTY ALLCA</t>
  </si>
  <si>
    <t>09364190</t>
  </si>
  <si>
    <t>RODRIGUEZ JIMENEZ FILOMENA</t>
  </si>
  <si>
    <t>DIRIS ESTE</t>
  </si>
  <si>
    <t>25796824</t>
  </si>
  <si>
    <t>TACANGA AGUILAR JOHN CHRISTIAN</t>
  </si>
  <si>
    <t>45606880</t>
  </si>
  <si>
    <t xml:space="preserve">SURCO CCOHUA HONORATO </t>
  </si>
  <si>
    <t>DIRIS LIMA CENTRO</t>
  </si>
  <si>
    <t>71573134</t>
  </si>
  <si>
    <t>CALCINA HOLGUIN FRANK DANIEL</t>
  </si>
  <si>
    <t>43361146</t>
  </si>
  <si>
    <t>MAMANI QUISPE LUIS</t>
  </si>
  <si>
    <t xml:space="preserve">JESUS BENITES </t>
  </si>
  <si>
    <t>70613717</t>
  </si>
  <si>
    <t>DIAZ JAMES GERALDINE VILMA</t>
  </si>
  <si>
    <t>42017270</t>
  </si>
  <si>
    <t>MORALES VALDEZ CINTHIA LISBET</t>
  </si>
  <si>
    <t>15759424</t>
  </si>
  <si>
    <t>FLORES HUAMAN FRANCISCO JAVIER</t>
  </si>
  <si>
    <t>47105330</t>
  </si>
  <si>
    <t>MILLA MILLA   YESENIA GISELA</t>
  </si>
  <si>
    <t>44170477</t>
  </si>
  <si>
    <t>CHOQQUE MAMANI,JESUS</t>
  </si>
  <si>
    <t>42309475</t>
  </si>
  <si>
    <t xml:space="preserve">MENDOZA ATENCIO VERONICA MIRIAM </t>
  </si>
  <si>
    <t>44610422</t>
  </si>
  <si>
    <t>42843597</t>
  </si>
  <si>
    <t>CIENFUEGOS VIERA WILLDER ALFONSO</t>
  </si>
  <si>
    <t>BARDALES AREVALO GEYDI</t>
  </si>
  <si>
    <t>45188824</t>
  </si>
  <si>
    <t>RAMOS PACORA SULLY YING</t>
  </si>
  <si>
    <t>47889628</t>
  </si>
  <si>
    <t>ACUÑA URMACHEA ANTONI JOSSIMAR</t>
  </si>
  <si>
    <t>73883997</t>
  </si>
  <si>
    <t>SETIEMBRE</t>
  </si>
  <si>
    <t>OBLITAS FERNANDEZ CRISTIAN</t>
  </si>
  <si>
    <t>60379216</t>
  </si>
  <si>
    <t xml:space="preserve">LEON GONGORA MARI CRUZ </t>
  </si>
  <si>
    <t>ALCIDES FERNANDEZ PERALTA</t>
  </si>
  <si>
    <t>73416191</t>
  </si>
  <si>
    <t>LOZANO MEDINA JULIO JESUS</t>
  </si>
  <si>
    <t>73389289</t>
  </si>
  <si>
    <t>ORTIZ CUBAS DANTE</t>
  </si>
  <si>
    <t>ELVIS ACOSTA BARBARAN</t>
  </si>
  <si>
    <t>43592506</t>
  </si>
  <si>
    <t xml:space="preserve">MICHAEL HERBIS ESCOBAR VELASQUEZ </t>
  </si>
  <si>
    <t>70071485</t>
  </si>
  <si>
    <t>VELAYSOSA MAS DANIEL</t>
  </si>
  <si>
    <t>71696821</t>
  </si>
  <si>
    <t xml:space="preserve">CAHUANA CARDOZO ANGEL MANUEL </t>
  </si>
  <si>
    <t>40238253</t>
  </si>
  <si>
    <t>77693930</t>
  </si>
  <si>
    <t>CUTIPA GOMEZ CAROLINA INES</t>
  </si>
  <si>
    <t>NUÑEZ NAVARRO LUDER JOEL</t>
  </si>
  <si>
    <t xml:space="preserve">  </t>
  </si>
  <si>
    <t>71098760</t>
  </si>
  <si>
    <t>VASQUEZ CAMPOS LESBIN</t>
  </si>
  <si>
    <t>75334253</t>
  </si>
  <si>
    <t>FERNANDO RAUL NARVAEZ MEDINA</t>
  </si>
  <si>
    <t>45100597</t>
  </si>
  <si>
    <t>PEREDO CARDENAS MARCO ERNESTO</t>
  </si>
  <si>
    <t>46776990</t>
  </si>
  <si>
    <t>PAUCAR GRANDEZ BILLY JHON</t>
  </si>
  <si>
    <t>75996537</t>
  </si>
  <si>
    <t>NIZAMA GASPAR DIANA HILLARY DNI: 75996537</t>
  </si>
  <si>
    <t>72540277</t>
  </si>
  <si>
    <t>PADILLA CARBAJAL JUAN CARLOS</t>
  </si>
  <si>
    <t>47514265</t>
  </si>
  <si>
    <t xml:space="preserve">JARAMILLO DUEÑAS NIKSON ROSNEL </t>
  </si>
  <si>
    <t>76694259</t>
  </si>
  <si>
    <t>ALVARO DEL AGUILA SANGAMA</t>
  </si>
  <si>
    <t>76176549</t>
  </si>
  <si>
    <t>MARTINEZ VENTURA,ANDY ALEXIS</t>
  </si>
  <si>
    <t>74648868</t>
  </si>
  <si>
    <t>SANCHEZ ROMERO LUIS ANGEL</t>
  </si>
  <si>
    <t>09497204</t>
  </si>
  <si>
    <t>CARLOS RAFAEL TIPULA</t>
  </si>
  <si>
    <t>76028880</t>
  </si>
  <si>
    <t>CARLOS ESPINOZA</t>
  </si>
  <si>
    <t>MIRANDA QUISPE MARCO ROBERTO</t>
  </si>
  <si>
    <t>70339397</t>
  </si>
  <si>
    <t>SOL JHOANA MADELINE MESIAS GONZALES</t>
  </si>
  <si>
    <t>45608713</t>
  </si>
  <si>
    <t>EFRAIN ENRIQUEZ SALINAS -45608713</t>
  </si>
  <si>
    <t>44797712</t>
  </si>
  <si>
    <t>CHILENO SEGURA FERNANDO PHILIP</t>
  </si>
  <si>
    <t>43974918</t>
  </si>
  <si>
    <t>SALAZAR CONTRERAS SARALY SHIRLEY</t>
  </si>
  <si>
    <t>MAX</t>
  </si>
  <si>
    <t>46352737</t>
  </si>
  <si>
    <t>PEREZ CARDENAS,CIRO ANIBAL</t>
  </si>
  <si>
    <t>pyme</t>
  </si>
  <si>
    <t>72361321</t>
  </si>
  <si>
    <t>MATOS GRANADOS DIEGO FRANCO</t>
  </si>
  <si>
    <t>CARLA</t>
  </si>
  <si>
    <t>72978342</t>
  </si>
  <si>
    <t>GALLEGOS APAZA,HILDA</t>
  </si>
  <si>
    <t>73350887</t>
  </si>
  <si>
    <t>GUERRERO VASQUEZ,DENIS JHONATAN</t>
  </si>
  <si>
    <t>40664003</t>
  </si>
  <si>
    <t>CHAVEZ MENESES GYLDA MARITZA</t>
  </si>
  <si>
    <t xml:space="preserve">se envio desistimiento </t>
  </si>
  <si>
    <t>70270464</t>
  </si>
  <si>
    <t>FLORES PASACHE SERGIO LUIS</t>
  </si>
  <si>
    <t>46433037</t>
  </si>
  <si>
    <t>CAPITAN LLAGUENTO SUSANA KARINA</t>
  </si>
  <si>
    <t>06646480</t>
  </si>
  <si>
    <t>ROSAS MENDOZA CARMEN AMALIA</t>
  </si>
  <si>
    <t>PAOLA REYES</t>
  </si>
  <si>
    <t xml:space="preserve">LIMA </t>
  </si>
  <si>
    <t>76670708</t>
  </si>
  <si>
    <t>HUAYTA FLORES,JHON EDISON</t>
  </si>
  <si>
    <t xml:space="preserve">LEYDI EGOAVIL </t>
  </si>
  <si>
    <t>73099958</t>
  </si>
  <si>
    <t>DEL AGUILA PEREZ LUIS ALBERTO</t>
  </si>
  <si>
    <t>72288280</t>
  </si>
  <si>
    <t>CORDOVA CORDOVA,NEISER</t>
  </si>
  <si>
    <t>remesar  d nuevo por 48 meses</t>
  </si>
  <si>
    <t>44892769</t>
  </si>
  <si>
    <t>ALVAREZ CHOQUEVILCA FREDI</t>
  </si>
  <si>
    <t>09575804</t>
  </si>
  <si>
    <t>MARTINEZ RAMOS PEDRO</t>
  </si>
  <si>
    <t>FAP</t>
  </si>
  <si>
    <t>45909185</t>
  </si>
  <si>
    <t xml:space="preserve">RAMOS NECIOSUP,LILIANA </t>
  </si>
  <si>
    <t xml:space="preserve">ELIZABETH ESQUIVL </t>
  </si>
  <si>
    <t>70996559</t>
  </si>
  <si>
    <t xml:space="preserve">LOPEZ VILLACREZ LINDER </t>
  </si>
  <si>
    <t>75764894</t>
  </si>
  <si>
    <t>ORIZANO JOIJA,NILSON DAVID</t>
  </si>
  <si>
    <t>SALLY SAAVEDRA</t>
  </si>
  <si>
    <t>MILY FERNANDEZ</t>
  </si>
  <si>
    <t>74465359</t>
  </si>
  <si>
    <t>PINO PEREZ,WILFREDO - JOSE</t>
  </si>
  <si>
    <t>10162067</t>
  </si>
  <si>
    <t>CAMARGO SANTOS LENIN LUIS</t>
  </si>
  <si>
    <t>DIRIS CENTRO</t>
  </si>
  <si>
    <t>72094512</t>
  </si>
  <si>
    <t>PAPAS VILCA TONY</t>
  </si>
  <si>
    <t>73079219</t>
  </si>
  <si>
    <t xml:space="preserve">MENDOZA CASTILLO DE ARCE ANGELA VICTORIA </t>
  </si>
  <si>
    <t xml:space="preserve">RENIEC </t>
  </si>
  <si>
    <t xml:space="preserve">CARLA CORNEJO </t>
  </si>
  <si>
    <t>46286134</t>
  </si>
  <si>
    <t>GUTARRA LORENZO MERCEDES VERENISSE</t>
  </si>
  <si>
    <t>43100049</t>
  </si>
  <si>
    <t>MENDOZA JUAREZ JOSE SANTOS</t>
  </si>
  <si>
    <t>PROVINCIA</t>
  </si>
  <si>
    <t>42545287</t>
  </si>
  <si>
    <t>ROJAS ENCINA EDINSON</t>
  </si>
  <si>
    <t>SENASA</t>
  </si>
  <si>
    <t>72525502</t>
  </si>
  <si>
    <t>REAÑO DAVILA EMIGDIO</t>
  </si>
  <si>
    <t>conyugue con deuda de tarjeta bcp</t>
  </si>
  <si>
    <t>43155464</t>
  </si>
  <si>
    <t>VASQUEZ HERRERA NELVIN LACSER</t>
  </si>
  <si>
    <t>76692304</t>
  </si>
  <si>
    <t>MACEDO CARDENAS,ROMARIO</t>
  </si>
  <si>
    <t>47214045</t>
  </si>
  <si>
    <t>BARRERA DANAQUIR JHONER ALBERTO</t>
  </si>
  <si>
    <t>70004734</t>
  </si>
  <si>
    <t xml:space="preserve"> JAPURA FLORES YIANMARCO</t>
  </si>
  <si>
    <t>Esperando conformidad para CD COOP. SERV. MULTI</t>
  </si>
  <si>
    <t xml:space="preserve">   </t>
  </si>
  <si>
    <t>43320011</t>
  </si>
  <si>
    <t>09880685</t>
  </si>
  <si>
    <t>VALERA RENGIFO LUIS FERNANDO</t>
  </si>
  <si>
    <t>CHAVEZ BREÑA EDGARD OMAR</t>
  </si>
  <si>
    <t xml:space="preserve"> 47100425</t>
  </si>
  <si>
    <t>RENIEC</t>
  </si>
  <si>
    <t xml:space="preserve">ROBLES QUESADA,ELSA CAROLINA </t>
  </si>
  <si>
    <t>22514212</t>
  </si>
  <si>
    <t>BRANCACHO GARAY ANDRES EUGENIO</t>
  </si>
  <si>
    <t>75256846</t>
  </si>
  <si>
    <t>AGRORURAL</t>
  </si>
  <si>
    <t xml:space="preserve">TORRES RAMOS ANDERSON MOISES </t>
  </si>
  <si>
    <t>77203312</t>
  </si>
  <si>
    <t>ORIHUELA SANDOVAL,GREYMI ROSMERY</t>
  </si>
  <si>
    <t>76271642</t>
  </si>
  <si>
    <t>FARFAN CUARESMA MAIKOL WILLIAMS</t>
  </si>
  <si>
    <t xml:space="preserve">PIO FERREYRA </t>
  </si>
  <si>
    <t>SILVIA CASTAÑEDA</t>
  </si>
  <si>
    <t xml:space="preserve">72218594 </t>
  </si>
  <si>
    <t>DELGADO MENDOZA,HERMES ABRAMELIN</t>
  </si>
  <si>
    <t>47205342</t>
  </si>
  <si>
    <t>SALAS MORALES CESAR GUSTAVO</t>
  </si>
  <si>
    <t>observado por edad</t>
  </si>
  <si>
    <t xml:space="preserve">esperando cambio de estado </t>
  </si>
  <si>
    <t>41629204</t>
  </si>
  <si>
    <t xml:space="preserve">OLCESE CARRERA ESTHER </t>
  </si>
  <si>
    <t>MINVIV</t>
  </si>
  <si>
    <t>41550958</t>
  </si>
  <si>
    <t>ARIAS ALCIDES ERICK GIANCARLO</t>
  </si>
  <si>
    <t>ESPOSA CON DEUDA BCP</t>
  </si>
  <si>
    <t>46751410</t>
  </si>
  <si>
    <t>ZUMAETA MAMANI JULIO CESAR</t>
  </si>
  <si>
    <t>CLIENTE FIRMARA  CARTA DE DESISTIMIENTO CON BANCO COMERCIO</t>
  </si>
  <si>
    <t>06796705</t>
  </si>
  <si>
    <t xml:space="preserve">NEGRETE NEYRA MILAGROS  ROXANA </t>
  </si>
  <si>
    <t xml:space="preserve">DIRIS CENTRO </t>
  </si>
  <si>
    <t>72133137</t>
  </si>
  <si>
    <t>OROCHE TAMANI JOBNER LLAIR</t>
  </si>
  <si>
    <t>73748369</t>
  </si>
  <si>
    <t xml:space="preserve">PEREZ FLORES WALTER GERARDO </t>
  </si>
  <si>
    <t>02670807</t>
  </si>
  <si>
    <t>MARTINEZ CARRASCO ARNULFO NEPTALI</t>
  </si>
  <si>
    <t>76759947</t>
  </si>
  <si>
    <t xml:space="preserve">LLALLIRE ENRIQUEZ JEFERZION </t>
  </si>
  <si>
    <t>73241946</t>
  </si>
  <si>
    <t>LESCANO DE LA CRUZ KELLY YALU</t>
  </si>
  <si>
    <t>76924586</t>
  </si>
  <si>
    <t>GOMEZ CAHUANA YORDAN GERSON</t>
  </si>
  <si>
    <t xml:space="preserve">EP </t>
  </si>
  <si>
    <t>SANDRO AVALOS</t>
  </si>
  <si>
    <t>74079378</t>
  </si>
  <si>
    <t>41046644</t>
  </si>
  <si>
    <t>ROSALES QUISPE,DIEGO JHONNATHAN</t>
  </si>
  <si>
    <t>MEJIA OTAROLA LUIS FELIPE</t>
  </si>
  <si>
    <t>10539769</t>
  </si>
  <si>
    <t>ARIAS VALDEZ JUAN CARLOS</t>
  </si>
  <si>
    <t>76843343</t>
  </si>
  <si>
    <t xml:space="preserve">ZAMORA  GALLARDO AGUINALDO </t>
  </si>
  <si>
    <t xml:space="preserve"> 43778961</t>
  </si>
  <si>
    <t>71703956</t>
  </si>
  <si>
    <t>AGUILAR HURTADO MIGUEL ANGEL</t>
  </si>
  <si>
    <t xml:space="preserve">INDIGOYEN RAMIREZ DALILA KAREN </t>
  </si>
  <si>
    <t>71989069</t>
  </si>
  <si>
    <t>COLCHADO CORDERO OSCAR JUNIOR</t>
  </si>
  <si>
    <t>SUSAN VELASQUEZ</t>
  </si>
  <si>
    <t>PENDINETE DE TOMA DE FIRMAS</t>
  </si>
  <si>
    <t>76408717</t>
  </si>
  <si>
    <t>TAIPE AYME CRISTHIAN</t>
  </si>
  <si>
    <t>25771622</t>
  </si>
  <si>
    <t>SAMAME FARFAN MABEL CRISTINA</t>
  </si>
  <si>
    <t>FALTA FIRMAR</t>
  </si>
  <si>
    <t>40817778</t>
  </si>
  <si>
    <t>HUAYOLI LOPEZ IRMA LOIDA</t>
  </si>
  <si>
    <t xml:space="preserve">PROVINCIA </t>
  </si>
  <si>
    <t>47527948</t>
  </si>
  <si>
    <t>JAUREGUI VALLEJOS CAROL ELENA</t>
  </si>
  <si>
    <t>PRONABEC</t>
  </si>
  <si>
    <t>48123445</t>
  </si>
  <si>
    <t>MANTILLA LANDA, VANESA</t>
  </si>
  <si>
    <t>DELIA VENTURA</t>
  </si>
  <si>
    <t>INTERBANK, NACION</t>
  </si>
  <si>
    <t>70370275</t>
  </si>
  <si>
    <t>SORIA ZEGARRA MARCO ANTONIO</t>
  </si>
  <si>
    <t>74212734</t>
  </si>
  <si>
    <t>ROMANI TUEROS, RONY</t>
  </si>
  <si>
    <t>BANCO GNB</t>
  </si>
  <si>
    <t>7080827</t>
  </si>
  <si>
    <t>RODRIGUEZ LOPEZ,VICTORIA JARUMI</t>
  </si>
  <si>
    <t>43287773</t>
  </si>
  <si>
    <t>HUAMAN VENDAÑO, ZULMA YANET</t>
  </si>
  <si>
    <t>PRESTAMO NUEVO</t>
  </si>
  <si>
    <t>70096018</t>
  </si>
  <si>
    <t>MEDRANO INFANTE, JULIO CESAR</t>
  </si>
  <si>
    <t>48855637</t>
  </si>
  <si>
    <t>BAUTISTA PARIONA, YOEL RAUL</t>
  </si>
  <si>
    <t>SCOTIABANK</t>
  </si>
  <si>
    <t>HUANTA</t>
  </si>
  <si>
    <t>70248308</t>
  </si>
  <si>
    <t xml:space="preserve">ABAD MORALES, YULISSA </t>
  </si>
  <si>
    <t>INTERBANK</t>
  </si>
  <si>
    <t>70001368</t>
  </si>
  <si>
    <t>HUAMANI CISNEROS, YEDI</t>
  </si>
  <si>
    <t>JORGE ALFARO</t>
  </si>
  <si>
    <t>28317066</t>
  </si>
  <si>
    <t xml:space="preserve">YUPANQUI BAUTISTA, GLADYS </t>
  </si>
  <si>
    <t xml:space="preserve">DESMORA DE REMESA </t>
  </si>
  <si>
    <t>45349251</t>
  </si>
  <si>
    <t xml:space="preserve">MARTINEZ HUAMAN GUADALUPE GABRIELA </t>
  </si>
  <si>
    <t xml:space="preserve">QUEQUE MENDOZA JHEYSON </t>
  </si>
  <si>
    <t>43474356</t>
  </si>
  <si>
    <t>GAMBOA CARDENAS MAGALY</t>
  </si>
  <si>
    <t>DEMORA DE REMESA</t>
  </si>
  <si>
    <t>70172873</t>
  </si>
  <si>
    <t>FLORES DE LA CRUZ MICHAEL</t>
  </si>
  <si>
    <t>75115624</t>
  </si>
  <si>
    <t>MENDOZA TANTALEAN JORGE CRISTIAN</t>
  </si>
  <si>
    <t>MARIA VERGARA</t>
  </si>
  <si>
    <t>75785289</t>
  </si>
  <si>
    <t>EDWAR MAS CAVA</t>
  </si>
  <si>
    <t>CARLA ZAMBRANO</t>
  </si>
  <si>
    <t>73340045</t>
  </si>
  <si>
    <t>JHONATTAN JUNIOR MORENO CODINA</t>
  </si>
  <si>
    <t>AGRO RURAL</t>
  </si>
  <si>
    <t>SEBASTIAN QUINTEROS</t>
  </si>
  <si>
    <t>44004519</t>
  </si>
  <si>
    <t>YOVERA QUEZADA FREDY IVAN</t>
  </si>
  <si>
    <t>GIOVANA  BEDOYA</t>
  </si>
  <si>
    <t>CUSCO</t>
  </si>
  <si>
    <t>23900276</t>
  </si>
  <si>
    <t>OXSA PALOMINO ROSA MARIA</t>
  </si>
  <si>
    <t>45162054</t>
  </si>
  <si>
    <t>MANYA HUMAREDA WILMER MAGUIN</t>
  </si>
  <si>
    <t>76263020</t>
  </si>
  <si>
    <t>NIETO CORNEJO HECTOR ISMAEL</t>
  </si>
  <si>
    <t>73103294</t>
  </si>
  <si>
    <t>BERTRAN SANCHEZ DIEGO SEBASTIAN</t>
  </si>
  <si>
    <t>06673821</t>
  </si>
  <si>
    <t>GAMARRA UGARTE OSCAR</t>
  </si>
  <si>
    <t>74922192</t>
  </si>
  <si>
    <t>OLIVA MADRID NOLBERTO FERNANDO</t>
  </si>
  <si>
    <t>40819585</t>
  </si>
  <si>
    <t>MONICA VIVANCO VIVANCO</t>
  </si>
  <si>
    <t>00369957</t>
  </si>
  <si>
    <t>SILVA MORAN LEOGIL RAMON</t>
  </si>
  <si>
    <t>CRISTHIAN TORRES ACUÑA</t>
  </si>
  <si>
    <t>se reenvio remesa nuevamente</t>
  </si>
  <si>
    <t>01324890</t>
  </si>
  <si>
    <t>RAMOS PEREZ FLOR ELIZABETH</t>
  </si>
  <si>
    <t>76079566</t>
  </si>
  <si>
    <t>YORDY DIAZ CAMPOS</t>
  </si>
  <si>
    <t>GIOVANNI ALARCON SAMAME</t>
  </si>
  <si>
    <t>434094507</t>
  </si>
  <si>
    <t>ROJAS REYES GUSTAVO DANIEL</t>
  </si>
  <si>
    <t>46277522</t>
  </si>
  <si>
    <t>LUIS GUEVARA LOPEZ</t>
  </si>
  <si>
    <t>44475202</t>
  </si>
  <si>
    <t>AMAYA FARGE OSCAR DAVID</t>
  </si>
  <si>
    <t>PISCO</t>
  </si>
  <si>
    <t>70570557</t>
  </si>
  <si>
    <t>ANTONIO CESAR ORTEGA HUAMAN</t>
  </si>
  <si>
    <t>03650161</t>
  </si>
  <si>
    <t xml:space="preserve">ADRIANZEN FARFAN LUZMILA YSABEL </t>
  </si>
  <si>
    <t>ERIKA  EZETA</t>
  </si>
  <si>
    <t>16005538</t>
  </si>
  <si>
    <t>ALEX GIOVANNI PERALTA BERNUT</t>
  </si>
  <si>
    <t>77566032</t>
  </si>
  <si>
    <t>LOAYZA BENITES YEVGENY ANDRE</t>
  </si>
  <si>
    <t>43708706</t>
  </si>
  <si>
    <t>46761560</t>
  </si>
  <si>
    <t>HERBERT VEGA DE LA CRUZ</t>
  </si>
  <si>
    <t>DIAZ PAREJA JUANA SOFIA</t>
  </si>
  <si>
    <t>CHIMBOTE</t>
  </si>
  <si>
    <t>10/0872026</t>
  </si>
  <si>
    <t>42380630</t>
  </si>
  <si>
    <t>SOLANO ECHEVARRIA LIZ YULISA</t>
  </si>
  <si>
    <t>32989605</t>
  </si>
  <si>
    <t>EDWIN DANEL LOZANO HONORES</t>
  </si>
  <si>
    <t xml:space="preserve">pendiente CNA itbk </t>
  </si>
  <si>
    <t>43373053</t>
  </si>
  <si>
    <t>HUGO AMADOR BARJA DAGA</t>
  </si>
  <si>
    <t>Obs BackOffice</t>
  </si>
  <si>
    <t>NELSON MUGARRA</t>
  </si>
  <si>
    <t>75462776</t>
  </si>
  <si>
    <t>ENGELS CUEVA VALQUI</t>
  </si>
  <si>
    <t>TRUJILLO</t>
  </si>
  <si>
    <t>77159917</t>
  </si>
  <si>
    <t xml:space="preserve"> RAMIREZ CORDOVA LISBET YOHHAIRA</t>
  </si>
  <si>
    <t>04067234</t>
  </si>
  <si>
    <t>DIMAS EDGAR FLORES POVES</t>
  </si>
  <si>
    <t>45932507</t>
  </si>
  <si>
    <t>YALAN SILVA YESENIA ISABEL-</t>
  </si>
  <si>
    <t>DIRIS NORTE</t>
  </si>
  <si>
    <t>71864212</t>
  </si>
  <si>
    <t>NALDY FIORELA MAMANI COYLA</t>
  </si>
  <si>
    <t>10439900</t>
  </si>
  <si>
    <t>ROSA ALBINA MORENO JIMENO</t>
  </si>
  <si>
    <t>78007898</t>
  </si>
  <si>
    <t>ANYELA ROCIO ESPINOZA GARAY</t>
  </si>
  <si>
    <t>ELIZABETH TORRES</t>
  </si>
  <si>
    <t>73113876</t>
  </si>
  <si>
    <t>ROJAS BOZA JHERAL ANTONY</t>
  </si>
  <si>
    <t>JESSICA GASPAR</t>
  </si>
  <si>
    <t>74150855</t>
  </si>
  <si>
    <t>CLAUDIA IVONNE CABRERA CASTILLO</t>
  </si>
  <si>
    <t>ELIZABETH QUISPE</t>
  </si>
  <si>
    <t>43404035</t>
  </si>
  <si>
    <t>MOYA APONTE MAYENI</t>
  </si>
  <si>
    <t>45881107</t>
  </si>
  <si>
    <t>MERINO VILCAHUAMAN YANET</t>
  </si>
  <si>
    <t>74213201</t>
  </si>
  <si>
    <t>KEVIN MEIER EGOAVIL QUISPE</t>
  </si>
  <si>
    <t>44560482</t>
  </si>
  <si>
    <t>LUIS ALBERTO CHAVEZ COLLAZOS</t>
  </si>
  <si>
    <t>45775325</t>
  </si>
  <si>
    <t>DAVILA UMERES EDGAR LUIS ERNESTO</t>
  </si>
  <si>
    <t>RUTH CLARITA CJURO URACCAHUA</t>
  </si>
  <si>
    <t>73351987</t>
  </si>
  <si>
    <t>GUILLEN MAMANI BLADIMIR GONZALO</t>
  </si>
  <si>
    <t>41934962</t>
  </si>
  <si>
    <t>DAMIAN CHOQUE EDITH</t>
  </si>
  <si>
    <t>CPP ULTIMO MES</t>
  </si>
  <si>
    <t>73275885</t>
  </si>
  <si>
    <t>VELARDE ALANOCCA WILLIAM RONALDO</t>
  </si>
  <si>
    <t>73777200</t>
  </si>
  <si>
    <t>HUAMANI BUSTINZA ANGEL DANIEL</t>
  </si>
  <si>
    <t>46324946</t>
  </si>
  <si>
    <t>SANCHEZ JACINTO ANGELA FABIOLA</t>
  </si>
  <si>
    <t>41858947</t>
  </si>
  <si>
    <t>ANCULLE CARNERO MADELEYNE YOVANI</t>
  </si>
  <si>
    <t>CLIENTE DESISTE</t>
  </si>
  <si>
    <t>42082217</t>
  </si>
  <si>
    <t xml:space="preserve">ESCOBAR CALLE ALEX WILSON </t>
  </si>
  <si>
    <t>ALEXA ENEQUE</t>
  </si>
  <si>
    <t>46296586</t>
  </si>
  <si>
    <t>MILTON CESAR COTACALLAPA COACALLA</t>
  </si>
  <si>
    <t>CARTERA TRANSF</t>
  </si>
  <si>
    <t>73868687</t>
  </si>
  <si>
    <t>WILMER DANIEL PEREZ GOICOCHEA</t>
  </si>
  <si>
    <t>44997700</t>
  </si>
  <si>
    <t>APONTE SUCLUPE LUZ MABEL</t>
  </si>
  <si>
    <t>44550036</t>
  </si>
  <si>
    <t>GIRON PALOMINO MARCO</t>
  </si>
  <si>
    <t>76454994</t>
  </si>
  <si>
    <t>FRETEL CUADROS LINCOL GABRIEL</t>
  </si>
  <si>
    <t>44627889</t>
  </si>
  <si>
    <t>CRUZ SAICO EBER DARIO</t>
  </si>
  <si>
    <t>CERRO COLORADO</t>
  </si>
  <si>
    <t>crear perfil conyuge</t>
  </si>
  <si>
    <t>47281677</t>
  </si>
  <si>
    <t>MONTES GARAY MARLENY EVELIA</t>
  </si>
  <si>
    <t>41979942</t>
  </si>
  <si>
    <t xml:space="preserve">LOPEZ CENTURION FREDY </t>
  </si>
  <si>
    <t>KATERINE GONZALES</t>
  </si>
  <si>
    <t>45639214</t>
  </si>
  <si>
    <t>CRUZ CHIRINOS HARLY</t>
  </si>
  <si>
    <t>80404634</t>
  </si>
  <si>
    <t>OLIVERA PIZARRO MARTIN RICARDO</t>
  </si>
  <si>
    <t>EPSEL</t>
  </si>
  <si>
    <t>75199143</t>
  </si>
  <si>
    <t>SANCHEZ DEL CARPIO LUIS</t>
  </si>
  <si>
    <t>CAMBIO CPP</t>
  </si>
  <si>
    <t>44224584</t>
  </si>
  <si>
    <t>JIMENEZ ANCCO CARMEN ROSA</t>
  </si>
  <si>
    <t>72711383</t>
  </si>
  <si>
    <t xml:space="preserve">SEGURA CELIZ JOSE ABRAHAM </t>
  </si>
  <si>
    <t>76406354</t>
  </si>
  <si>
    <t>RENDON BARRIENTOS YAKELINE LIZBETH</t>
  </si>
  <si>
    <t>DESISTIÓ DE BCP</t>
  </si>
  <si>
    <t>47881806</t>
  </si>
  <si>
    <t>QUIROZ RODAS DANDY WILBERT</t>
  </si>
  <si>
    <t>70970965</t>
  </si>
  <si>
    <t>RISCO SANDOVAL,DANNER RENZO</t>
  </si>
  <si>
    <t>70180468</t>
  </si>
  <si>
    <t>DE LA CRUZ CIRILO,JUAN DANIEL</t>
  </si>
  <si>
    <t>21/0/2026</t>
  </si>
  <si>
    <t>48084950</t>
  </si>
  <si>
    <t>BALBUENA GRADOS JEFRY ALEXANDER</t>
  </si>
  <si>
    <t xml:space="preserve">71442200 </t>
  </si>
  <si>
    <t>ROMAN DOBLADILLO FREDY JAIME</t>
  </si>
  <si>
    <t xml:space="preserve">42714744 </t>
  </si>
  <si>
    <t>BALVIN VASQUEZ,HEYSES ROBERT</t>
  </si>
  <si>
    <t xml:space="preserve">70940373 </t>
  </si>
  <si>
    <t xml:space="preserve">SOLANO IZQUIERDO JOSE ADRIAN </t>
  </si>
  <si>
    <t>73130769</t>
  </si>
  <si>
    <t>MORALES YGNACIO JUNIOR DERMALI</t>
  </si>
  <si>
    <t>71568810</t>
  </si>
  <si>
    <t>BENAVIDES VELASQUE FERNANDO LEONARDO</t>
  </si>
  <si>
    <t>48331047</t>
  </si>
  <si>
    <t>HUAMAN CHUQUIRUNA JOSUE ISAIAS</t>
  </si>
  <si>
    <t xml:space="preserve">HINOSTROSA MARTINEZ HUMBERTO LUIS </t>
  </si>
  <si>
    <t>44456933</t>
  </si>
  <si>
    <t>HUAMAN RAMIREZ,JENS ELVIS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</si>
</sst>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S/.]#,##0.00"/>
    <numFmt numFmtId="165" formatCode="00.0%"/>
    <numFmt numFmtId="166" formatCode="d/MM/yyyy"/>
    <numFmt numFmtId="167" formatCode="dd/mm/yyyy"/>
    <numFmt numFmtId="168" formatCode="dd-mm-yyyy"/>
    <numFmt numFmtId="169" formatCode="dd-mm"/>
  </numFmts>
  <fonts count="47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002D74"/>
      <name val="Arial"/>
      <scheme val="minor"/>
    </font>
    <font>
      <b/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8.0"/>
      <color rgb="FFFFFFFF"/>
      <name val="Arial"/>
      <scheme val="minor"/>
    </font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rgb="FF000000"/>
      <name val="Roboto"/>
    </font>
    <font>
      <sz val="9.0"/>
      <color rgb="FF000000"/>
      <name val="Roboto"/>
    </font>
    <font>
      <sz val="9.0"/>
      <color theme="1"/>
      <name val="-apple-system"/>
    </font>
    <font>
      <sz val="9.0"/>
      <color theme="1"/>
      <name val="Arial"/>
    </font>
    <font>
      <color theme="1"/>
      <name val="Roboto"/>
    </font>
    <font>
      <color theme="1"/>
      <name val="Arial"/>
    </font>
    <font>
      <color rgb="FF000000"/>
      <name val="Arial"/>
      <scheme val="minor"/>
    </font>
    <font>
      <sz val="10.0"/>
      <color rgb="FF000000"/>
      <name val="Roboto"/>
    </font>
    <font>
      <color rgb="FF000000"/>
      <name val="Calibri"/>
    </font>
    <font>
      <sz val="9.0"/>
      <color rgb="FF1F1F1F"/>
      <name val="Google Sans"/>
    </font>
    <font>
      <color theme="1"/>
      <name val="-apple-system"/>
    </font>
    <font>
      <color rgb="FF11734B"/>
      <name val="Roboto"/>
    </font>
    <font>
      <sz val="9.0"/>
      <color rgb="FF000000"/>
      <name val="Arial"/>
      <scheme val="minor"/>
    </font>
    <font>
      <sz val="9.0"/>
      <color rgb="FF1F1F1F"/>
      <name val="&quot;Google Sans&quot;"/>
    </font>
    <font>
      <color rgb="FF000000"/>
      <name val="-apple-system"/>
    </font>
    <font>
      <sz val="9.0"/>
      <color rgb="FF000000"/>
      <name val="-apple-system"/>
    </font>
    <font>
      <b/>
      <sz val="11.0"/>
      <color rgb="FFFF4F00"/>
      <name val="Calibri"/>
    </font>
    <font>
      <sz val="9.0"/>
      <color rgb="FF000000"/>
      <name val="Arial"/>
    </font>
    <font>
      <b/>
      <sz val="11.0"/>
      <color rgb="FF002D74"/>
      <name val="Calibri"/>
    </font>
    <font/>
    <font>
      <color rgb="FF000000"/>
      <name val="Arial"/>
    </font>
    <font>
      <sz val="11.0"/>
      <color rgb="FF000000"/>
      <name val="Arial"/>
    </font>
    <font>
      <sz val="11.0"/>
      <color rgb="FF242424"/>
      <name val="Arial"/>
    </font>
    <font>
      <sz val="9.0"/>
      <color theme="1"/>
      <name val="Roboto"/>
    </font>
    <font>
      <sz val="9.0"/>
      <color rgb="FF242424"/>
      <name val="Arial"/>
    </font>
    <font>
      <sz val="9.0"/>
      <color theme="1"/>
      <name val="Arial"/>
      <scheme val="minor"/>
    </font>
    <font>
      <color rgb="FF000000"/>
      <name val="&quot;Calibri Light&quot;"/>
    </font>
    <font>
      <sz val="10.0"/>
      <color rgb="FF1F1F1F"/>
      <name val="&quot;Google Sans&quot;"/>
    </font>
    <font>
      <sz val="12.0"/>
      <color rgb="FF000000"/>
      <name val="-apple-system"/>
    </font>
    <font>
      <sz val="17.0"/>
      <color rgb="FF1F1F1F"/>
      <name val="&quot;Google Sans&quot;"/>
    </font>
    <font>
      <color rgb="FF473821"/>
      <name val="Roboto"/>
    </font>
    <font>
      <color rgb="FF753800"/>
      <name val="Roboto"/>
    </font>
    <font>
      <color rgb="FF215A6C"/>
      <name val="Roboto"/>
    </font>
    <font>
      <color rgb="FF434343"/>
      <name val="Roboto"/>
    </font>
    <font>
      <sz val="8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002D74"/>
        <bgColor rgb="FF002D74"/>
      </patternFill>
    </fill>
    <fill>
      <patternFill patternType="solid">
        <fgColor rgb="FFEFEFEF"/>
        <bgColor rgb="FFEFEFEF"/>
      </patternFill>
    </fill>
    <fill>
      <patternFill patternType="solid">
        <fgColor rgb="FFC4090F"/>
        <bgColor rgb="FFC4090F"/>
      </patternFill>
    </fill>
    <fill>
      <patternFill patternType="solid">
        <fgColor rgb="FFFF4F00"/>
        <bgColor rgb="FFFF4F00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D4EDBC"/>
        <bgColor rgb="FFD4EDB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FFE5A0"/>
        <bgColor rgb="FFFFE5A0"/>
      </patternFill>
    </fill>
    <fill>
      <patternFill patternType="solid">
        <fgColor rgb="FFFFC8AA"/>
        <bgColor rgb="FFFFC8AA"/>
      </patternFill>
    </fill>
    <fill>
      <patternFill patternType="solid">
        <fgColor rgb="FFC6DBE1"/>
        <bgColor rgb="FFC6DBE1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6F8F9"/>
        <bgColor rgb="FFF6F8F9"/>
      </patternFill>
    </fill>
  </fills>
  <borders count="1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</border>
  </borders>
  <cellStyleXfs count="1">
    <xf borderId="0" fillId="0" fontId="0" numFmtId="0" applyAlignment="1" applyFont="1"/>
  </cellStyleXfs>
  <cellXfs count="2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4" fontId="4" numFmtId="0" xfId="0" applyAlignment="1" applyBorder="1" applyFill="1" applyFont="1">
      <alignment readingOrder="0" shrinkToFit="0" vertical="center" wrapText="0"/>
    </xf>
    <xf borderId="1" fillId="4" fontId="5" numFmtId="164" xfId="0" applyAlignment="1" applyBorder="1" applyFill="1" applyFont="1" applyNumberFormat="1">
      <alignment horizontal="center" readingOrder="0" shrinkToFit="0" vertical="center" wrapText="0"/>
    </xf>
    <xf borderId="1" fillId="4" fontId="5" numFmtId="0" xfId="0" applyAlignment="1" applyBorder="1" applyFill="1" applyFont="1">
      <alignment horizontal="center" readingOrder="0" shrinkToFit="0" vertical="center" wrapText="0"/>
    </xf>
    <xf borderId="1" fillId="4" fontId="5" numFmtId="165" xfId="0" applyAlignment="1" applyBorder="1" applyFill="1" applyFont="1" applyNumberFormat="1">
      <alignment horizontal="center" readingOrder="0" shrinkToFit="0" vertical="center" wrapText="0"/>
    </xf>
    <xf borderId="0" fillId="5" fontId="6" numFmtId="0" xfId="0" applyAlignment="1" applyFill="1" applyFont="1">
      <alignment horizontal="center" readingOrder="0" vertical="center"/>
    </xf>
    <xf borderId="2" fillId="6" fontId="7" numFmtId="0" xfId="0" applyAlignment="1" applyBorder="1" applyFill="1" applyFont="1">
      <alignment horizontal="center" readingOrder="0" vertical="center"/>
    </xf>
    <xf borderId="2" fillId="3" fontId="7" numFmtId="0" xfId="0" applyAlignment="1" applyBorder="1" applyFill="1" applyFont="1">
      <alignment horizontal="center" readingOrder="0" vertical="center"/>
    </xf>
    <xf borderId="2" fillId="7" fontId="7" numFmtId="0" xfId="0" applyAlignment="1" applyBorder="1" applyFill="1" applyFont="1">
      <alignment horizontal="center" readingOrder="0" vertical="center"/>
    </xf>
    <xf borderId="2" fillId="8" fontId="8" numFmtId="164" xfId="0" applyAlignment="1" applyBorder="1" applyFill="1" applyFont="1" applyNumberFormat="1">
      <alignment horizontal="center" readingOrder="0" vertical="center"/>
    </xf>
    <xf borderId="2" fillId="8" fontId="8" numFmtId="164" xfId="0" applyAlignment="1" applyBorder="1" applyFill="1" applyFont="1" applyNumberFormat="1">
      <alignment horizontal="center" vertical="center"/>
    </xf>
    <xf borderId="2" fillId="8" fontId="9" numFmtId="164" xfId="0" applyAlignment="1" applyBorder="1" applyFill="1" applyFont="1" applyNumberFormat="1">
      <alignment horizontal="center" vertical="center"/>
    </xf>
    <xf borderId="2" fillId="9" fontId="7" numFmtId="0" xfId="0" applyAlignment="1" applyBorder="1" applyFill="1" applyFont="1">
      <alignment horizontal="center" readingOrder="0" vertical="center"/>
    </xf>
    <xf borderId="2" fillId="8" fontId="8" numFmtId="0" xfId="0" applyAlignment="1" applyBorder="1" applyFill="1" applyFont="1">
      <alignment horizontal="center" readingOrder="0" vertical="center"/>
    </xf>
    <xf borderId="2" fillId="8" fontId="8" numFmtId="0" xfId="0" applyAlignment="1" applyBorder="1" applyFill="1" applyFont="1">
      <alignment horizontal="center" vertical="center"/>
    </xf>
    <xf borderId="2" fillId="8" fontId="8" numFmtId="10" xfId="0" applyAlignment="1" applyBorder="1" applyFill="1" applyFont="1" applyNumberFormat="1">
      <alignment horizontal="center" vertical="center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 shrinkToFit="0" vertical="center" wrapText="0"/>
    </xf>
    <xf borderId="0" fillId="6" fontId="11" numFmtId="0" xfId="0" applyAlignment="1" applyFill="1" applyFont="1">
      <alignment horizontal="center" readingOrder="0" shrinkToFit="0" vertical="center" wrapText="0"/>
    </xf>
    <xf borderId="3" fillId="0" fontId="11" numFmtId="0" xfId="0" applyAlignment="1" applyBorder="1" applyFont="1">
      <alignment horizontal="center" readingOrder="0" shrinkToFit="0" vertical="center" wrapText="0"/>
    </xf>
    <xf borderId="4" fillId="4" fontId="1" numFmtId="0" xfId="0" applyAlignment="1" applyBorder="1" applyFill="1" applyFont="1">
      <alignment horizontal="center" readingOrder="0" shrinkToFit="0" vertical="center" wrapText="0"/>
    </xf>
    <xf borderId="4" fillId="4" fontId="1" numFmtId="166" xfId="0" applyAlignment="1" applyBorder="1" applyFill="1" applyFont="1" applyNumberFormat="1">
      <alignment horizontal="center" readingOrder="0" shrinkToFit="0" vertical="center" wrapText="0"/>
    </xf>
    <xf borderId="4" fillId="4" fontId="1" numFmtId="0" xfId="0" applyAlignment="1" applyBorder="1" applyFill="1" applyFont="1">
      <alignment horizontal="center" readingOrder="0" shrinkToFit="0" vertical="center" wrapText="0"/>
    </xf>
    <xf borderId="4" fillId="4" fontId="1" numFmtId="49" xfId="0" applyAlignment="1" applyBorder="1" applyFill="1" applyFont="1" applyNumberFormat="1">
      <alignment horizontal="center" readingOrder="0" shrinkToFit="0" vertical="center" wrapText="0"/>
    </xf>
    <xf borderId="4" fillId="4" fontId="11" numFmtId="164" xfId="0" applyAlignment="1" applyBorder="1" applyFill="1" applyFont="1" applyNumberFormat="1">
      <alignment horizontal="center" readingOrder="0" shrinkToFit="0" vertical="center" wrapText="0"/>
    </xf>
    <xf borderId="4" fillId="4" fontId="1" numFmtId="167" xfId="0" applyAlignment="1" applyBorder="1" applyFill="1" applyFont="1" applyNumberFormat="1">
      <alignment horizontal="center" readingOrder="0" shrinkToFit="0" vertical="center" wrapText="0"/>
    </xf>
    <xf borderId="5" fillId="4" fontId="12" numFmtId="0" xfId="0" applyAlignment="1" applyBorder="1" applyFill="1" applyFont="1">
      <alignment horizontal="center" readingOrder="0" shrinkToFit="0" vertical="center" wrapText="0"/>
    </xf>
    <xf borderId="4" fillId="4" fontId="1" numFmtId="0" xfId="0" applyAlignment="1" applyBorder="1" applyFill="1" applyFont="1">
      <alignment horizontal="center" shrinkToFit="0" vertical="center" wrapText="0"/>
    </xf>
    <xf borderId="3" fillId="4" fontId="12" numFmtId="166" xfId="0" applyAlignment="1" applyBorder="1" applyFill="1" applyFont="1" applyNumberFormat="1">
      <alignment horizontal="center" readingOrder="0" shrinkToFit="0" vertical="center" wrapText="0"/>
    </xf>
    <xf borderId="4" fillId="4" fontId="1" numFmtId="0" xfId="0" applyAlignment="1" applyBorder="1" applyFill="1" applyFont="1">
      <alignment horizontal="center" shrinkToFit="0" vertical="center" wrapText="0"/>
    </xf>
    <xf borderId="6" fillId="4" fontId="12" numFmtId="0" xfId="0" applyAlignment="1" applyBorder="1" applyFill="1" applyFont="1">
      <alignment horizontal="center" readingOrder="0" shrinkToFit="0" vertical="center" wrapText="0"/>
    </xf>
    <xf borderId="3" fillId="4" fontId="13" numFmtId="166" xfId="0" applyAlignment="1" applyBorder="1" applyFill="1" applyFont="1" applyNumberFormat="1">
      <alignment horizontal="center" readingOrder="0" shrinkToFit="0" vertical="center" wrapText="0"/>
    </xf>
    <xf borderId="3" fillId="4" fontId="14" numFmtId="49" xfId="0" applyAlignment="1" applyBorder="1" applyFill="1" applyFont="1" applyNumberFormat="1">
      <alignment horizontal="center" shrinkToFit="0" vertical="center" wrapText="0"/>
    </xf>
    <xf borderId="3" fillId="4" fontId="15" numFmtId="49" xfId="0" applyAlignment="1" applyBorder="1" applyFill="1" applyFont="1" applyNumberFormat="1">
      <alignment shrinkToFit="0" vertical="bottom" wrapText="0"/>
    </xf>
    <xf borderId="3" fillId="4" fontId="16" numFmtId="0" xfId="0" applyAlignment="1" applyBorder="1" applyFill="1" applyFont="1">
      <alignment horizontal="center" shrinkToFit="0" vertical="center" wrapText="0"/>
    </xf>
    <xf borderId="3" fillId="4" fontId="12" numFmtId="0" xfId="0" applyAlignment="1" applyBorder="1" applyFill="1" applyFont="1">
      <alignment horizontal="center" readingOrder="0" shrinkToFit="0" vertical="center" wrapText="0"/>
    </xf>
    <xf borderId="3" fillId="4" fontId="16" numFmtId="164" xfId="0" applyAlignment="1" applyBorder="1" applyFill="1" applyFont="1" applyNumberFormat="1">
      <alignment horizontal="center" shrinkToFit="0" vertical="center" wrapText="0"/>
    </xf>
    <xf borderId="3" fillId="4" fontId="17" numFmtId="0" xfId="0" applyAlignment="1" applyBorder="1" applyFill="1" applyFont="1">
      <alignment horizontal="center" readingOrder="0" shrinkToFit="0" vertical="center" wrapText="0"/>
    </xf>
    <xf borderId="7" fillId="4" fontId="12" numFmtId="0" xfId="0" applyAlignment="1" applyBorder="1" applyFill="1" applyFont="1">
      <alignment horizontal="center" shrinkToFit="0" vertical="center" wrapText="0"/>
    </xf>
    <xf borderId="4" fillId="4" fontId="1" numFmtId="0" xfId="0" applyAlignment="1" applyBorder="1" applyFill="1" applyFont="1">
      <alignment horizontal="center" readingOrder="0" shrinkToFit="0" vertical="center" wrapText="0"/>
    </xf>
    <xf borderId="4" fillId="4" fontId="18" numFmtId="0" xfId="0" applyAlignment="1" applyBorder="1" applyFill="1" applyFont="1">
      <alignment horizontal="center" shrinkToFit="0" vertical="center" wrapText="0"/>
    </xf>
    <xf borderId="3" fillId="4" fontId="12" numFmtId="0" xfId="0" applyAlignment="1" applyBorder="1" applyFill="1" applyFont="1">
      <alignment horizontal="center" readingOrder="0" shrinkToFit="0" vertical="center" wrapText="0"/>
    </xf>
    <xf borderId="4" fillId="4" fontId="18" numFmtId="0" xfId="0" applyAlignment="1" applyBorder="1" applyFill="1" applyFont="1">
      <alignment horizontal="center" shrinkToFit="0" vertical="center" wrapText="0"/>
    </xf>
    <xf borderId="3" fillId="4" fontId="19" numFmtId="166" xfId="0" applyAlignment="1" applyBorder="1" applyFill="1" applyFont="1" applyNumberFormat="1">
      <alignment horizontal="center" readingOrder="0" shrinkToFit="0" vertical="center" wrapText="0"/>
    </xf>
    <xf borderId="3" fillId="4" fontId="20" numFmtId="49" xfId="0" applyAlignment="1" applyBorder="1" applyFill="1" applyFont="1" applyNumberFormat="1">
      <alignment horizontal="center" readingOrder="0" shrinkToFit="0" vertical="center" wrapText="0"/>
    </xf>
    <xf borderId="3" fillId="4" fontId="21" numFmtId="49" xfId="0" applyAlignment="1" applyBorder="1" applyFill="1" applyFont="1" applyNumberFormat="1">
      <alignment horizontal="center" shrinkToFit="0" vertical="center" wrapText="0"/>
    </xf>
    <xf borderId="3" fillId="4" fontId="19" numFmtId="0" xfId="0" applyAlignment="1" applyBorder="1" applyFill="1" applyFont="1">
      <alignment horizontal="center" readingOrder="0" shrinkToFit="0" vertical="center" wrapText="0"/>
    </xf>
    <xf borderId="3" fillId="4" fontId="21" numFmtId="49" xfId="0" applyAlignment="1" applyBorder="1" applyFill="1" applyFont="1" applyNumberFormat="1">
      <alignment shrinkToFit="0" vertical="center" wrapText="0"/>
    </xf>
    <xf borderId="3" fillId="4" fontId="19" numFmtId="0" xfId="0" applyAlignment="1" applyBorder="1" applyFill="1" applyFont="1">
      <alignment horizontal="center" readingOrder="0" shrinkToFit="0" vertical="center" wrapText="0"/>
    </xf>
    <xf borderId="3" fillId="4" fontId="22" numFmtId="164" xfId="0" applyAlignment="1" applyBorder="1" applyFill="1" applyFont="1" applyNumberFormat="1">
      <alignment horizontal="center" shrinkToFit="0" vertical="center" wrapText="0"/>
    </xf>
    <xf borderId="3" fillId="4" fontId="20" numFmtId="164" xfId="0" applyAlignment="1" applyBorder="1" applyFill="1" applyFont="1" applyNumberFormat="1">
      <alignment horizontal="center" readingOrder="0" shrinkToFit="0" vertical="bottom" wrapText="0"/>
    </xf>
    <xf borderId="4" fillId="4" fontId="18" numFmtId="0" xfId="0" applyAlignment="1" applyBorder="1" applyFill="1" applyFont="1">
      <alignment horizontal="center" readingOrder="0" shrinkToFit="0" vertical="center" wrapText="0"/>
    </xf>
    <xf borderId="3" fillId="4" fontId="13" numFmtId="0" xfId="0" applyAlignment="1" applyBorder="1" applyFill="1" applyFont="1">
      <alignment horizontal="center" readingOrder="0" shrinkToFit="0" vertical="center" wrapText="0"/>
    </xf>
    <xf borderId="8" fillId="10" fontId="23" numFmtId="0" xfId="0" applyAlignment="1" applyBorder="1" applyFill="1" applyFont="1">
      <alignment horizontal="center" shrinkToFit="0" vertical="center" wrapText="0"/>
    </xf>
    <xf borderId="3" fillId="4" fontId="12" numFmtId="0" xfId="0" applyAlignment="1" applyBorder="1" applyFill="1" applyFont="1">
      <alignment horizontal="center" readingOrder="0" shrinkToFit="0" vertical="center" wrapText="0"/>
    </xf>
    <xf borderId="3" fillId="4" fontId="18" numFmtId="0" xfId="0" applyAlignment="1" applyBorder="1" applyFill="1" applyFont="1">
      <alignment horizontal="center" shrinkToFit="0" vertical="center" wrapText="0"/>
    </xf>
    <xf borderId="6" fillId="4" fontId="18" numFmtId="0" xfId="0" applyAlignment="1" applyBorder="1" applyFill="1" applyFont="1">
      <alignment horizontal="center" readingOrder="0" shrinkToFit="0" vertical="center" wrapText="0"/>
    </xf>
    <xf borderId="3" fillId="4" fontId="18" numFmtId="166" xfId="0" applyAlignment="1" applyBorder="1" applyFill="1" applyFont="1" applyNumberFormat="1">
      <alignment horizontal="center" readingOrder="0" shrinkToFit="0" vertical="center" wrapText="0"/>
    </xf>
    <xf borderId="3" fillId="4" fontId="18" numFmtId="0" xfId="0" applyAlignment="1" applyBorder="1" applyFill="1" applyFont="1">
      <alignment horizontal="center" shrinkToFit="0" vertical="center" wrapText="0"/>
    </xf>
    <xf borderId="3" fillId="4" fontId="24" numFmtId="166" xfId="0" applyAlignment="1" applyBorder="1" applyFill="1" applyFont="1" applyNumberFormat="1">
      <alignment horizontal="center" readingOrder="0" shrinkToFit="0" vertical="center" wrapText="0"/>
    </xf>
    <xf borderId="3" fillId="4" fontId="25" numFmtId="49" xfId="0" applyAlignment="1" applyBorder="1" applyFill="1" applyFont="1" applyNumberFormat="1">
      <alignment horizontal="center" readingOrder="0" shrinkToFit="0" vertical="center" wrapText="0"/>
    </xf>
    <xf borderId="3" fillId="4" fontId="1" numFmtId="0" xfId="0" applyAlignment="1" applyBorder="1" applyFill="1" applyFont="1">
      <alignment horizontal="center" readingOrder="0" shrinkToFit="0" vertical="center" wrapText="0"/>
    </xf>
    <xf borderId="3" fillId="4" fontId="25" numFmtId="49" xfId="0" applyAlignment="1" applyBorder="1" applyFill="1" applyFont="1" applyNumberFormat="1">
      <alignment readingOrder="0" shrinkToFit="0" vertical="center" wrapText="0"/>
    </xf>
    <xf borderId="3" fillId="4" fontId="18" numFmtId="0" xfId="0" applyAlignment="1" applyBorder="1" applyFill="1" applyFont="1">
      <alignment horizontal="center" readingOrder="0" shrinkToFit="0" vertical="center" wrapText="0"/>
    </xf>
    <xf borderId="7" fillId="4" fontId="1" numFmtId="0" xfId="0" applyAlignment="1" applyBorder="1" applyFill="1" applyFont="1">
      <alignment horizontal="center" readingOrder="0" shrinkToFit="0" vertical="center" wrapText="0"/>
    </xf>
    <xf borderId="3" fillId="4" fontId="5" numFmtId="164" xfId="0" applyAlignment="1" applyBorder="1" applyFill="1" applyFont="1" applyNumberFormat="1">
      <alignment horizontal="center" readingOrder="0" shrinkToFit="0" vertical="bottom" wrapText="0"/>
    </xf>
    <xf borderId="7" fillId="4" fontId="18" numFmtId="0" xfId="0" applyAlignment="1" applyBorder="1" applyFill="1" applyFont="1">
      <alignment horizontal="center" shrinkToFit="0" vertical="center" wrapText="0"/>
    </xf>
    <xf borderId="5" fillId="4" fontId="18" numFmtId="0" xfId="0" applyAlignment="1" applyBorder="1" applyFill="1" applyFont="1">
      <alignment horizontal="center" readingOrder="0" shrinkToFit="0" vertical="center" wrapText="0"/>
    </xf>
    <xf borderId="3" fillId="4" fontId="18" numFmtId="0" xfId="0" applyAlignment="1" applyBorder="1" applyFill="1" applyFont="1">
      <alignment horizontal="center" readingOrder="0" shrinkToFit="0" vertical="center" wrapText="0"/>
    </xf>
    <xf borderId="3" fillId="4" fontId="26" numFmtId="164" xfId="0" applyAlignment="1" applyBorder="1" applyFill="1" applyFont="1" applyNumberFormat="1">
      <alignment horizontal="center" readingOrder="0" shrinkToFit="0" vertical="center" wrapText="0"/>
    </xf>
    <xf borderId="3" fillId="4" fontId="20" numFmtId="49" xfId="0" applyAlignment="1" applyBorder="1" applyFill="1" applyFont="1" applyNumberFormat="1">
      <alignment horizontal="center" readingOrder="0" shrinkToFit="0" vertical="bottom" wrapText="0"/>
    </xf>
    <xf borderId="3" fillId="4" fontId="18" numFmtId="166" xfId="0" applyAlignment="1" applyBorder="1" applyFill="1" applyFont="1" applyNumberFormat="1">
      <alignment horizontal="center" shrinkToFit="0" vertical="center" wrapText="0"/>
    </xf>
    <xf borderId="3" fillId="4" fontId="27" numFmtId="49" xfId="0" applyAlignment="1" applyBorder="1" applyFill="1" applyFont="1" applyNumberFormat="1">
      <alignment horizontal="center" readingOrder="0" shrinkToFit="0" vertical="center" wrapText="0"/>
    </xf>
    <xf borderId="3" fillId="4" fontId="27" numFmtId="49" xfId="0" applyAlignment="1" applyBorder="1" applyFill="1" applyFont="1" applyNumberFormat="1">
      <alignment readingOrder="0" shrinkToFit="0" vertical="center" wrapText="0"/>
    </xf>
    <xf borderId="7" fillId="4" fontId="18" numFmtId="0" xfId="0" applyAlignment="1" applyBorder="1" applyFill="1" applyFont="1">
      <alignment horizontal="center" readingOrder="0" shrinkToFit="0" vertical="center" wrapText="0"/>
    </xf>
    <xf borderId="3" fillId="4" fontId="12" numFmtId="0" xfId="0" applyAlignment="1" applyBorder="1" applyFill="1" applyFont="1">
      <alignment horizontal="center" shrinkToFit="0" vertical="center" wrapText="0"/>
    </xf>
    <xf borderId="3" fillId="4" fontId="1" numFmtId="0" xfId="0" applyAlignment="1" applyBorder="1" applyFill="1" applyFont="1">
      <alignment horizontal="center" shrinkToFit="0" vertical="center" wrapText="0"/>
    </xf>
    <xf borderId="3" fillId="4" fontId="26" numFmtId="49" xfId="0" applyAlignment="1" applyBorder="1" applyFill="1" applyFont="1" applyNumberFormat="1">
      <alignment readingOrder="0" shrinkToFit="0" vertical="center" wrapText="0"/>
    </xf>
    <xf borderId="0" fillId="4" fontId="18" numFmtId="0" xfId="0" applyAlignment="1" applyFill="1" applyFont="1">
      <alignment horizontal="center" readingOrder="0" shrinkToFit="0" vertical="center" wrapText="0"/>
    </xf>
    <xf borderId="1" fillId="11" fontId="28" numFmtId="0" xfId="0" applyAlignment="1" applyBorder="1" applyFill="1" applyFont="1">
      <alignment readingOrder="0" shrinkToFit="0" vertical="center" wrapText="0"/>
    </xf>
    <xf borderId="1" fillId="11" fontId="28" numFmtId="0" xfId="0" applyAlignment="1" applyBorder="1" applyFill="1" applyFont="1">
      <alignment vertical="center"/>
    </xf>
    <xf borderId="3" fillId="4" fontId="24" numFmtId="166" xfId="0" applyAlignment="1" applyBorder="1" applyFill="1" applyFont="1" applyNumberFormat="1">
      <alignment horizontal="center" shrinkToFit="0" vertical="center" wrapText="0"/>
    </xf>
    <xf borderId="3" fillId="4" fontId="29" numFmtId="49" xfId="0" applyAlignment="1" applyBorder="1" applyFill="1" applyFont="1" applyNumberFormat="1">
      <alignment horizontal="center" readingOrder="0" shrinkToFit="0" vertical="center" wrapText="0"/>
    </xf>
    <xf borderId="1" fillId="12" fontId="30" numFmtId="164" xfId="0" applyAlignment="1" applyBorder="1" applyFill="1" applyFont="1" applyNumberFormat="1">
      <alignment horizontal="center" readingOrder="0" shrinkToFit="0" vertical="center" wrapText="0"/>
    </xf>
    <xf borderId="1" fillId="12" fontId="30" numFmtId="0" xfId="0" applyAlignment="1" applyBorder="1" applyFill="1" applyFont="1">
      <alignment horizontal="center" readingOrder="0" shrinkToFit="0" vertical="center" wrapText="0"/>
    </xf>
    <xf borderId="1" fillId="11" fontId="28" numFmtId="164" xfId="0" applyAlignment="1" applyBorder="1" applyFill="1" applyFont="1" applyNumberFormat="1">
      <alignment horizontal="center" readingOrder="0" shrinkToFit="0" vertical="center" wrapText="0"/>
    </xf>
    <xf borderId="1" fillId="11" fontId="28" numFmtId="3" xfId="0" applyAlignment="1" applyBorder="1" applyFill="1" applyFont="1" applyNumberFormat="1">
      <alignment horizontal="center" readingOrder="0" shrinkToFit="0" vertical="center" wrapText="0"/>
    </xf>
    <xf borderId="1" fillId="11" fontId="28" numFmtId="0" xfId="0" applyAlignment="1" applyBorder="1" applyFill="1" applyFont="1">
      <alignment horizontal="center" readingOrder="0" shrinkToFit="0" vertical="center" wrapText="0"/>
    </xf>
    <xf borderId="9" fillId="2" fontId="3" numFmtId="0" xfId="0" applyAlignment="1" applyBorder="1" applyFill="1" applyFont="1">
      <alignment readingOrder="0" shrinkToFit="0" vertical="center" wrapText="0"/>
    </xf>
    <xf borderId="10" fillId="0" fontId="31" numFmtId="0" xfId="0" applyBorder="1" applyFont="1"/>
    <xf borderId="9" fillId="4" fontId="4" numFmtId="0" xfId="0" applyAlignment="1" applyBorder="1" applyFill="1" applyFont="1">
      <alignment readingOrder="0" shrinkToFit="0" vertical="center" wrapText="0"/>
    </xf>
    <xf borderId="3" fillId="4" fontId="29" numFmtId="49" xfId="0" applyAlignment="1" applyBorder="1" applyFill="1" applyFont="1" applyNumberFormat="1">
      <alignment readingOrder="0" shrinkToFit="0" vertical="center" wrapText="0"/>
    </xf>
    <xf borderId="3" fillId="4" fontId="32" numFmtId="164" xfId="0" applyAlignment="1" applyBorder="1" applyFill="1" applyFont="1" applyNumberFormat="1">
      <alignment horizontal="center" readingOrder="0" shrinkToFit="0" vertical="center" wrapText="0"/>
    </xf>
    <xf borderId="3" fillId="4" fontId="15" numFmtId="49" xfId="0" applyAlignment="1" applyBorder="1" applyFill="1" applyFont="1" applyNumberFormat="1">
      <alignment horizontal="center" shrinkToFit="0" vertical="center" wrapText="0"/>
    </xf>
    <xf borderId="3" fillId="4" fontId="15" numFmtId="49" xfId="0" applyAlignment="1" applyBorder="1" applyFill="1" applyFont="1" applyNumberFormat="1">
      <alignment shrinkToFit="0" vertical="center" wrapText="0"/>
    </xf>
    <xf borderId="11" fillId="4" fontId="19" numFmtId="0" xfId="0" applyAlignment="1" applyBorder="1" applyFill="1" applyFont="1">
      <alignment horizontal="center" readingOrder="0" shrinkToFit="0" vertical="center" wrapText="0"/>
    </xf>
    <xf borderId="3" fillId="4" fontId="16" numFmtId="0" xfId="0" applyAlignment="1" applyBorder="1" applyFill="1" applyFont="1">
      <alignment horizontal="center" readingOrder="0" shrinkToFit="0" vertical="center" wrapText="0"/>
    </xf>
    <xf borderId="3" fillId="4" fontId="1" numFmtId="166" xfId="0" applyAlignment="1" applyBorder="1" applyFill="1" applyFont="1" applyNumberFormat="1">
      <alignment horizontal="center" readingOrder="0" shrinkToFit="0" vertical="center" wrapText="0"/>
    </xf>
    <xf borderId="3" fillId="4" fontId="16" numFmtId="166" xfId="0" applyAlignment="1" applyBorder="1" applyFill="1" applyFont="1" applyNumberFormat="1">
      <alignment horizontal="center" shrinkToFit="0" vertical="center" wrapText="0"/>
    </xf>
    <xf borderId="3" fillId="4" fontId="5" numFmtId="49" xfId="0" applyAlignment="1" applyBorder="1" applyFill="1" applyFont="1" applyNumberFormat="1">
      <alignment horizontal="center" readingOrder="0" shrinkToFit="0" vertical="bottom" wrapText="0"/>
    </xf>
    <xf borderId="3" fillId="4" fontId="33" numFmtId="49" xfId="0" applyAlignment="1" applyBorder="1" applyFill="1" applyFont="1" applyNumberFormat="1">
      <alignment horizontal="center" readingOrder="0" shrinkToFit="0" vertical="center" wrapText="0"/>
    </xf>
    <xf borderId="3" fillId="4" fontId="34" numFmtId="49" xfId="0" applyAlignment="1" applyBorder="1" applyFill="1" applyFont="1" applyNumberFormat="1">
      <alignment readingOrder="0" shrinkToFit="0" vertical="center" wrapText="0"/>
    </xf>
    <xf borderId="3" fillId="4" fontId="33" numFmtId="164" xfId="0" applyAlignment="1" applyBorder="1" applyFill="1" applyFont="1" applyNumberFormat="1">
      <alignment horizontal="center" readingOrder="0" shrinkToFit="0" vertical="center" wrapText="0"/>
    </xf>
    <xf borderId="9" fillId="11" fontId="28" numFmtId="0" xfId="0" applyAlignment="1" applyBorder="1" applyFill="1" applyFont="1">
      <alignment readingOrder="0" shrinkToFit="0" vertical="center" wrapText="0"/>
    </xf>
    <xf borderId="1" fillId="11" fontId="28" numFmtId="165" xfId="0" applyAlignment="1" applyBorder="1" applyFill="1" applyFont="1" applyNumberFormat="1">
      <alignment horizontal="center" readingOrder="0" shrinkToFit="0" vertical="center" wrapText="0"/>
    </xf>
    <xf borderId="7" fillId="4" fontId="1" numFmtId="0" xfId="0" applyAlignment="1" applyBorder="1" applyFill="1" applyFont="1">
      <alignment horizontal="center" shrinkToFit="0" vertical="center" wrapText="0"/>
    </xf>
    <xf borderId="3" fillId="4" fontId="18" numFmtId="164" xfId="0" applyAlignment="1" applyBorder="1" applyFill="1" applyFont="1" applyNumberFormat="1">
      <alignment horizontal="center" readingOrder="0" shrinkToFit="0" vertical="center" wrapText="0"/>
    </xf>
    <xf borderId="5" fillId="4" fontId="18" numFmtId="0" xfId="0" applyAlignment="1" applyBorder="1" applyFill="1" applyFont="1">
      <alignment horizontal="center" shrinkToFit="0" vertical="center" wrapText="0"/>
    </xf>
    <xf borderId="3" fillId="4" fontId="1" numFmtId="0" xfId="0" applyAlignment="1" applyBorder="1" applyFill="1" applyFont="1">
      <alignment horizontal="center" readingOrder="0" shrinkToFit="0" vertical="center" wrapText="0"/>
    </xf>
    <xf borderId="12" fillId="4" fontId="18" numFmtId="0" xfId="0" applyAlignment="1" applyBorder="1" applyFill="1" applyFont="1">
      <alignment horizontal="center" readingOrder="0" shrinkToFit="0" vertical="center" wrapText="0"/>
    </xf>
    <xf borderId="3" fillId="4" fontId="24" numFmtId="0" xfId="0" applyAlignment="1" applyBorder="1" applyFill="1" applyFont="1">
      <alignment horizontal="center" readingOrder="0" shrinkToFit="0" vertical="center" wrapText="0"/>
    </xf>
    <xf borderId="3" fillId="4" fontId="35" numFmtId="166" xfId="0" applyAlignment="1" applyBorder="1" applyFill="1" applyFont="1" applyNumberFormat="1">
      <alignment horizontal="center" shrinkToFit="0" vertical="center" wrapText="0"/>
    </xf>
    <xf borderId="3" fillId="4" fontId="26" numFmtId="49" xfId="0" applyAlignment="1" applyBorder="1" applyFill="1" applyFont="1" applyNumberFormat="1">
      <alignment horizontal="center" readingOrder="0" shrinkToFit="0" vertical="center" wrapText="0"/>
    </xf>
    <xf borderId="3" fillId="4" fontId="26" numFmtId="49" xfId="0" applyAlignment="1" applyBorder="1" applyFill="1" applyFont="1" applyNumberFormat="1">
      <alignment readingOrder="0" shrinkToFit="0" vertical="bottom" wrapText="0"/>
    </xf>
    <xf borderId="0" fillId="4" fontId="32" numFmtId="164" xfId="0" applyAlignment="1" applyFill="1" applyFont="1" applyNumberFormat="1">
      <alignment horizontal="center" readingOrder="0" shrinkToFit="0" vertical="center" wrapText="0"/>
    </xf>
    <xf borderId="3" fillId="4" fontId="1" numFmtId="166" xfId="0" applyAlignment="1" applyBorder="1" applyFill="1" applyFont="1" applyNumberFormat="1">
      <alignment horizontal="center" shrinkToFit="0" vertical="center" wrapText="0"/>
    </xf>
    <xf borderId="3" fillId="4" fontId="1" numFmtId="49" xfId="0" applyAlignment="1" applyBorder="1" applyFill="1" applyFont="1" applyNumberFormat="1">
      <alignment horizontal="center" readingOrder="0" shrinkToFit="0" vertical="center" wrapText="0"/>
    </xf>
    <xf borderId="3" fillId="4" fontId="1" numFmtId="164" xfId="0" applyAlignment="1" applyBorder="1" applyFill="1" applyFont="1" applyNumberFormat="1">
      <alignment horizontal="center" readingOrder="0" shrinkToFit="0" vertical="center" wrapText="0"/>
    </xf>
    <xf borderId="4" fillId="13" fontId="1" numFmtId="49" xfId="0" applyAlignment="1" applyBorder="1" applyFill="1" applyFont="1" applyNumberFormat="1">
      <alignment horizontal="center" readingOrder="0" shrinkToFit="0" vertical="center" wrapText="0"/>
    </xf>
    <xf borderId="3" fillId="4" fontId="29" numFmtId="49" xfId="0" applyAlignment="1" applyBorder="1" applyFill="1" applyFont="1" applyNumberFormat="1">
      <alignment horizontal="center" readingOrder="0" shrinkToFit="0" vertical="center" wrapText="0"/>
    </xf>
    <xf borderId="3" fillId="4" fontId="36" numFmtId="49" xfId="0" applyAlignment="1" applyBorder="1" applyFill="1" applyFont="1" applyNumberFormat="1">
      <alignment readingOrder="0" shrinkToFit="0" vertical="center" wrapText="0"/>
    </xf>
    <xf borderId="5" fillId="4" fontId="18" numFmtId="0" xfId="0" applyAlignment="1" applyBorder="1" applyFill="1" applyFont="1">
      <alignment horizontal="center" readingOrder="0" shrinkToFit="0" vertical="center" wrapText="0"/>
    </xf>
    <xf borderId="11" fillId="4" fontId="18" numFmtId="0" xfId="0" applyAlignment="1" applyBorder="1" applyFill="1" applyFont="1">
      <alignment horizontal="center" readingOrder="0" shrinkToFit="0" vertical="center" wrapText="0"/>
    </xf>
    <xf borderId="3" fillId="0" fontId="5" numFmtId="49" xfId="0" applyAlignment="1" applyBorder="1" applyFont="1" applyNumberFormat="1">
      <alignment horizontal="center" readingOrder="0" shrinkToFit="0" vertical="bottom" wrapText="0"/>
    </xf>
    <xf borderId="3" fillId="4" fontId="11" numFmtId="164" xfId="0" applyAlignment="1" applyBorder="1" applyFill="1" applyFont="1" applyNumberFormat="1">
      <alignment horizontal="center" readingOrder="0" shrinkToFit="0" vertical="center" wrapText="0"/>
    </xf>
    <xf borderId="3" fillId="4" fontId="1" numFmtId="0" xfId="0" applyAlignment="1" applyBorder="1" applyFill="1" applyFont="1">
      <alignment horizontal="center" shrinkToFit="0" vertical="center" wrapText="0"/>
    </xf>
    <xf borderId="4" fillId="4" fontId="12" numFmtId="0" xfId="0" applyAlignment="1" applyBorder="1" applyFill="1" applyFont="1">
      <alignment horizontal="center" readingOrder="0" shrinkToFit="0" vertical="center" wrapText="0"/>
    </xf>
    <xf borderId="4" fillId="4" fontId="11" numFmtId="166" xfId="0" applyAlignment="1" applyBorder="1" applyFill="1" applyFont="1" applyNumberFormat="1">
      <alignment horizontal="center" readingOrder="0" shrinkToFit="0" vertical="center" wrapText="0"/>
    </xf>
    <xf borderId="5" fillId="4" fontId="12" numFmtId="0" xfId="0" applyAlignment="1" applyBorder="1" applyFill="1" applyFont="1">
      <alignment horizontal="center" readingOrder="0" shrinkToFit="0" vertical="center" wrapText="0"/>
    </xf>
    <xf borderId="3" fillId="4" fontId="1" numFmtId="0" xfId="0" applyAlignment="1" applyBorder="1" applyFill="1" applyFont="1">
      <alignment shrinkToFit="0" vertical="center" wrapText="0"/>
    </xf>
    <xf borderId="6" fillId="4" fontId="19" numFmtId="0" xfId="0" applyAlignment="1" applyBorder="1" applyFill="1" applyFont="1">
      <alignment horizontal="center" readingOrder="0" shrinkToFit="0" vertical="center" wrapText="0"/>
    </xf>
    <xf borderId="7" fillId="4" fontId="12" numFmtId="0" xfId="0" applyAlignment="1" applyBorder="1" applyFill="1" applyFont="1">
      <alignment horizontal="center" readingOrder="0" shrinkToFit="0" vertical="center" wrapText="0"/>
    </xf>
    <xf borderId="4" fillId="4" fontId="1" numFmtId="166" xfId="0" applyAlignment="1" applyBorder="1" applyFill="1" applyFont="1" applyNumberFormat="1">
      <alignment horizontal="center" shrinkToFit="0" vertical="center" wrapText="0"/>
    </xf>
    <xf borderId="4" fillId="4" fontId="18" numFmtId="0" xfId="0" applyAlignment="1" applyBorder="1" applyFill="1" applyFont="1">
      <alignment horizontal="center" readingOrder="0" shrinkToFit="0" vertical="center" wrapText="0"/>
    </xf>
    <xf borderId="3" fillId="14" fontId="5" numFmtId="49" xfId="0" applyAlignment="1" applyBorder="1" applyFill="1" applyFont="1" applyNumberFormat="1">
      <alignment horizontal="center" readingOrder="0" shrinkToFit="0" vertical="bottom" wrapText="0"/>
    </xf>
    <xf borderId="3" fillId="4" fontId="27" numFmtId="164" xfId="0" applyAlignment="1" applyBorder="1" applyFill="1" applyFont="1" applyNumberFormat="1">
      <alignment horizontal="center" readingOrder="0" shrinkToFit="0" vertical="center" wrapText="0"/>
    </xf>
    <xf borderId="3" fillId="4" fontId="37" numFmtId="0" xfId="0" applyAlignment="1" applyBorder="1" applyFill="1" applyFont="1">
      <alignment horizontal="center" readingOrder="0" shrinkToFit="0" vertical="center" wrapText="0"/>
    </xf>
    <xf borderId="0" fillId="4" fontId="25" numFmtId="49" xfId="0" applyAlignment="1" applyFill="1" applyFont="1" applyNumberFormat="1">
      <alignment horizontal="center" readingOrder="0" shrinkToFit="0" vertical="center" wrapText="0"/>
    </xf>
    <xf borderId="3" fillId="15" fontId="32" numFmtId="164" xfId="0" applyAlignment="1" applyBorder="1" applyFill="1" applyFont="1" applyNumberFormat="1">
      <alignment horizontal="center" readingOrder="0" shrinkToFit="0" vertical="center" wrapText="0"/>
    </xf>
    <xf borderId="3" fillId="15" fontId="38" numFmtId="49" xfId="0" applyAlignment="1" applyBorder="1" applyFill="1" applyFont="1" applyNumberFormat="1">
      <alignment horizontal="center" readingOrder="0" shrinkToFit="0" vertical="bottom" wrapText="0"/>
    </xf>
    <xf borderId="3" fillId="4" fontId="39" numFmtId="49" xfId="0" applyAlignment="1" applyBorder="1" applyFill="1" applyFont="1" applyNumberFormat="1">
      <alignment horizontal="center" readingOrder="0" shrinkToFit="0" vertical="center" wrapText="0"/>
    </xf>
    <xf borderId="3" fillId="4" fontId="39" numFmtId="49" xfId="0" applyAlignment="1" applyBorder="1" applyFill="1" applyFont="1" applyNumberFormat="1">
      <alignment readingOrder="0" shrinkToFit="0" vertical="center" wrapText="0"/>
    </xf>
    <xf borderId="3" fillId="4" fontId="0" numFmtId="0" xfId="0" applyAlignment="1" applyBorder="1" applyFill="1" applyFont="1">
      <alignment horizontal="center" readingOrder="0" shrinkToFit="0" vertical="center" wrapText="0"/>
    </xf>
    <xf borderId="3" fillId="15" fontId="32" numFmtId="49" xfId="0" applyAlignment="1" applyBorder="1" applyFill="1" applyFont="1" applyNumberFormat="1">
      <alignment horizontal="center" readingOrder="0" shrinkToFit="0" vertical="bottom" wrapText="0"/>
    </xf>
    <xf borderId="13" fillId="4" fontId="1" numFmtId="0" xfId="0" applyAlignment="1" applyBorder="1" applyFill="1" applyFont="1">
      <alignment horizontal="center" shrinkToFit="0" vertical="center" wrapText="0"/>
    </xf>
    <xf borderId="3" fillId="4" fontId="34" numFmtId="49" xfId="0" applyAlignment="1" applyBorder="1" applyFill="1" applyFont="1" applyNumberFormat="1">
      <alignment horizontal="left" readingOrder="0" shrinkToFit="0" vertical="center" wrapText="0"/>
    </xf>
    <xf borderId="3" fillId="4" fontId="12" numFmtId="166" xfId="0" applyAlignment="1" applyBorder="1" applyFill="1" applyFont="1" applyNumberFormat="1">
      <alignment horizontal="center" shrinkToFit="0" vertical="center" wrapText="0"/>
    </xf>
    <xf borderId="3" fillId="4" fontId="13" numFmtId="166" xfId="0" applyAlignment="1" applyBorder="1" applyFill="1" applyFont="1" applyNumberFormat="1">
      <alignment horizontal="center" shrinkToFit="0" vertical="center" wrapText="0"/>
    </xf>
    <xf borderId="7" fillId="4" fontId="1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4" fillId="4" fontId="18" numFmtId="166" xfId="0" applyAlignment="1" applyBorder="1" applyFill="1" applyFont="1" applyNumberFormat="1">
      <alignment horizontal="center" shrinkToFit="0" vertical="center" wrapText="0"/>
    </xf>
    <xf borderId="15" fillId="4" fontId="18" numFmtId="0" xfId="0" applyAlignment="1" applyBorder="1" applyFill="1" applyFont="1">
      <alignment horizontal="center" readingOrder="0" shrinkToFit="0" vertical="center" wrapText="0"/>
    </xf>
    <xf borderId="3" fillId="0" fontId="38" numFmtId="49" xfId="0" applyAlignment="1" applyBorder="1" applyFont="1" applyNumberFormat="1">
      <alignment horizontal="center" readingOrder="0" shrinkToFit="0" vertical="bottom" wrapText="0"/>
    </xf>
    <xf borderId="14" fillId="4" fontId="18" numFmtId="164" xfId="0" applyAlignment="1" applyBorder="1" applyFill="1" applyFont="1" applyNumberFormat="1">
      <alignment horizontal="center" readingOrder="0" shrinkToFit="0" vertical="center" wrapText="0"/>
    </xf>
    <xf borderId="14" fillId="4" fontId="18" numFmtId="0" xfId="0" applyAlignment="1" applyBorder="1" applyFill="1" applyFont="1">
      <alignment horizontal="center" readingOrder="0" shrinkToFit="0" vertical="center" wrapText="0"/>
    </xf>
    <xf borderId="13" fillId="4" fontId="1" numFmtId="0" xfId="0" applyAlignment="1" applyBorder="1" applyFill="1" applyFont="1">
      <alignment horizontal="center" shrinkToFit="0" vertical="center" wrapText="0"/>
    </xf>
    <xf borderId="14" fillId="4" fontId="1" numFmtId="0" xfId="0" applyAlignment="1" applyBorder="1" applyFill="1" applyFont="1">
      <alignment shrinkToFit="0" vertical="center" wrapText="0"/>
    </xf>
    <xf borderId="4" fillId="4" fontId="18" numFmtId="166" xfId="0" applyAlignment="1" applyBorder="1" applyFill="1" applyFont="1" applyNumberFormat="1">
      <alignment horizontal="center" shrinkToFit="0" vertical="center" wrapText="0"/>
    </xf>
    <xf borderId="4" fillId="4" fontId="18" numFmtId="0" xfId="0" applyAlignment="1" applyBorder="1" applyFill="1" applyFont="1">
      <alignment horizontal="center" readingOrder="0" shrinkToFit="0" vertical="center" wrapText="0"/>
    </xf>
    <xf borderId="14" fillId="4" fontId="40" numFmtId="49" xfId="0" applyAlignment="1" applyBorder="1" applyFill="1" applyFont="1" applyNumberFormat="1">
      <alignment readingOrder="0" shrinkToFit="0" vertical="center" wrapText="0"/>
    </xf>
    <xf borderId="14" fillId="4" fontId="26" numFmtId="49" xfId="0" applyAlignment="1" applyBorder="1" applyFill="1" applyFont="1" applyNumberFormat="1">
      <alignment readingOrder="0" shrinkToFit="0" vertical="bottom" wrapText="0"/>
    </xf>
    <xf borderId="4" fillId="4" fontId="18" numFmtId="164" xfId="0" applyAlignment="1" applyBorder="1" applyFill="1" applyFont="1" applyNumberFormat="1">
      <alignment horizontal="center" readingOrder="0" shrinkToFit="0" vertical="center" wrapText="0"/>
    </xf>
    <xf borderId="14" fillId="4" fontId="1" numFmtId="0" xfId="0" applyAlignment="1" applyBorder="1" applyFill="1" applyFont="1">
      <alignment horizontal="center" shrinkToFit="0" vertical="center" wrapText="0"/>
    </xf>
    <xf borderId="14" fillId="4" fontId="1" numFmtId="166" xfId="0" applyAlignment="1" applyBorder="1" applyFill="1" applyFont="1" applyNumberFormat="1">
      <alignment horizontal="center" shrinkToFit="0" vertical="center" wrapText="0"/>
    </xf>
    <xf borderId="4" fillId="4" fontId="41" numFmtId="49" xfId="0" applyAlignment="1" applyBorder="1" applyFill="1" applyFont="1" applyNumberFormat="1">
      <alignment readingOrder="0" shrinkToFit="0" vertical="center" wrapText="0"/>
    </xf>
    <xf borderId="14" fillId="4" fontId="1" numFmtId="0" xfId="0" applyAlignment="1" applyBorder="1" applyFill="1" applyFont="1">
      <alignment horizontal="center" readingOrder="0" shrinkToFit="0" vertical="center" wrapText="0"/>
    </xf>
    <xf borderId="4" fillId="4" fontId="26" numFmtId="164" xfId="0" applyAlignment="1" applyBorder="1" applyFill="1" applyFont="1" applyNumberFormat="1">
      <alignment horizontal="center" readingOrder="0" shrinkToFit="0" vertical="center" wrapText="0"/>
    </xf>
    <xf borderId="14" fillId="4" fontId="1" numFmtId="49" xfId="0" applyAlignment="1" applyBorder="1" applyFill="1" applyFont="1" applyNumberFormat="1">
      <alignment horizontal="center" shrinkToFit="0" vertical="center" wrapText="0"/>
    </xf>
    <xf borderId="14" fillId="4" fontId="1" numFmtId="0" xfId="0" applyAlignment="1" applyBorder="1" applyFill="1" applyFont="1">
      <alignment horizontal="center" shrinkToFit="0" vertical="center" wrapText="0"/>
    </xf>
    <xf borderId="14" fillId="4" fontId="11" numFmtId="164" xfId="0" applyAlignment="1" applyBorder="1" applyFill="1" applyFont="1" applyNumberFormat="1">
      <alignment horizontal="center" shrinkToFit="0" vertical="center" wrapText="0"/>
    </xf>
    <xf borderId="4" fillId="4" fontId="1" numFmtId="0" xfId="0" applyAlignment="1" applyBorder="1" applyFill="1" applyFont="1">
      <alignment shrinkToFit="0" vertical="center" wrapText="0"/>
    </xf>
    <xf borderId="4" fillId="4" fontId="1" numFmtId="49" xfId="0" applyAlignment="1" applyBorder="1" applyFill="1" applyFont="1" applyNumberFormat="1">
      <alignment horizontal="center" shrinkToFit="0" vertical="center" wrapText="0"/>
    </xf>
    <xf borderId="4" fillId="4" fontId="11" numFmtId="164" xfId="0" applyAlignment="1" applyBorder="1" applyFill="1" applyFont="1" applyNumberFormat="1">
      <alignment horizontal="center" shrinkToFit="0" vertical="center" wrapText="0"/>
    </xf>
    <xf borderId="4" fillId="4" fontId="1" numFmtId="0" xfId="0" applyAlignment="1" applyBorder="1" applyFill="1" applyFont="1">
      <alignment readingOrder="0" shrinkToFit="0" vertical="center" wrapText="0"/>
    </xf>
    <xf borderId="4" fillId="4" fontId="1" numFmtId="0" xfId="0" applyAlignment="1" applyBorder="1" applyFill="1" applyFont="1">
      <alignment readingOrder="0" shrinkToFit="0" vertical="center" wrapText="0"/>
    </xf>
    <xf borderId="4" fillId="16" fontId="1" numFmtId="0" xfId="0" applyAlignment="1" applyBorder="1" applyFill="1" applyFont="1">
      <alignment horizontal="center" readingOrder="0" shrinkToFit="0" vertical="center" wrapText="0"/>
    </xf>
    <xf borderId="4" fillId="17" fontId="1" numFmtId="49" xfId="0" applyAlignment="1" applyBorder="1" applyFill="1" applyFont="1" applyNumberFormat="1">
      <alignment horizontal="center" readingOrder="0" shrinkToFit="0" vertical="center" wrapText="0"/>
    </xf>
    <xf borderId="4" fillId="4" fontId="1" numFmtId="49" xfId="0" applyAlignment="1" applyBorder="1" applyFill="1" applyFont="1" applyNumberFormat="1">
      <alignment horizontal="center" readingOrder="0" shrinkToFit="0" vertical="center" wrapText="1"/>
    </xf>
    <xf borderId="8" fillId="10" fontId="23" numFmtId="0" xfId="0" applyAlignment="1" applyBorder="1" applyFill="1" applyFont="1">
      <alignment horizontal="center" readingOrder="0" shrinkToFit="0" vertical="center" wrapText="0"/>
    </xf>
    <xf borderId="4" fillId="18" fontId="1" numFmtId="0" xfId="0" applyAlignment="1" applyBorder="1" applyFill="1" applyFont="1">
      <alignment horizontal="center" readingOrder="0" shrinkToFit="0" vertical="center" wrapText="0"/>
    </xf>
    <xf borderId="8" fillId="19" fontId="42" numFmtId="0" xfId="0" applyAlignment="1" applyBorder="1" applyFill="1" applyFont="1">
      <alignment horizontal="center" readingOrder="0" shrinkToFit="0" vertical="center" wrapText="0"/>
    </xf>
    <xf borderId="8" fillId="20" fontId="43" numFmtId="0" xfId="0" applyAlignment="1" applyBorder="1" applyFill="1" applyFont="1">
      <alignment horizontal="center" readingOrder="0" shrinkToFit="0" vertical="center" wrapText="0"/>
    </xf>
    <xf borderId="4" fillId="4" fontId="1" numFmtId="164" xfId="0" applyAlignment="1" applyBorder="1" applyFill="1" applyFont="1" applyNumberFormat="1">
      <alignment horizontal="center" readingOrder="0" shrinkToFit="0" vertical="center" wrapText="0"/>
    </xf>
    <xf borderId="8" fillId="21" fontId="44" numFmtId="0" xfId="0" applyAlignment="1" applyBorder="1" applyFill="1" applyFont="1">
      <alignment horizontal="center" readingOrder="0" shrinkToFit="0" vertical="center" wrapText="0"/>
    </xf>
    <xf borderId="16" fillId="4" fontId="1" numFmtId="0" xfId="0" applyAlignment="1" applyBorder="1" applyFill="1" applyFont="1">
      <alignment horizontal="center" readingOrder="0" shrinkToFit="0" vertical="center" wrapText="0"/>
    </xf>
    <xf borderId="16" fillId="4" fontId="1" numFmtId="166" xfId="0" applyAlignment="1" applyBorder="1" applyFill="1" applyFont="1" applyNumberFormat="1">
      <alignment horizontal="center" readingOrder="0" shrinkToFit="0" vertical="center" wrapText="0"/>
    </xf>
    <xf borderId="16" fillId="4" fontId="1" numFmtId="0" xfId="0" applyAlignment="1" applyBorder="1" applyFill="1" applyFont="1">
      <alignment horizontal="center" readingOrder="0" shrinkToFit="0" vertical="center" wrapText="0"/>
    </xf>
    <xf borderId="16" fillId="4" fontId="1" numFmtId="49" xfId="0" applyAlignment="1" applyBorder="1" applyFill="1" applyFont="1" applyNumberFormat="1">
      <alignment horizontal="center" readingOrder="0" shrinkToFit="0" vertical="center" wrapText="0"/>
    </xf>
    <xf borderId="16" fillId="4" fontId="1" numFmtId="49" xfId="0" applyAlignment="1" applyBorder="1" applyFill="1" applyFont="1" applyNumberFormat="1">
      <alignment readingOrder="0" shrinkToFit="0" vertical="center" wrapText="0"/>
    </xf>
    <xf borderId="16" fillId="4" fontId="11" numFmtId="164" xfId="0" applyAlignment="1" applyBorder="1" applyFill="1" applyFont="1" applyNumberFormat="1">
      <alignment horizontal="center" readingOrder="0" shrinkToFit="0" vertical="center" wrapText="0"/>
    </xf>
    <xf borderId="16" fillId="4" fontId="1" numFmtId="0" xfId="0" applyAlignment="1" applyBorder="1" applyFill="1" applyFont="1">
      <alignment readingOrder="0" shrinkToFit="0" vertical="center" wrapText="0"/>
    </xf>
    <xf borderId="16" fillId="4" fontId="1" numFmtId="0" xfId="0" applyAlignment="1" applyBorder="1" applyFill="1" applyFont="1">
      <alignment horizontal="center" shrinkToFit="0" vertical="center" wrapText="0"/>
    </xf>
    <xf borderId="16" fillId="4" fontId="1" numFmtId="49" xfId="0" applyAlignment="1" applyBorder="1" applyFill="1" applyFont="1" applyNumberFormat="1">
      <alignment shrinkToFit="0" vertical="center" wrapText="0"/>
    </xf>
    <xf borderId="16" fillId="4" fontId="1" numFmtId="0" xfId="0" applyAlignment="1" applyBorder="1" applyFill="1" applyFont="1">
      <alignment horizontal="center" readingOrder="0" shrinkToFit="0" vertical="center" wrapText="0"/>
    </xf>
    <xf borderId="4" fillId="4" fontId="45" numFmtId="0" xfId="0" applyAlignment="1" applyBorder="1" applyFill="1" applyFont="1">
      <alignment horizontal="center" readingOrder="0" shrinkToFit="0" vertical="center" wrapText="0"/>
    </xf>
    <xf borderId="16" fillId="4" fontId="23" numFmtId="0" xfId="0" applyAlignment="1" applyBorder="1" applyFill="1" applyFont="1">
      <alignment horizontal="center" readingOrder="0" shrinkToFit="0" vertical="center" wrapText="0"/>
    </xf>
    <xf borderId="16" fillId="22" fontId="1" numFmtId="49" xfId="0" applyAlignment="1" applyBorder="1" applyFill="1" applyFont="1" applyNumberFormat="1">
      <alignment horizontal="center" readingOrder="0" shrinkToFit="0" vertical="center" wrapText="0"/>
    </xf>
    <xf borderId="4" fillId="22" fontId="1" numFmtId="49" xfId="0" applyAlignment="1" applyBorder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right"/>
    </xf>
    <xf borderId="16" fillId="4" fontId="1" numFmtId="0" xfId="0" applyAlignment="1" applyBorder="1" applyFill="1" applyFont="1">
      <alignment horizontal="center" shrinkToFit="0" vertical="center" wrapText="0"/>
    </xf>
    <xf borderId="16" fillId="4" fontId="1" numFmtId="166" xfId="0" applyAlignment="1" applyBorder="1" applyFill="1" applyFont="1" applyNumberFormat="1">
      <alignment horizontal="center" shrinkToFit="0" vertical="center" wrapText="0"/>
    </xf>
    <xf borderId="16" fillId="4" fontId="1" numFmtId="49" xfId="0" applyAlignment="1" applyBorder="1" applyFill="1" applyFont="1" applyNumberFormat="1">
      <alignment horizontal="center" shrinkToFit="0" vertical="center" wrapText="0"/>
    </xf>
    <xf borderId="16" fillId="4" fontId="11" numFmtId="164" xfId="0" applyAlignment="1" applyBorder="1" applyFill="1" applyFont="1" applyNumberFormat="1">
      <alignment horizontal="center" shrinkToFit="0" vertical="center" wrapText="0"/>
    </xf>
    <xf borderId="4" fillId="4" fontId="1" numFmtId="168" xfId="0" applyAlignment="1" applyBorder="1" applyFill="1" applyFont="1" applyNumberFormat="1">
      <alignment horizontal="center" readingOrder="0" shrinkToFit="0" vertical="center" wrapText="0"/>
    </xf>
    <xf borderId="4" fillId="4" fontId="1" numFmtId="169" xfId="0" applyAlignment="1" applyBorder="1" applyFill="1" applyFont="1" applyNumberFormat="1">
      <alignment horizontal="center" readingOrder="0" shrinkToFit="0" vertical="center" wrapText="0"/>
    </xf>
    <xf borderId="4" fillId="4" fontId="46" numFmtId="0" xfId="0" applyAlignment="1" applyBorder="1" applyFill="1" applyFont="1">
      <alignment horizontal="center" readingOrder="0" shrinkToFit="0" textRotation="0" vertical="top" wrapText="0"/>
    </xf>
    <xf borderId="4" fillId="8" fontId="1" numFmtId="49" xfId="0" applyAlignment="1" applyBorder="1" applyFill="1" applyFont="1" applyNumberFormat="1">
      <alignment horizontal="center" readingOrder="0" shrinkToFit="0" vertical="center" wrapText="0"/>
    </xf>
    <xf borderId="4" fillId="23" fontId="1" numFmtId="49" xfId="0" applyAlignment="1" applyBorder="1" applyFill="1" applyFont="1" applyNumberFormat="1">
      <alignment horizontal="center" readingOrder="0" shrinkToFit="0" vertical="center" wrapText="0"/>
    </xf>
    <xf borderId="4" fillId="4" fontId="11" numFmtId="49" xfId="0" applyAlignment="1" applyBorder="1" applyFill="1" applyFont="1" applyNumberFormat="1">
      <alignment horizontal="center" readingOrder="0" shrinkToFit="0" vertical="center" wrapText="0"/>
    </xf>
    <xf borderId="4" fillId="24" fontId="1" numFmtId="49" xfId="0" applyAlignment="1" applyBorder="1" applyFill="1" applyFont="1" applyNumberFormat="1">
      <alignment horizontal="center" readingOrder="0" shrinkToFit="0" vertical="center" wrapText="0"/>
    </xf>
    <xf borderId="4" fillId="4" fontId="1" numFmtId="11" xfId="0" applyAlignment="1" applyBorder="1" applyFill="1" applyFont="1" applyNumberFormat="1">
      <alignment horizontal="center" readingOrder="0" shrinkToFit="0" vertical="center" wrapText="0"/>
    </xf>
    <xf borderId="0" fillId="0" fontId="11" numFmtId="49" xfId="0" applyAlignment="1" applyFont="1" applyNumberFormat="1">
      <alignment horizontal="center" readingOrder="0" shrinkToFit="0" vertical="center" wrapText="0"/>
    </xf>
    <xf borderId="8" fillId="4" fontId="1" numFmtId="49" xfId="0" applyAlignment="1" applyBorder="1" applyFill="1" applyFont="1" applyNumberFormat="1">
      <alignment horizontal="center" readingOrder="0" shrinkToFit="0" vertical="center" wrapText="0"/>
    </xf>
    <xf borderId="8" fillId="4" fontId="11" numFmtId="164" xfId="0" applyAlignment="1" applyBorder="1" applyFill="1" applyFont="1" applyNumberFormat="1">
      <alignment horizontal="center" readingOrder="0" shrinkToFit="0" vertical="center" wrapText="0"/>
    </xf>
    <xf borderId="4" fillId="4" fontId="18" numFmtId="49" xfId="0" applyAlignment="1" applyBorder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7" fillId="4" fontId="1" numFmtId="0" xfId="0" applyAlignment="1" applyBorder="1" applyFill="1" applyFont="1">
      <alignment horizontal="center" readingOrder="0" shrinkToFit="0" vertical="center" wrapText="0"/>
    </xf>
    <xf borderId="5" fillId="4" fontId="11" numFmtId="164" xfId="0" applyAlignment="1" applyBorder="1" applyFill="1" applyFont="1" applyNumberFormat="1">
      <alignment horizontal="center" readingOrder="0" shrinkToFit="0" vertical="center" wrapText="0"/>
    </xf>
    <xf borderId="14" fillId="4" fontId="1" numFmtId="0" xfId="0" applyAlignment="1" applyBorder="1" applyFill="1" applyFont="1">
      <alignment horizontal="center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8" fillId="4" fontId="1" numFmtId="0" xfId="0" applyAlignment="1" applyBorder="1" applyFill="1" applyFont="1">
      <alignment horizontal="center" readingOrder="0" shrinkToFit="0" vertical="center" wrapText="0"/>
    </xf>
    <xf borderId="8" fillId="4" fontId="1" numFmtId="166" xfId="0" applyAlignment="1" applyBorder="1" applyFill="1" applyFont="1" applyNumberFormat="1">
      <alignment horizontal="center" readingOrder="0" shrinkToFit="0" vertical="center" wrapText="0"/>
    </xf>
    <xf borderId="8" fillId="4" fontId="1" numFmtId="0" xfId="0" applyAlignment="1" applyBorder="1" applyFill="1" applyFont="1">
      <alignment horizontal="center" readingOrder="0" shrinkToFit="0" vertical="center" wrapText="0"/>
    </xf>
    <xf borderId="8" fillId="4" fontId="1" numFmtId="166" xfId="0" applyAlignment="1" applyBorder="1" applyFill="1" applyFont="1" applyNumberFormat="1">
      <alignment horizontal="center" shrinkToFit="0" vertical="center" wrapText="0"/>
    </xf>
    <xf borderId="8" fillId="4" fontId="1" numFmtId="0" xfId="0" applyAlignment="1" applyBorder="1" applyFill="1" applyFont="1">
      <alignment horizontal="center" shrinkToFit="0" vertical="center" wrapText="0"/>
    </xf>
    <xf borderId="8" fillId="4" fontId="1" numFmtId="0" xfId="0" applyAlignment="1" applyBorder="1" applyFill="1" applyFont="1">
      <alignment horizontal="center" readingOrder="0" shrinkToFit="0" vertical="center" wrapText="0"/>
    </xf>
    <xf borderId="8" fillId="4" fontId="1" numFmtId="0" xfId="0" applyAlignment="1" applyBorder="1" applyFill="1" applyFont="1">
      <alignment horizontal="center" shrinkToFit="0" vertical="center" wrapText="0"/>
    </xf>
    <xf borderId="8" fillId="4" fontId="11" numFmtId="164" xfId="0" applyAlignment="1" applyBorder="1" applyFill="1" applyFont="1" applyNumberFormat="1">
      <alignment horizontal="center" shrinkToFit="0" vertical="center" wrapText="0"/>
    </xf>
    <xf borderId="8" fillId="4" fontId="1" numFmtId="49" xfId="0" applyAlignment="1" applyBorder="1" applyFill="1" applyFont="1" applyNumberFormat="1">
      <alignment horizontal="center" shrinkToFit="0" vertical="center" wrapText="0"/>
    </xf>
    <xf borderId="4" fillId="4" fontId="11" numFmtId="166" xfId="0" applyAlignment="1" applyBorder="1" applyFill="1" applyFont="1" applyNumberFormat="1">
      <alignment horizontal="center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002D74"/>
          <bgColor rgb="FF002D74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2D74"/>
        </left>
        <right style="thin">
          <color rgb="FF002D74"/>
        </right>
        <top style="thin">
          <color rgb="FF002D74"/>
        </top>
        <bottom style="thin">
          <color rgb="FF002D74"/>
        </bottom>
      </border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1">
    <tableStyle count="4" pivot="0" name="NAHOMI DIA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GIE SILVE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HON ZAMO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NDY IPANEQ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MAR MINA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THALIE ARAN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UIS CHU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 ALIAG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EDES GIRAL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IMMY COLLAZ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ENNY MOR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INNIE ESCALAN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IELLA PAÑAH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SE LUIS QUINTER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IZABETH ESQUIV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LUSKA LINA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ALIA SALO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OLETA LLERE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ACELY VENTU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EXANDRA GUZM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NZO CACED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0</xdr:row>
      <xdr:rowOff>152400</xdr:rowOff>
    </xdr:from>
    <xdr:ext cx="2447925" cy="12763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9:Q52" displayName="OPI" name="OPI" id="3">
  <autoFilter ref="$B$9:$Q$52"/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ANGIE SILVERA-style" showColumnStripes="0" showFirstColumn="1" showLastColumn="1" showRowStripes="1"/>
</table>
</file>

<file path=xl/tables/table2.xml><?xml version="1.0" encoding="utf-8"?>
<table xmlns="http://schemas.openxmlformats.org/spreadsheetml/2006/main" ref="B9:Q52" displayName="OPI_11" name="OPI_11" id="2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NAHOMI DIAZ-style" showColumnStripes="0" showFirstColumn="1" showLastColumn="1" showRowStripes="1"/>
</table>
</file>

<file path=xl/tables/table3.xml><?xml version="1.0" encoding="utf-8"?>
<table xmlns="http://schemas.openxmlformats.org/spreadsheetml/2006/main" ref="B9:Q52" displayName="OPI_3" name="OPI_3" id="1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JHON ZAMORA-style" showColumnStripes="0" showFirstColumn="1" showLastColumn="1" showRowStripes="1"/>
</table>
</file>

<file path=xl/tables/table4.xml><?xml version="1.0" encoding="utf-8"?>
<table xmlns="http://schemas.openxmlformats.org/spreadsheetml/2006/main" ref="B9:Q52" displayName="OPI_14" name="OPI_14" id="4">
  <autoFilter ref="$B$9:$Q$52"/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WENDY IPANEQUE-style" showColumnStripes="0" showFirstColumn="1" showLastColumn="1" showRowStripes="1"/>
</table>
</file>

<file path=xl/tables/table5.xml><?xml version="1.0" encoding="utf-8"?>
<table xmlns="http://schemas.openxmlformats.org/spreadsheetml/2006/main" ref="B9:Q52" displayName="OPI_5" name="OPI_5" id="5">
  <autoFilter ref="$B$9:$Q$52">
    <filterColumn colId="8">
      <filters>
        <filter val="Desembolsado"/>
      </filters>
    </filterColumn>
  </autoFilter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OMAR MINAYA-style" showColumnStripes="0" showFirstColumn="1" showLastColumn="1" showRowStripes="1"/>
</table>
</file>

<file path=xl/tables/table6.xml><?xml version="1.0" encoding="utf-8"?>
<table xmlns="http://schemas.openxmlformats.org/spreadsheetml/2006/main" ref="B9:Q52" displayName="OPI_12" name="OPI_12" id="6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NATHALIE ARANDA-style" showColumnStripes="0" showFirstColumn="1" showLastColumn="1" showRowStripes="1"/>
</table>
</file>

<file path=xl/tables/table7.xml><?xml version="1.0" encoding="utf-8"?>
<table xmlns="http://schemas.openxmlformats.org/spreadsheetml/2006/main" ref="B9:Q52" displayName="OPI_7" name="OPI_7" id="7">
  <autoFilter ref="$B$9:$Q$52">
    <filterColumn colId="10">
      <filters blank="1">
        <filter val="LEYDI MENDOZA"/>
        <filter val="CARLOS ESPINOZA"/>
        <filter val="KELLY SARMIENTO"/>
        <filter val="MELINA LEYVA"/>
        <filter val="MERLY ROJAS"/>
      </filters>
    </filterColumn>
    <filterColumn colId="8">
      <filters>
        <filter val="Desembolsado"/>
      </filters>
    </filterColumn>
  </autoFilter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LUIS CHUSE-style" showColumnStripes="0" showFirstColumn="1" showLastColumn="1" showRowStripes="1"/>
</table>
</file>

<file path=xl/tables/table8.xml><?xml version="1.0" encoding="utf-8"?>
<table xmlns="http://schemas.openxmlformats.org/spreadsheetml/2006/main" ref="B9:Q52" displayName="OPI_20" name="OPI_20" id="8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ANA ALIAGA-style" showColumnStripes="0" showFirstColumn="1" showLastColumn="1" showRowStripes="1"/>
</table>
</file>

<file path=xl/tables/table9.xml><?xml version="1.0" encoding="utf-8"?>
<table xmlns="http://schemas.openxmlformats.org/spreadsheetml/2006/main" ref="B9:Q52" displayName="OPI_21" name="OPI_21" id="9">
  <autoFilter ref="$B$9:$Q$52"/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MERCEDES GIRALDO-style" showColumnStripes="0" showFirstColumn="1" showLastColumn="1" showRowStripes="1"/>
</table>
</file>

<file path=xl/tables/table10.xml><?xml version="1.0" encoding="utf-8"?>
<table xmlns="http://schemas.openxmlformats.org/spreadsheetml/2006/main" ref="B9:Q52" displayName="OPI_4" name="OPI_4" id="10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JIMMY COLLAZOS-style" showColumnStripes="0" showFirstColumn="1" showLastColumn="1" showRowStripes="1"/>
</table>
</file>

<file path=xl/tables/table11.xml><?xml version="1.0" encoding="utf-8"?>
<table xmlns="http://schemas.openxmlformats.org/spreadsheetml/2006/main" ref="B9:Q52" displayName="OPI_6" name="OPI_6" id="11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KENNY MORALES-style" showColumnStripes="0" showFirstColumn="1" showLastColumn="1" showRowStripes="1"/>
</table>
</file>

<file path=xl/tables/table12.xml><?xml version="1.0" encoding="utf-8"?>
<table xmlns="http://schemas.openxmlformats.org/spreadsheetml/2006/main" ref="B9:Q52" displayName="OPI_10" name="OPI_10" id="12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WINNIE ESCALANTE-style" showColumnStripes="0" showFirstColumn="1" showLastColumn="1" showRowStripes="1"/>
</table>
</file>

<file path=xl/tables/table13.xml><?xml version="1.0" encoding="utf-8"?>
<table xmlns="http://schemas.openxmlformats.org/spreadsheetml/2006/main" ref="B9:Q52" displayName="OPI_9" name="OPI_9" id="13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MARIELLA PAÑAHUA-style" showColumnStripes="0" showFirstColumn="1" showLastColumn="1" showRowStripes="1"/>
</table>
</file>

<file path=xl/tables/table14.xml><?xml version="1.0" encoding="utf-8"?>
<table xmlns="http://schemas.openxmlformats.org/spreadsheetml/2006/main" ref="B9:Q52" displayName="OPI_8" name="OPI_8" id="14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JOSE LUIS QUINTEROS-style" showColumnStripes="0" showFirstColumn="1" showLastColumn="1" showRowStripes="1"/>
</table>
</file>

<file path=xl/tables/table15.xml><?xml version="1.0" encoding="utf-8"?>
<table xmlns="http://schemas.openxmlformats.org/spreadsheetml/2006/main" ref="B9:Q52" displayName="OPI_17" name="OPI_17" id="15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ELIZABETH ESQUIVEL-style" showColumnStripes="0" showFirstColumn="1" showLastColumn="1" showRowStripes="1"/>
</table>
</file>

<file path=xl/tables/table16.xml><?xml version="1.0" encoding="utf-8"?>
<table xmlns="http://schemas.openxmlformats.org/spreadsheetml/2006/main" ref="B9:Q52" displayName="OPI_19" name="OPI_19" id="16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MILUSKA LINARES-style" showColumnStripes="0" showFirstColumn="1" showLastColumn="1" showRowStripes="1"/>
</table>
</file>

<file path=xl/tables/table17.xml><?xml version="1.0" encoding="utf-8"?>
<table xmlns="http://schemas.openxmlformats.org/spreadsheetml/2006/main" ref="B9:Q52" displayName="OPI_18" name="OPI_18" id="17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THALIA SALOME-style" showColumnStripes="0" showFirstColumn="1" showLastColumn="1" showRowStripes="1"/>
</table>
</file>

<file path=xl/tables/table18.xml><?xml version="1.0" encoding="utf-8"?>
<table xmlns="http://schemas.openxmlformats.org/spreadsheetml/2006/main" ref="B9:Q52" displayName="OPI_13" name="OPI_13" id="18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VIOLETA LLERENA-style" showColumnStripes="0" showFirstColumn="1" showLastColumn="1" showRowStripes="1"/>
</table>
</file>

<file path=xl/tables/table19.xml><?xml version="1.0" encoding="utf-8"?>
<table xmlns="http://schemas.openxmlformats.org/spreadsheetml/2006/main" ref="B9:Q52" displayName="OPI_2" name="OPI_2" id="19">
  <autoFilter ref="$B$9:$Q$52">
    <filterColumn colId="8">
      <filters blank="1">
        <filter val="Desembolsado"/>
      </filters>
    </filterColumn>
  </autoFilter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ARACELY VENTURA-style" showColumnStripes="0" showFirstColumn="1" showLastColumn="1" showRowStripes="1"/>
</table>
</file>

<file path=xl/tables/table20.xml><?xml version="1.0" encoding="utf-8"?>
<table xmlns="http://schemas.openxmlformats.org/spreadsheetml/2006/main" ref="B9:Q52" displayName="OPI_15" name="OPI_15" id="20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ALEXANDRA GUZMAN-style" showColumnStripes="0" showFirstColumn="1" showLastColumn="1" showRowStripes="1"/>
</table>
</file>

<file path=xl/tables/table21.xml><?xml version="1.0" encoding="utf-8"?>
<table xmlns="http://schemas.openxmlformats.org/spreadsheetml/2006/main" ref="B9:Q52" displayName="OPI_16" name="OPI_16" id="21">
  <tableColumns count="16">
    <tableColumn name="PLAZA DE VENTA" id="1"/>
    <tableColumn name="FECHA DE ENVIO DE REMESA" id="2"/>
    <tableColumn name="ESTADO DE REMESA" id="3"/>
    <tableColumn name="FECHA DE INGRESO" id="4"/>
    <tableColumn name="FECHA DE DESEMBOLSO" id="5"/>
    <tableColumn name="DOCUMENTO" id="6"/>
    <tableColumn name="NOMBRES Y APELLIDOS" id="7"/>
    <tableColumn name="CONVENIO" id="8"/>
    <tableColumn name="ESTADO" id="9"/>
    <tableColumn name="MAF NETO" id="10"/>
    <tableColumn name="EJECUTIVO" id="11"/>
    <tableColumn name="FILE ENVIADO A BANCO" id="12"/>
    <tableColumn name="FECHA DE ENVIÓ CARTA PODER A BCP" id="13"/>
    <tableColumn name="COMPRA DE DEUDA REALIZADA" id="14"/>
    <tableColumn name="LIBERACIÓN" id="15"/>
    <tableColumn name="FEEDBACK" id="16"/>
  </tableColumns>
  <tableStyleInfo name="RENZO CACED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21.63"/>
    <col customWidth="1" min="3" max="3" width="9.38"/>
    <col customWidth="1" min="4" max="4" width="19.25"/>
    <col customWidth="1" min="5" max="5" width="15.75"/>
    <col customWidth="1" min="6" max="6" width="16.88"/>
    <col customWidth="1" min="7" max="7" width="19.25"/>
    <col customWidth="1" min="8" max="8" width="21.5"/>
    <col customWidth="1" min="9" max="9" width="26.38"/>
    <col customWidth="1" min="10" max="10" width="15.88"/>
    <col customWidth="1" min="11" max="11" width="9.75"/>
    <col customWidth="1" min="12" max="12" width="18.5"/>
    <col customWidth="1" min="13" max="13" width="20.88"/>
    <col hidden="1" min="15" max="23" width="12.63"/>
  </cols>
  <sheetData>
    <row r="1">
      <c r="A1" s="1" t="s">
        <v>0</v>
      </c>
    </row>
    <row r="2">
      <c r="B2" s="2" t="s">
        <v>1</v>
      </c>
    </row>
    <row r="4" ht="22.5" customHeight="1">
      <c r="B4" s="3" t="s">
        <v>2</v>
      </c>
      <c r="C4" s="3" t="s">
        <v>3</v>
      </c>
      <c r="D4" s="4" t="s">
        <v>4</v>
      </c>
      <c r="E4" s="4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</row>
    <row r="5">
      <c r="B5" s="6" t="s">
        <v>14</v>
      </c>
      <c r="C5" s="6" t="str">
        <f>'JIMMY COLLAZOS'!D3</f>
        <v>TARAPOTO</v>
      </c>
      <c r="D5" s="7">
        <f>'JIMMY COLLAZOS'!$F$4</f>
        <v>311900</v>
      </c>
      <c r="E5" s="8">
        <f>'JIMMY COLLAZOS'!$F$5</f>
        <v>4</v>
      </c>
      <c r="F5" s="7">
        <f>'JIMMY COLLAZOS'!$K$4</f>
        <v>0</v>
      </c>
      <c r="G5" s="7">
        <f>'JIMMY COLLAZOS'!$J$4</f>
        <v>0</v>
      </c>
      <c r="H5" s="7">
        <f>'JIMMY COLLAZOS'!$I$4</f>
        <v>0</v>
      </c>
      <c r="I5" s="7">
        <f>'JIMMY COLLAZOS'!$H$4</f>
        <v>0</v>
      </c>
      <c r="J5" s="7">
        <f>'JIMMY COLLAZOS'!E4</f>
        <v>800000</v>
      </c>
      <c r="K5" s="9">
        <f t="shared" ref="K5:K25" si="1">D5/J5</f>
        <v>0.389875</v>
      </c>
      <c r="L5" s="8">
        <f>'JIMMY COLLAZOS'!$K$5</f>
        <v>0</v>
      </c>
      <c r="M5" s="8">
        <f>'JIMMY COLLAZOS'!$J$5</f>
        <v>0</v>
      </c>
    </row>
    <row r="6">
      <c r="B6" s="6" t="s">
        <v>17</v>
      </c>
      <c r="C6" s="6" t="str">
        <f>'ALEXANDRA GUZMAN'!D3</f>
        <v>PIURA</v>
      </c>
      <c r="D6" s="7">
        <f>'ALEXANDRA GUZMAN'!$F$4</f>
        <v>0</v>
      </c>
      <c r="E6" s="8">
        <f>'ALEXANDRA GUZMAN'!$F$5</f>
        <v>0</v>
      </c>
      <c r="F6" s="7">
        <f>'ALEXANDRA GUZMAN'!$K$4</f>
        <v>0</v>
      </c>
      <c r="G6" s="7">
        <f>'ALEXANDRA GUZMAN'!$J$4</f>
        <v>0</v>
      </c>
      <c r="H6" s="7">
        <f>'ALEXANDRA GUZMAN'!$I$4</f>
        <v>0</v>
      </c>
      <c r="I6" s="7">
        <f>'ALEXANDRA GUZMAN'!$H$4</f>
        <v>0</v>
      </c>
      <c r="J6" s="7">
        <v>1000000.0</v>
      </c>
      <c r="K6" s="9">
        <f t="shared" si="1"/>
        <v>0</v>
      </c>
      <c r="L6" s="8">
        <f>'ALEXANDRA GUZMAN'!$K$5</f>
        <v>0</v>
      </c>
      <c r="M6" s="8">
        <f>'ALEXANDRA GUZMAN'!$J$5</f>
        <v>0</v>
      </c>
    </row>
    <row r="7">
      <c r="B7" s="6" t="s">
        <v>29</v>
      </c>
      <c r="C7" s="6" t="str">
        <f>'RENZO CACEDA'!D3</f>
        <v>TRUJILLO</v>
      </c>
      <c r="D7" s="7">
        <f>'RENZO CACEDA'!$F$4</f>
        <v>0</v>
      </c>
      <c r="E7" s="8">
        <f>'RENZO CACEDA'!$F$5</f>
        <v>0</v>
      </c>
      <c r="F7" s="7">
        <f>'RENZO CACEDA'!$K$4</f>
        <v>0</v>
      </c>
      <c r="G7" s="7">
        <f>'RENZO CACEDA'!$J$4</f>
        <v>0</v>
      </c>
      <c r="H7" s="7">
        <f>'RENZO CACEDA'!$I$4</f>
        <v>0</v>
      </c>
      <c r="I7" s="7">
        <f>'RENZO CACEDA'!$H$4</f>
        <v>0</v>
      </c>
      <c r="J7" s="7">
        <v>1000000.0</v>
      </c>
      <c r="K7" s="9">
        <f t="shared" si="1"/>
        <v>0</v>
      </c>
      <c r="L7" s="8">
        <f>'RENZO CACEDA'!$K$5</f>
        <v>0</v>
      </c>
      <c r="M7" s="8">
        <f>'RENZO CACEDA'!$J$5</f>
        <v>0</v>
      </c>
    </row>
    <row r="8">
      <c r="B8" s="6" t="s">
        <v>30</v>
      </c>
      <c r="C8" s="6" t="str">
        <f>'WENDY IPANEQUE'!D3</f>
        <v>PIURA</v>
      </c>
      <c r="D8" s="7">
        <f>'WENDY IPANEQUE'!$F$4</f>
        <v>994700</v>
      </c>
      <c r="E8" s="8">
        <f>'WENDY IPANEQUE'!$F$5</f>
        <v>14</v>
      </c>
      <c r="F8" s="7">
        <f>'WENDY IPANEQUE'!$K$4</f>
        <v>156150</v>
      </c>
      <c r="G8" s="7">
        <f>'WENDY IPANEQUE'!$J$4</f>
        <v>0</v>
      </c>
      <c r="H8" s="7">
        <f>'WENDY IPANEQUE'!$I$4</f>
        <v>0</v>
      </c>
      <c r="I8" s="7">
        <f>'WENDY IPANEQUE'!$H$4</f>
        <v>0</v>
      </c>
      <c r="J8" s="7">
        <v>1000000.0</v>
      </c>
      <c r="K8" s="9">
        <f t="shared" si="1"/>
        <v>0.9947</v>
      </c>
      <c r="L8" s="8">
        <f>'WENDY IPANEQUE'!$K$5</f>
        <v>2</v>
      </c>
      <c r="M8" s="8">
        <f>'WENDY IPANEQUE'!$J$5</f>
        <v>0</v>
      </c>
    </row>
    <row r="9">
      <c r="B9" s="6" t="s">
        <v>33</v>
      </c>
      <c r="C9" s="6" t="str">
        <f>'ANGIE SILVERA'!D3</f>
        <v>LIMA 1</v>
      </c>
      <c r="D9" s="7">
        <f>'ANGIE SILVERA'!$F$4</f>
        <v>1741550</v>
      </c>
      <c r="E9" s="8">
        <f>'ANGIE SILVERA'!$F$5</f>
        <v>24</v>
      </c>
      <c r="F9" s="7">
        <f>'ANGIE SILVERA'!$K$4</f>
        <v>0</v>
      </c>
      <c r="G9" s="7">
        <f>'ANGIE SILVERA'!$J$4</f>
        <v>0</v>
      </c>
      <c r="H9" s="7">
        <f>'ANGIE SILVERA'!$I$4</f>
        <v>0</v>
      </c>
      <c r="I9" s="7">
        <f>'ANGIE SILVERA'!$H$4</f>
        <v>0</v>
      </c>
      <c r="J9" s="7">
        <f>'ANGIE SILVERA'!E4</f>
        <v>2000000</v>
      </c>
      <c r="K9" s="9">
        <f t="shared" si="1"/>
        <v>0.870775</v>
      </c>
      <c r="L9" s="8">
        <f>'ANGIE SILVERA'!$K$5</f>
        <v>0</v>
      </c>
      <c r="M9" s="8">
        <f>'ANGIE SILVERA'!$J$5</f>
        <v>0</v>
      </c>
    </row>
    <row r="10">
      <c r="B10" s="6" t="s">
        <v>41</v>
      </c>
      <c r="C10" s="6" t="str">
        <f>'KENNY MORALES'!D3</f>
        <v>LIMA 1</v>
      </c>
      <c r="D10" s="7">
        <f>'KENNY MORALES'!$F$4</f>
        <v>820950</v>
      </c>
      <c r="E10" s="8">
        <f>'KENNY MORALES'!$F$5</f>
        <v>14</v>
      </c>
      <c r="F10" s="7">
        <f>'KENNY MORALES'!$K$4</f>
        <v>44600</v>
      </c>
      <c r="G10" s="7">
        <f>'KENNY MORALES'!$J$4</f>
        <v>0</v>
      </c>
      <c r="H10" s="7">
        <f>'KENNY MORALES'!$I$4</f>
        <v>66600</v>
      </c>
      <c r="I10" s="7">
        <f>'KENNY MORALES'!$H$4</f>
        <v>0</v>
      </c>
      <c r="J10" s="7">
        <f>'KENNY MORALES'!E4</f>
        <v>1000000</v>
      </c>
      <c r="K10" s="9">
        <f t="shared" si="1"/>
        <v>0.82095</v>
      </c>
      <c r="L10" s="8">
        <f>'KENNY MORALES'!$K$5</f>
        <v>2</v>
      </c>
      <c r="M10" s="8">
        <f>'KENNY MORALES'!$J$5</f>
        <v>0</v>
      </c>
    </row>
    <row r="11">
      <c r="B11" s="6" t="s">
        <v>52</v>
      </c>
      <c r="C11" s="6" t="str">
        <f>'LUIS CHUSE'!D3</f>
        <v>LIMA 2</v>
      </c>
      <c r="D11" s="7">
        <f>'LUIS CHUSE'!$F$4</f>
        <v>1041850</v>
      </c>
      <c r="E11" s="8">
        <f>'LUIS CHUSE'!$F$5</f>
        <v>17</v>
      </c>
      <c r="F11" s="7">
        <f>'LUIS CHUSE'!$K$4</f>
        <v>144900</v>
      </c>
      <c r="G11" s="7">
        <f>'LUIS CHUSE'!$J$4</f>
        <v>0</v>
      </c>
      <c r="H11" s="7">
        <f>'LUIS CHUSE'!$I$4</f>
        <v>84100</v>
      </c>
      <c r="I11" s="7">
        <f>'LUIS CHUSE'!$H$4</f>
        <v>0</v>
      </c>
      <c r="J11" s="7">
        <f>'LUIS CHUSE'!E4</f>
        <v>2000000</v>
      </c>
      <c r="K11" s="9">
        <f t="shared" si="1"/>
        <v>0.520925</v>
      </c>
      <c r="L11" s="8">
        <f>'LUIS CHUSE'!$K$5</f>
        <v>2</v>
      </c>
      <c r="M11" s="8">
        <f>'LUIS CHUSE'!$J$5</f>
        <v>0</v>
      </c>
    </row>
    <row r="12">
      <c r="B12" s="6" t="s">
        <v>57</v>
      </c>
      <c r="C12" s="6" t="str">
        <f>'MARIELLA PAÑAHUA'!D3</f>
        <v>AYACUCHO</v>
      </c>
      <c r="D12" s="7">
        <f>'MARIELLA PAÑAHUA'!$F$4</f>
        <v>611137</v>
      </c>
      <c r="E12" s="8">
        <f>'MARIELLA PAÑAHUA'!$F$5</f>
        <v>9</v>
      </c>
      <c r="F12" s="7">
        <f>'MARIELLA PAÑAHUA'!$K$4</f>
        <v>63700</v>
      </c>
      <c r="G12" s="7">
        <f>'MARIELLA PAÑAHUA'!$J$4</f>
        <v>0</v>
      </c>
      <c r="H12" s="7">
        <f>'MARIELLA PAÑAHUA'!$I$4</f>
        <v>0</v>
      </c>
      <c r="I12" s="7">
        <f>'MARIELLA PAÑAHUA'!$H$4</f>
        <v>0</v>
      </c>
      <c r="J12" s="7">
        <f>'MARIELLA PAÑAHUA'!E4</f>
        <v>800000</v>
      </c>
      <c r="K12" s="9">
        <f t="shared" si="1"/>
        <v>0.76392125</v>
      </c>
      <c r="L12" s="8">
        <f>'MARIELLA PAÑAHUA'!$K$5</f>
        <v>1</v>
      </c>
      <c r="M12" s="8">
        <f>'MARIELLA PAÑAHUA'!$J$5</f>
        <v>0</v>
      </c>
    </row>
    <row r="13">
      <c r="B13" s="6" t="s">
        <v>59</v>
      </c>
      <c r="C13" s="6" t="str">
        <f>'WINNIE ESCALANTE'!D3</f>
        <v>LIMA 1</v>
      </c>
      <c r="D13" s="7">
        <f>'WINNIE ESCALANTE'!$F$4</f>
        <v>1522360</v>
      </c>
      <c r="E13" s="8">
        <f>'WINNIE ESCALANTE'!$F$5</f>
        <v>21</v>
      </c>
      <c r="F13" s="7">
        <f>'WINNIE ESCALANTE'!$K$4</f>
        <v>0</v>
      </c>
      <c r="G13" s="7">
        <f>'WINNIE ESCALANTE'!$J$4</f>
        <v>0</v>
      </c>
      <c r="H13" s="7">
        <f>'WINNIE ESCALANTE'!$I$4</f>
        <v>0</v>
      </c>
      <c r="I13" s="7">
        <f>'WINNIE ESCALANTE'!$H$4</f>
        <v>0</v>
      </c>
      <c r="J13" s="7">
        <f>'WINNIE ESCALANTE'!E4</f>
        <v>2000000</v>
      </c>
      <c r="K13" s="9">
        <f t="shared" si="1"/>
        <v>0.76118</v>
      </c>
      <c r="L13" s="8">
        <f>'WINNIE ESCALANTE'!$K$5</f>
        <v>0</v>
      </c>
      <c r="M13" s="8">
        <f>'WINNIE ESCALANTE'!$J$5</f>
        <v>0</v>
      </c>
    </row>
    <row r="14">
      <c r="B14" s="6" t="s">
        <v>64</v>
      </c>
      <c r="C14" s="6" t="str">
        <f>'JOSE LUIS QUINTEROS'!D3</f>
        <v>LIMA 1</v>
      </c>
      <c r="D14" s="7">
        <f>'JOSE LUIS QUINTEROS'!$F$4</f>
        <v>1078750</v>
      </c>
      <c r="E14" s="8">
        <f>'JOSE LUIS QUINTEROS'!$F$5</f>
        <v>13</v>
      </c>
      <c r="F14" s="7">
        <f>'JOSE LUIS QUINTEROS'!$K$4</f>
        <v>52000</v>
      </c>
      <c r="G14" s="7">
        <f>'JOSE LUIS QUINTEROS'!$J$4</f>
        <v>0</v>
      </c>
      <c r="H14" s="7">
        <f>'JOSE LUIS QUINTEROS'!$I$4</f>
        <v>77250</v>
      </c>
      <c r="I14" s="7">
        <f>'JOSE LUIS QUINTEROS'!$H$4</f>
        <v>56800</v>
      </c>
      <c r="J14" s="7">
        <f>'JOSE LUIS QUINTEROS'!E4</f>
        <v>1000000</v>
      </c>
      <c r="K14" s="9">
        <f t="shared" si="1"/>
        <v>1.07875</v>
      </c>
      <c r="L14" s="8">
        <f>'JOSE LUIS QUINTEROS'!$K$5</f>
        <v>1</v>
      </c>
      <c r="M14" s="8">
        <f>'JOSE LUIS QUINTEROS'!$J$5</f>
        <v>0</v>
      </c>
    </row>
    <row r="15">
      <c r="B15" s="6" t="s">
        <v>69</v>
      </c>
      <c r="C15" s="6" t="str">
        <f>'NATHALIE ARANDA'!D3</f>
        <v>LIMA 2</v>
      </c>
      <c r="D15" s="7">
        <f>'NATHALIE ARANDA'!$F$4</f>
        <v>1460120</v>
      </c>
      <c r="E15" s="8">
        <f>'NATHALIE ARANDA'!$F$5</f>
        <v>22</v>
      </c>
      <c r="F15" s="7">
        <f>'NATHALIE ARANDA'!$K$4</f>
        <v>74600</v>
      </c>
      <c r="G15" s="7">
        <f>'NATHALIE ARANDA'!$J$4</f>
        <v>0</v>
      </c>
      <c r="H15" s="7">
        <f>'NATHALIE ARANDA'!$I$4</f>
        <v>543600</v>
      </c>
      <c r="I15" s="7">
        <f>'NATHALIE ARANDA'!$H$4</f>
        <v>34800</v>
      </c>
      <c r="J15" s="7">
        <f>'NATHALIE ARANDA'!E4</f>
        <v>500000</v>
      </c>
      <c r="K15" s="9">
        <f t="shared" si="1"/>
        <v>2.92024</v>
      </c>
      <c r="L15" s="8">
        <f>'NATHALIE ARANDA'!$K$5</f>
        <v>1</v>
      </c>
      <c r="M15" s="8">
        <f>'NATHALIE ARANDA'!$J$5</f>
        <v>0</v>
      </c>
    </row>
    <row r="16">
      <c r="B16" s="6" t="s">
        <v>70</v>
      </c>
      <c r="C16" s="6" t="str">
        <f>'ARACELY VENTURA'!D3</f>
        <v>CHICLAYO</v>
      </c>
      <c r="D16" s="7">
        <f>'ARACELY VENTURA'!$F$4</f>
        <v>705600</v>
      </c>
      <c r="E16" s="8">
        <f>'ARACELY VENTURA'!$F$5</f>
        <v>9</v>
      </c>
      <c r="F16" s="7">
        <f>'ARACELY VENTURA'!$K$4</f>
        <v>0</v>
      </c>
      <c r="G16" s="7">
        <f>'ARACELY VENTURA'!$J$4</f>
        <v>0</v>
      </c>
      <c r="H16" s="7">
        <f>'ARACELY VENTURA'!$I$4</f>
        <v>164600</v>
      </c>
      <c r="I16" s="7">
        <f>'ARACELY VENTURA'!$H$4</f>
        <v>0</v>
      </c>
      <c r="J16" s="7">
        <v>1000000.0</v>
      </c>
      <c r="K16" s="9">
        <f t="shared" si="1"/>
        <v>0.7056</v>
      </c>
      <c r="L16" s="8">
        <f>'ARACELY VENTURA'!$K$5</f>
        <v>0</v>
      </c>
      <c r="M16" s="8">
        <f>'ARACELY VENTURA'!$J$5</f>
        <v>0</v>
      </c>
    </row>
    <row r="17">
      <c r="B17" s="6" t="s">
        <v>74</v>
      </c>
      <c r="C17" s="6" t="str">
        <f>'JHON ZAMORA'!D3</f>
        <v>CHICLAYO</v>
      </c>
      <c r="D17" s="7">
        <f>'JHON ZAMORA'!$F$4</f>
        <v>925450</v>
      </c>
      <c r="E17" s="8">
        <f>'JHON ZAMORA'!$F$5</f>
        <v>15</v>
      </c>
      <c r="F17" s="7">
        <f>'JHON ZAMORA'!$K$4</f>
        <v>0</v>
      </c>
      <c r="G17" s="7">
        <f>'JHON ZAMORA'!$J$4</f>
        <v>0</v>
      </c>
      <c r="H17" s="7">
        <f>'JHON ZAMORA'!$I$4</f>
        <v>0</v>
      </c>
      <c r="I17" s="7">
        <f>'JHON ZAMORA'!$H$4</f>
        <v>0</v>
      </c>
      <c r="J17" s="7">
        <v>1000000.0</v>
      </c>
      <c r="K17" s="9">
        <f t="shared" si="1"/>
        <v>0.92545</v>
      </c>
      <c r="L17" s="8">
        <f>'JHON ZAMORA'!$K$5</f>
        <v>0</v>
      </c>
      <c r="M17" s="8">
        <f>'JHON ZAMORA'!$J$5</f>
        <v>0</v>
      </c>
    </row>
    <row r="18">
      <c r="B18" s="6" t="s">
        <v>79</v>
      </c>
      <c r="C18" s="6" t="str">
        <f>'OMAR MINAYA'!D3</f>
        <v>CHICLAYO</v>
      </c>
      <c r="D18" s="7">
        <f>'OMAR MINAYA'!$F$4</f>
        <v>1629875</v>
      </c>
      <c r="E18" s="8">
        <f>'OMAR MINAYA'!$F$5</f>
        <v>23</v>
      </c>
      <c r="F18" s="7">
        <f>'OMAR MINAYA'!$K$4</f>
        <v>164600</v>
      </c>
      <c r="G18" s="7">
        <f>'OMAR MINAYA'!$J$4</f>
        <v>0</v>
      </c>
      <c r="H18" s="7">
        <f>'OMAR MINAYA'!$I$4</f>
        <v>12000</v>
      </c>
      <c r="I18" s="7">
        <f>'OMAR MINAYA'!$H$4</f>
        <v>0</v>
      </c>
      <c r="J18" s="7">
        <v>1000000.0</v>
      </c>
      <c r="K18" s="9">
        <f t="shared" si="1"/>
        <v>1.629875</v>
      </c>
      <c r="L18" s="8">
        <f>'OMAR MINAYA'!$K$5</f>
        <v>3</v>
      </c>
      <c r="M18" s="8">
        <f>'OMAR MINAYA'!$J$5</f>
        <v>0</v>
      </c>
    </row>
    <row r="19">
      <c r="B19" s="6" t="s">
        <v>83</v>
      </c>
      <c r="C19" s="6" t="str">
        <f>'NAHOMI DIAZ'!D3</f>
        <v>CHICLAYO</v>
      </c>
      <c r="D19" s="7">
        <f>'NAHOMI DIAZ'!$F$4</f>
        <v>2108561</v>
      </c>
      <c r="E19" s="8">
        <f>'NAHOMI DIAZ'!$F$5</f>
        <v>27</v>
      </c>
      <c r="F19" s="7">
        <f>'NAHOMI DIAZ'!$K$4</f>
        <v>65000</v>
      </c>
      <c r="G19" s="7">
        <f>'NAHOMI DIAZ'!$J$4</f>
        <v>0</v>
      </c>
      <c r="H19" s="7">
        <f>'NAHOMI DIAZ'!$I$4</f>
        <v>0</v>
      </c>
      <c r="I19" s="7">
        <f>'NAHOMI DIAZ'!$H$4</f>
        <v>0</v>
      </c>
      <c r="J19" s="7">
        <v>1000000.0</v>
      </c>
      <c r="K19" s="9">
        <f t="shared" si="1"/>
        <v>2.108561</v>
      </c>
      <c r="L19" s="8">
        <f>'NAHOMI DIAZ'!$K$5</f>
        <v>1</v>
      </c>
      <c r="M19" s="8">
        <f>'NAHOMI DIAZ'!$J$5</f>
        <v>0</v>
      </c>
    </row>
    <row r="20">
      <c r="B20" s="6" t="s">
        <v>88</v>
      </c>
      <c r="C20" s="6" t="str">
        <f>'VIOLETA LLERENA'!D3</f>
        <v>AREQUIPA</v>
      </c>
      <c r="D20" s="7">
        <f>'VIOLETA LLERENA'!$F$4</f>
        <v>617400</v>
      </c>
      <c r="E20" s="8">
        <f>'VIOLETA LLERENA'!$F$5</f>
        <v>9</v>
      </c>
      <c r="F20" s="7">
        <f>'VIOLETA LLERENA'!$K$4</f>
        <v>116000</v>
      </c>
      <c r="G20" s="7">
        <f>'VIOLETA LLERENA'!$J$4</f>
        <v>0</v>
      </c>
      <c r="H20" s="7">
        <f>'VIOLETA LLERENA'!$I$4</f>
        <v>0</v>
      </c>
      <c r="I20" s="7">
        <f>'VIOLETA LLERENA'!$H$4</f>
        <v>0</v>
      </c>
      <c r="J20" s="7">
        <v>1000000.0</v>
      </c>
      <c r="K20" s="9">
        <f t="shared" si="1"/>
        <v>0.6174</v>
      </c>
      <c r="L20" s="8">
        <f>'VIOLETA LLERENA'!$K$5</f>
        <v>3</v>
      </c>
      <c r="M20" s="8">
        <f>'VIOLETA LLERENA'!$J$5</f>
        <v>0</v>
      </c>
    </row>
    <row r="21">
      <c r="B21" s="6" t="s">
        <v>90</v>
      </c>
      <c r="C21" s="6" t="str">
        <f>'MILUSKA LINARES'!D3</f>
        <v>TRUJILLO</v>
      </c>
      <c r="D21" s="7">
        <f>'MILUSKA LINARES'!$F$4</f>
        <v>0</v>
      </c>
      <c r="E21" s="8">
        <f>'MILUSKA LINARES'!$F$5</f>
        <v>0</v>
      </c>
      <c r="F21" s="7">
        <f>'MILUSKA LINARES'!$K$4</f>
        <v>0</v>
      </c>
      <c r="G21" s="7">
        <f>'MILUSKA LINARES'!$J$4</f>
        <v>0</v>
      </c>
      <c r="H21" s="7">
        <f>'MILUSKA LINARES'!$I$4</f>
        <v>0</v>
      </c>
      <c r="I21" s="7">
        <f>'MILUSKA LINARES'!$H$4</f>
        <v>0</v>
      </c>
      <c r="J21" s="7">
        <v>1000000.0</v>
      </c>
      <c r="K21" s="9">
        <f t="shared" si="1"/>
        <v>0</v>
      </c>
      <c r="L21" s="8">
        <f>'MILUSKA LINARES'!$K$5</f>
        <v>0</v>
      </c>
      <c r="M21" s="8">
        <f>'MILUSKA LINARES'!$J$5</f>
        <v>0</v>
      </c>
    </row>
    <row r="22">
      <c r="B22" s="6" t="s">
        <v>93</v>
      </c>
      <c r="C22" s="6" t="str">
        <f>'THALIA SALOME'!D3</f>
        <v>HUANCAYO</v>
      </c>
      <c r="D22" s="7">
        <f>'THALIA SALOME'!$F$4</f>
        <v>318250</v>
      </c>
      <c r="E22" s="8">
        <f>'THALIA SALOME'!$F$5</f>
        <v>4</v>
      </c>
      <c r="F22" s="7">
        <f>'THALIA SALOME'!$K$4</f>
        <v>0</v>
      </c>
      <c r="G22" s="7">
        <f>'THALIA SALOME'!$J$4</f>
        <v>0</v>
      </c>
      <c r="H22" s="7">
        <f>'THALIA SALOME'!$I$4</f>
        <v>0</v>
      </c>
      <c r="I22" s="7">
        <f>'THALIA SALOME'!$H$4</f>
        <v>0</v>
      </c>
      <c r="J22" s="7">
        <v>1000000.0</v>
      </c>
      <c r="K22" s="9">
        <f t="shared" si="1"/>
        <v>0.31825</v>
      </c>
      <c r="L22" s="8">
        <f>'THALIA SALOME'!$K$5</f>
        <v>0</v>
      </c>
      <c r="M22" s="8">
        <f>'THALIA SALOME'!$J$5</f>
        <v>0</v>
      </c>
    </row>
    <row r="23">
      <c r="B23" s="6" t="s">
        <v>96</v>
      </c>
      <c r="C23" s="6" t="str">
        <f>'ELIZABETH ESQUIVEL'!D3</f>
        <v>LIMA 1</v>
      </c>
      <c r="D23" s="7">
        <f>'ELIZABETH ESQUIVEL'!$F$4</f>
        <v>575950</v>
      </c>
      <c r="E23" s="8">
        <f>'ELIZABETH ESQUIVEL'!$F$5</f>
        <v>7</v>
      </c>
      <c r="F23" s="7">
        <f>'ELIZABETH ESQUIVEL'!$K$4</f>
        <v>0</v>
      </c>
      <c r="G23" s="7">
        <f>'ELIZABETH ESQUIVEL'!$J$4</f>
        <v>0</v>
      </c>
      <c r="H23" s="7">
        <f>'ELIZABETH ESQUIVEL'!$I$4</f>
        <v>0</v>
      </c>
      <c r="I23" s="7">
        <f>'ELIZABETH ESQUIVEL'!$H$4</f>
        <v>0</v>
      </c>
      <c r="J23" s="7">
        <v>500000.0</v>
      </c>
      <c r="K23" s="9">
        <f t="shared" si="1"/>
        <v>1.1519</v>
      </c>
      <c r="L23" s="8">
        <f>'ELIZABETH ESQUIVEL'!$K$5</f>
        <v>0</v>
      </c>
      <c r="M23" s="8" t="str">
        <f>'ELIZSABETH ESQUIVEL'!$J$5</f>
        <v>#REF!</v>
      </c>
    </row>
    <row r="24">
      <c r="B24" s="6" t="s">
        <v>102</v>
      </c>
      <c r="C24" s="6" t="str">
        <f>'ANA ALIAGA'!D3</f>
        <v>LIMA 1</v>
      </c>
      <c r="D24" s="7">
        <f>'ANA ALIAGA'!$F$4</f>
        <v>736373</v>
      </c>
      <c r="E24" s="8">
        <f>'ANA ALIAGA'!$F$5</f>
        <v>9</v>
      </c>
      <c r="F24" s="7">
        <f>'ANA ALIAGA'!$K$4</f>
        <v>0</v>
      </c>
      <c r="G24" s="7">
        <f>'ANA ALIAGA'!$J$4</f>
        <v>0</v>
      </c>
      <c r="H24" s="7">
        <f>'ANA ALIAGA'!$I$4</f>
        <v>0</v>
      </c>
      <c r="I24" s="7">
        <f>'ANA ALIAGA'!$H$4</f>
        <v>0</v>
      </c>
      <c r="J24" s="7">
        <v>1000000.0</v>
      </c>
      <c r="K24" s="9">
        <f t="shared" si="1"/>
        <v>0.736373</v>
      </c>
      <c r="L24" s="8">
        <f>'ANA ALIAGA'!$K$5</f>
        <v>0</v>
      </c>
      <c r="M24" s="8">
        <f>'ANA ALIAGA'!$J$5</f>
        <v>0</v>
      </c>
    </row>
    <row r="25">
      <c r="B25" s="6" t="s">
        <v>107</v>
      </c>
      <c r="C25" s="6" t="str">
        <f>'MERCEDES GIRALDO'!D3</f>
        <v>LIMA 1</v>
      </c>
      <c r="D25" s="7">
        <f>'MERCEDES GIRALDO'!$F$4</f>
        <v>1356700</v>
      </c>
      <c r="E25" s="8">
        <f>'MERCEDES GIRALDO'!$F$5</f>
        <v>16</v>
      </c>
      <c r="F25" s="7">
        <f>'MERCEDES GIRALDO'!$K$4</f>
        <v>0</v>
      </c>
      <c r="G25" s="7">
        <f>'MERCEDES GIRALDO'!$J$4</f>
        <v>0</v>
      </c>
      <c r="H25" s="7">
        <f>'MERCEDES GIRALDO'!$I$4</f>
        <v>157750</v>
      </c>
      <c r="I25" s="7">
        <f>'MERCEDES GIRALDO'!$H$4</f>
        <v>0</v>
      </c>
      <c r="J25" s="7">
        <v>1000000.0</v>
      </c>
      <c r="K25" s="9">
        <f t="shared" si="1"/>
        <v>1.3567</v>
      </c>
      <c r="L25" s="8">
        <f>'MERCEDES GIRALDO'!$K$5</f>
        <v>0</v>
      </c>
      <c r="M25" s="8">
        <f>'MERCEDES GIRALDO'!$J$5</f>
        <v>0</v>
      </c>
    </row>
    <row r="26">
      <c r="B26" s="84" t="s">
        <v>108</v>
      </c>
      <c r="C26" s="85"/>
      <c r="D26" s="88">
        <f t="shared" ref="D26:J26" si="2">SUM(D5:D25)</f>
        <v>18557476</v>
      </c>
      <c r="E26" s="89">
        <f t="shared" si="2"/>
        <v>257</v>
      </c>
      <c r="F26" s="90">
        <f t="shared" si="2"/>
        <v>881550</v>
      </c>
      <c r="G26" s="90">
        <f t="shared" si="2"/>
        <v>0</v>
      </c>
      <c r="H26" s="90">
        <f t="shared" si="2"/>
        <v>1105900</v>
      </c>
      <c r="I26" s="90">
        <f t="shared" si="2"/>
        <v>91600</v>
      </c>
      <c r="J26" s="90">
        <f t="shared" si="2"/>
        <v>22600000</v>
      </c>
      <c r="K26" s="91">
        <v>7.6246407239819E13</v>
      </c>
      <c r="L26" s="92">
        <f t="shared" ref="L26:M26" si="3">SUM(L5:L25)</f>
        <v>16</v>
      </c>
      <c r="M26" s="92" t="str">
        <f t="shared" si="3"/>
        <v>#REF!</v>
      </c>
    </row>
    <row r="29">
      <c r="B29" s="93" t="s">
        <v>114</v>
      </c>
      <c r="C29" s="94"/>
      <c r="D29" s="4" t="s">
        <v>4</v>
      </c>
      <c r="E29" s="4" t="s">
        <v>5</v>
      </c>
      <c r="F29" s="5" t="s">
        <v>6</v>
      </c>
      <c r="G29" s="5" t="s">
        <v>7</v>
      </c>
      <c r="H29" s="5" t="s">
        <v>8</v>
      </c>
      <c r="I29" s="5" t="s">
        <v>9</v>
      </c>
      <c r="J29" s="5" t="s">
        <v>10</v>
      </c>
      <c r="K29" s="5" t="s">
        <v>11</v>
      </c>
      <c r="L29" s="5" t="s">
        <v>12</v>
      </c>
      <c r="M29" s="5" t="s">
        <v>13</v>
      </c>
    </row>
    <row r="30">
      <c r="B30" s="95" t="s">
        <v>16</v>
      </c>
      <c r="C30" s="94"/>
      <c r="D30" s="7">
        <f t="shared" ref="D30:J30" si="4">SUMIFS(D$5:D$25,$C$5:$C$25,$B30)</f>
        <v>7832633</v>
      </c>
      <c r="E30" s="8">
        <f t="shared" si="4"/>
        <v>104</v>
      </c>
      <c r="F30" s="7">
        <f t="shared" si="4"/>
        <v>96600</v>
      </c>
      <c r="G30" s="7">
        <f t="shared" si="4"/>
        <v>0</v>
      </c>
      <c r="H30" s="7">
        <f t="shared" si="4"/>
        <v>301600</v>
      </c>
      <c r="I30" s="7">
        <f t="shared" si="4"/>
        <v>56800</v>
      </c>
      <c r="J30" s="7">
        <f t="shared" si="4"/>
        <v>8500000</v>
      </c>
      <c r="K30" s="9">
        <f t="shared" ref="K30:K37" si="7">D30/J30</f>
        <v>0.9214862353</v>
      </c>
      <c r="L30" s="8">
        <f t="shared" ref="L30:M30" si="5">SUMIFS(L$5:L$25,$C$5:$C$25,$B30)</f>
        <v>3</v>
      </c>
      <c r="M30" s="8" t="str">
        <f t="shared" si="5"/>
        <v>#REF!</v>
      </c>
    </row>
    <row r="31">
      <c r="B31" s="95" t="s">
        <v>120</v>
      </c>
      <c r="C31" s="94"/>
      <c r="D31" s="7">
        <f t="shared" ref="D31:J31" si="6">SUMIFS(D$5:D$25,$C$5:$C$25,$B31)</f>
        <v>2501970</v>
      </c>
      <c r="E31" s="8">
        <f t="shared" si="6"/>
        <v>39</v>
      </c>
      <c r="F31" s="7">
        <f t="shared" si="6"/>
        <v>219500</v>
      </c>
      <c r="G31" s="7">
        <f t="shared" si="6"/>
        <v>0</v>
      </c>
      <c r="H31" s="7">
        <f t="shared" si="6"/>
        <v>627700</v>
      </c>
      <c r="I31" s="7">
        <f t="shared" si="6"/>
        <v>34800</v>
      </c>
      <c r="J31" s="7">
        <f t="shared" si="6"/>
        <v>2500000</v>
      </c>
      <c r="K31" s="9">
        <f t="shared" si="7"/>
        <v>1.000788</v>
      </c>
      <c r="L31" s="8">
        <f t="shared" ref="L31:M31" si="8">SUMIFS(L$5:L$25,$C$5:$C$25,$B31)</f>
        <v>3</v>
      </c>
      <c r="M31" s="8">
        <f t="shared" si="8"/>
        <v>0</v>
      </c>
    </row>
    <row r="32">
      <c r="B32" s="95" t="s">
        <v>122</v>
      </c>
      <c r="C32" s="94"/>
      <c r="D32" s="7">
        <f t="shared" ref="D32:J32" si="9">SUMIFS(D5:D25,$C$5:$C$25,"CHICLAYO")+SUMIFS(D5:D25,$C$5:$C$25,"TRUJILLO")+SUMIFS(D5:D25,$C$5:$C$25,"PIURA")</f>
        <v>6364186</v>
      </c>
      <c r="E32" s="8">
        <f t="shared" si="9"/>
        <v>88</v>
      </c>
      <c r="F32" s="7">
        <f t="shared" si="9"/>
        <v>385750</v>
      </c>
      <c r="G32" s="7">
        <f t="shared" si="9"/>
        <v>0</v>
      </c>
      <c r="H32" s="7">
        <f t="shared" si="9"/>
        <v>176600</v>
      </c>
      <c r="I32" s="7">
        <f t="shared" si="9"/>
        <v>0</v>
      </c>
      <c r="J32" s="7">
        <f t="shared" si="9"/>
        <v>8000000</v>
      </c>
      <c r="K32" s="9">
        <f t="shared" si="7"/>
        <v>0.79552325</v>
      </c>
      <c r="L32" s="8">
        <f t="shared" ref="L32:M32" si="10">SUMIFS(L5:L25,$C$5:$C$25,"CHICLAYO")+SUMIFS(L5:L25,$C$5:$C$25,"TRUJILLO")+SUMIFS(L5:L25,$C$5:$C$25,"PIURA")</f>
        <v>6</v>
      </c>
      <c r="M32" s="8">
        <f t="shared" si="10"/>
        <v>0</v>
      </c>
    </row>
    <row r="33">
      <c r="B33" s="95" t="s">
        <v>125</v>
      </c>
      <c r="C33" s="94"/>
      <c r="D33" s="7">
        <f t="shared" ref="D33:J33" si="11">SUMIFS(D5:D22,$C$5:$C$22,"TARAPOTO")</f>
        <v>311900</v>
      </c>
      <c r="E33" s="8">
        <f t="shared" si="11"/>
        <v>4</v>
      </c>
      <c r="F33" s="7">
        <f t="shared" si="11"/>
        <v>0</v>
      </c>
      <c r="G33" s="7">
        <f t="shared" si="11"/>
        <v>0</v>
      </c>
      <c r="H33" s="7">
        <f t="shared" si="11"/>
        <v>0</v>
      </c>
      <c r="I33" s="7">
        <f t="shared" si="11"/>
        <v>0</v>
      </c>
      <c r="J33" s="7">
        <f t="shared" si="11"/>
        <v>800000</v>
      </c>
      <c r="K33" s="9">
        <f t="shared" si="7"/>
        <v>0.389875</v>
      </c>
      <c r="L33" s="8">
        <f t="shared" ref="L33:M33" si="12">SUMIFS(L5:L22,$C$5:$C$22,"TARAPOTO")</f>
        <v>0</v>
      </c>
      <c r="M33" s="8">
        <f t="shared" si="12"/>
        <v>0</v>
      </c>
    </row>
    <row r="34">
      <c r="B34" s="6" t="s">
        <v>128</v>
      </c>
      <c r="C34" s="6"/>
      <c r="D34" s="7">
        <f t="shared" ref="D34:J34" si="13">SUMIFS(D5:D22,$C$5:$C$22,"AYACUCHO")</f>
        <v>611137</v>
      </c>
      <c r="E34" s="8">
        <f t="shared" si="13"/>
        <v>9</v>
      </c>
      <c r="F34" s="7">
        <f t="shared" si="13"/>
        <v>63700</v>
      </c>
      <c r="G34" s="7">
        <f t="shared" si="13"/>
        <v>0</v>
      </c>
      <c r="H34" s="7">
        <f t="shared" si="13"/>
        <v>0</v>
      </c>
      <c r="I34" s="7">
        <f t="shared" si="13"/>
        <v>0</v>
      </c>
      <c r="J34" s="7">
        <f t="shared" si="13"/>
        <v>800000</v>
      </c>
      <c r="K34" s="9">
        <f t="shared" si="7"/>
        <v>0.76392125</v>
      </c>
      <c r="L34" s="8">
        <f t="shared" ref="L34:M34" si="14">SUMIFS(L5:L22,$C$5:$C$22,"AYACUCHO")</f>
        <v>1</v>
      </c>
      <c r="M34" s="8">
        <f t="shared" si="14"/>
        <v>0</v>
      </c>
    </row>
    <row r="35">
      <c r="B35" s="95" t="s">
        <v>129</v>
      </c>
      <c r="C35" s="94"/>
      <c r="D35" s="7">
        <f t="shared" ref="D35:J35" si="15">SUMIFS(D5:D22,$C$5:$C$22,"AREQUIPA")</f>
        <v>617400</v>
      </c>
      <c r="E35" s="8">
        <f t="shared" si="15"/>
        <v>9</v>
      </c>
      <c r="F35" s="7">
        <f t="shared" si="15"/>
        <v>116000</v>
      </c>
      <c r="G35" s="7">
        <f t="shared" si="15"/>
        <v>0</v>
      </c>
      <c r="H35" s="7">
        <f t="shared" si="15"/>
        <v>0</v>
      </c>
      <c r="I35" s="7">
        <f t="shared" si="15"/>
        <v>0</v>
      </c>
      <c r="J35" s="7">
        <f t="shared" si="15"/>
        <v>1000000</v>
      </c>
      <c r="K35" s="9">
        <f t="shared" si="7"/>
        <v>0.6174</v>
      </c>
      <c r="L35" s="8" t="str">
        <f t="shared" ref="L35:M35" si="16">SUMIFS(L6:L24,$C$5:$C$22,"AREQUIPA")</f>
        <v>#VALUE!</v>
      </c>
      <c r="M35" s="8" t="str">
        <f t="shared" si="16"/>
        <v>#VALUE!</v>
      </c>
    </row>
    <row r="36">
      <c r="B36" s="95" t="s">
        <v>131</v>
      </c>
      <c r="C36" s="94"/>
      <c r="D36" s="7">
        <f t="shared" ref="D36:J36" si="17">SUMIFS(D$5:D$25,$C$5:$C$25,$B36)</f>
        <v>318250</v>
      </c>
      <c r="E36" s="8">
        <f t="shared" si="17"/>
        <v>4</v>
      </c>
      <c r="F36" s="7">
        <f t="shared" si="17"/>
        <v>0</v>
      </c>
      <c r="G36" s="7">
        <f t="shared" si="17"/>
        <v>0</v>
      </c>
      <c r="H36" s="7">
        <f t="shared" si="17"/>
        <v>0</v>
      </c>
      <c r="I36" s="7">
        <f t="shared" si="17"/>
        <v>0</v>
      </c>
      <c r="J36" s="7">
        <f t="shared" si="17"/>
        <v>1000000</v>
      </c>
      <c r="K36" s="9">
        <f t="shared" si="7"/>
        <v>0.31825</v>
      </c>
      <c r="L36" s="8">
        <f t="shared" ref="L36:M36" si="18">SUMIFS(L$5:L$25,$C$5:$C$25,$B36)</f>
        <v>0</v>
      </c>
      <c r="M36" s="8">
        <f t="shared" si="18"/>
        <v>0</v>
      </c>
    </row>
    <row r="37">
      <c r="B37" s="108" t="s">
        <v>108</v>
      </c>
      <c r="C37" s="94"/>
      <c r="D37" s="88">
        <f t="shared" ref="D37:J37" si="19">SUM(D30:D36)</f>
        <v>18557476</v>
      </c>
      <c r="E37" s="89">
        <f t="shared" si="19"/>
        <v>257</v>
      </c>
      <c r="F37" s="90">
        <f t="shared" si="19"/>
        <v>881550</v>
      </c>
      <c r="G37" s="90">
        <f t="shared" si="19"/>
        <v>0</v>
      </c>
      <c r="H37" s="90">
        <f t="shared" si="19"/>
        <v>1105900</v>
      </c>
      <c r="I37" s="90">
        <f t="shared" si="19"/>
        <v>91600</v>
      </c>
      <c r="J37" s="90">
        <f t="shared" si="19"/>
        <v>22600000</v>
      </c>
      <c r="K37" s="109">
        <f t="shared" si="7"/>
        <v>0.8211272566</v>
      </c>
      <c r="L37" s="92" t="str">
        <f t="shared" ref="L37:M37" si="20">SUM(L30:L36)</f>
        <v>#VALUE!</v>
      </c>
      <c r="M37" s="92" t="str">
        <f t="shared" si="20"/>
        <v>#REF!</v>
      </c>
    </row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</sheetData>
  <mergeCells count="8">
    <mergeCell ref="B29:C29"/>
    <mergeCell ref="B30:C30"/>
    <mergeCell ref="B31:C31"/>
    <mergeCell ref="B32:C32"/>
    <mergeCell ref="B33:C33"/>
    <mergeCell ref="B35:C35"/>
    <mergeCell ref="B36:C36"/>
    <mergeCell ref="B37:C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16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2000000.0</v>
      </c>
      <c r="F4" s="15">
        <f>SUMIFS(OPI[MAF NETO],OPI[ESTADO],"Desembolsado")</f>
        <v>1741550</v>
      </c>
      <c r="G4" s="15">
        <f>F4-E4</f>
        <v>-258450</v>
      </c>
      <c r="H4" s="16">
        <f>SUMIFS(OPI[MAF NETO],OPI[ESTADO],H$3)</f>
        <v>0</v>
      </c>
      <c r="I4" s="16">
        <f>SUMIFS(OPI[MAF NETO],OPI[ESTADO],I$3)</f>
        <v>0</v>
      </c>
      <c r="J4" s="16">
        <f>SUMIFS(OPI[MAF NETO],OPI[ESTADO],J$3)</f>
        <v>0</v>
      </c>
      <c r="K4" s="16">
        <f>SUMIFS(OPI[MAF NETO],OPI[ESTADO],K$3)</f>
        <v>0</v>
      </c>
      <c r="L4" s="16">
        <f>SUMIFS(OPI[MAF NETO],OPI[ESTADO],L$3)</f>
        <v>0</v>
      </c>
      <c r="M4" s="16">
        <f>SUMIFS(OPI[MAF NETO],OPI[ESTADO],M$3)</f>
        <v>0</v>
      </c>
      <c r="N4" s="16">
        <f>SUMIFS(OPI[MAF NETO],OPI[ESTADO],N$3)</f>
        <v>0</v>
      </c>
    </row>
    <row r="5" ht="26.25" customHeight="1">
      <c r="D5" s="17" t="s">
        <v>31</v>
      </c>
      <c r="E5" s="18" t="s">
        <v>32</v>
      </c>
      <c r="F5" s="19">
        <f>COUNTIFS(OPI[ESTADO],"Desembolsado")</f>
        <v>24</v>
      </c>
      <c r="G5" s="20">
        <f>IFERROR(F4/E4,"")</f>
        <v>0.870775</v>
      </c>
      <c r="H5" s="19">
        <f>COUNTIFS(OPI[ESTADO],H$3)</f>
        <v>0</v>
      </c>
      <c r="I5" s="19">
        <f>COUNTIFS(OPI[ESTADO],I$3)</f>
        <v>0</v>
      </c>
      <c r="J5" s="19">
        <f>COUNTIFS(OPI[ESTADO],J$3)</f>
        <v>0</v>
      </c>
      <c r="K5" s="19">
        <f>COUNTIFS(OPI[ESTADO],K$3)</f>
        <v>0</v>
      </c>
      <c r="L5" s="19">
        <f>COUNTIFS(OPI[ESTADO],L$3)</f>
        <v>0</v>
      </c>
      <c r="M5" s="19">
        <f>COUNTIFS(OPI[ESTADO],M$3)</f>
        <v>0</v>
      </c>
      <c r="N5" s="19">
        <f>COUNTIFS(OPI[ESTADO],N$3)</f>
        <v>0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5" t="s">
        <v>51</v>
      </c>
      <c r="C10" s="26"/>
      <c r="D10" s="27" t="s">
        <v>53</v>
      </c>
      <c r="E10" s="26">
        <v>46234.0</v>
      </c>
      <c r="F10" s="26">
        <v>46237.0</v>
      </c>
      <c r="G10" s="28" t="s">
        <v>54</v>
      </c>
      <c r="H10" s="28" t="s">
        <v>55</v>
      </c>
      <c r="I10" s="25" t="s">
        <v>56</v>
      </c>
      <c r="J10" s="27" t="s">
        <v>19</v>
      </c>
      <c r="K10" s="29">
        <v>95000.0</v>
      </c>
      <c r="L10" s="25" t="s">
        <v>58</v>
      </c>
      <c r="M10" s="27"/>
      <c r="N10" s="30"/>
      <c r="O10" s="27"/>
      <c r="P10" s="32"/>
      <c r="Q10" s="34"/>
    </row>
    <row r="11" ht="22.5" customHeight="1">
      <c r="B11" s="25" t="s">
        <v>62</v>
      </c>
      <c r="C11" s="26"/>
      <c r="D11" s="27" t="s">
        <v>53</v>
      </c>
      <c r="E11" s="26">
        <v>46241.0</v>
      </c>
      <c r="F11" s="26">
        <v>46244.0</v>
      </c>
      <c r="G11" s="28" t="s">
        <v>65</v>
      </c>
      <c r="H11" s="28" t="s">
        <v>66</v>
      </c>
      <c r="I11" s="25" t="s">
        <v>56</v>
      </c>
      <c r="J11" s="27" t="s">
        <v>19</v>
      </c>
      <c r="K11" s="29">
        <v>80300.0</v>
      </c>
      <c r="L11" s="25" t="s">
        <v>68</v>
      </c>
      <c r="M11" s="44"/>
      <c r="N11" s="30"/>
      <c r="O11" s="32"/>
      <c r="P11" s="32"/>
      <c r="Q11" s="34"/>
    </row>
    <row r="12" ht="22.5" customHeight="1">
      <c r="B12" s="25"/>
      <c r="C12" s="26">
        <v>46244.0</v>
      </c>
      <c r="D12" s="27" t="s">
        <v>53</v>
      </c>
      <c r="E12" s="26">
        <v>46245.0</v>
      </c>
      <c r="F12" s="26">
        <v>46246.0</v>
      </c>
      <c r="G12" s="28" t="s">
        <v>71</v>
      </c>
      <c r="H12" s="28" t="s">
        <v>72</v>
      </c>
      <c r="I12" s="25" t="s">
        <v>73</v>
      </c>
      <c r="J12" s="27" t="s">
        <v>19</v>
      </c>
      <c r="K12" s="29">
        <v>68700.0</v>
      </c>
      <c r="L12" s="25" t="s">
        <v>68</v>
      </c>
      <c r="M12" s="44"/>
      <c r="N12" s="34"/>
      <c r="O12" s="32"/>
      <c r="P12" s="32"/>
      <c r="Q12" s="34"/>
    </row>
    <row r="13" ht="22.5" customHeight="1">
      <c r="B13" s="25" t="s">
        <v>51</v>
      </c>
      <c r="C13" s="26"/>
      <c r="D13" s="58" t="s">
        <v>53</v>
      </c>
      <c r="E13" s="26">
        <v>46244.0</v>
      </c>
      <c r="F13" s="26">
        <v>46245.0</v>
      </c>
      <c r="G13" s="28" t="s">
        <v>84</v>
      </c>
      <c r="H13" s="28" t="s">
        <v>85</v>
      </c>
      <c r="I13" s="25" t="s">
        <v>56</v>
      </c>
      <c r="J13" s="27" t="s">
        <v>19</v>
      </c>
      <c r="K13" s="29">
        <v>83000.0</v>
      </c>
      <c r="L13" s="25" t="s">
        <v>68</v>
      </c>
      <c r="M13" s="44"/>
      <c r="N13" s="34"/>
      <c r="O13" s="32"/>
      <c r="P13" s="32"/>
      <c r="Q13" s="34"/>
    </row>
    <row r="14" ht="22.5" customHeight="1">
      <c r="B14" s="25"/>
      <c r="C14" s="26">
        <v>46241.0</v>
      </c>
      <c r="D14" s="27" t="s">
        <v>53</v>
      </c>
      <c r="E14" s="26">
        <v>46245.0</v>
      </c>
      <c r="F14" s="26">
        <v>46246.0</v>
      </c>
      <c r="G14" s="28" t="s">
        <v>94</v>
      </c>
      <c r="H14" s="28" t="s">
        <v>95</v>
      </c>
      <c r="I14" s="25" t="s">
        <v>56</v>
      </c>
      <c r="J14" s="27" t="s">
        <v>19</v>
      </c>
      <c r="K14" s="29">
        <v>75400.0</v>
      </c>
      <c r="L14" s="25" t="s">
        <v>68</v>
      </c>
      <c r="M14" s="44"/>
      <c r="N14" s="30"/>
      <c r="O14" s="32"/>
      <c r="P14" s="32"/>
      <c r="Q14" s="34"/>
    </row>
    <row r="15" ht="22.5" customHeight="1">
      <c r="B15" s="25"/>
      <c r="C15" s="26">
        <v>46244.0</v>
      </c>
      <c r="D15" s="27" t="s">
        <v>53</v>
      </c>
      <c r="E15" s="26">
        <v>46245.0</v>
      </c>
      <c r="F15" s="26">
        <v>46247.0</v>
      </c>
      <c r="G15" s="28" t="s">
        <v>103</v>
      </c>
      <c r="H15" s="28" t="s">
        <v>104</v>
      </c>
      <c r="I15" s="25" t="s">
        <v>56</v>
      </c>
      <c r="J15" s="27" t="s">
        <v>19</v>
      </c>
      <c r="K15" s="29">
        <v>20000.0</v>
      </c>
      <c r="L15" s="25" t="s">
        <v>58</v>
      </c>
      <c r="M15" s="32"/>
      <c r="N15" s="34"/>
      <c r="O15" s="32"/>
      <c r="P15" s="32"/>
      <c r="Q15" s="34"/>
    </row>
    <row r="16" ht="22.5" customHeight="1">
      <c r="B16" s="25"/>
      <c r="C16" s="26">
        <v>46245.0</v>
      </c>
      <c r="D16" s="27" t="s">
        <v>53</v>
      </c>
      <c r="E16" s="26">
        <v>46247.0</v>
      </c>
      <c r="F16" s="26">
        <v>46251.0</v>
      </c>
      <c r="G16" s="28" t="s">
        <v>111</v>
      </c>
      <c r="H16" s="28" t="s">
        <v>112</v>
      </c>
      <c r="I16" s="25" t="s">
        <v>113</v>
      </c>
      <c r="J16" s="27" t="s">
        <v>19</v>
      </c>
      <c r="K16" s="29">
        <v>92400.0</v>
      </c>
      <c r="L16" s="25" t="s">
        <v>68</v>
      </c>
      <c r="M16" s="44"/>
      <c r="N16" s="34"/>
      <c r="O16" s="32"/>
      <c r="P16" s="32"/>
      <c r="Q16" s="34"/>
    </row>
    <row r="17" ht="22.5" customHeight="1">
      <c r="B17" s="25"/>
      <c r="C17" s="26">
        <v>46245.0</v>
      </c>
      <c r="D17" s="27" t="s">
        <v>53</v>
      </c>
      <c r="E17" s="26">
        <v>46247.0</v>
      </c>
      <c r="F17" s="26">
        <v>46248.0</v>
      </c>
      <c r="G17" s="28" t="s">
        <v>119</v>
      </c>
      <c r="H17" s="28" t="s">
        <v>121</v>
      </c>
      <c r="I17" s="25" t="s">
        <v>113</v>
      </c>
      <c r="J17" s="27" t="s">
        <v>19</v>
      </c>
      <c r="K17" s="29">
        <v>49000.0</v>
      </c>
      <c r="L17" s="25" t="s">
        <v>68</v>
      </c>
      <c r="M17" s="44"/>
      <c r="N17" s="34"/>
      <c r="O17" s="32"/>
      <c r="P17" s="32"/>
      <c r="Q17" s="34"/>
    </row>
    <row r="18" ht="22.5" customHeight="1">
      <c r="B18" s="25"/>
      <c r="C18" s="26">
        <v>46245.0</v>
      </c>
      <c r="D18" s="27" t="s">
        <v>53</v>
      </c>
      <c r="E18" s="26">
        <v>46247.0</v>
      </c>
      <c r="F18" s="26">
        <v>46251.0</v>
      </c>
      <c r="G18" s="28" t="s">
        <v>126</v>
      </c>
      <c r="H18" s="28" t="s">
        <v>127</v>
      </c>
      <c r="I18" s="25" t="s">
        <v>113</v>
      </c>
      <c r="J18" s="27" t="s">
        <v>19</v>
      </c>
      <c r="K18" s="29">
        <v>75500.0</v>
      </c>
      <c r="L18" s="25" t="s">
        <v>68</v>
      </c>
      <c r="M18" s="32"/>
      <c r="N18" s="34"/>
      <c r="O18" s="32"/>
      <c r="P18" s="32"/>
      <c r="Q18" s="34"/>
    </row>
    <row r="19" ht="22.5" customHeight="1">
      <c r="B19" s="25"/>
      <c r="C19" s="26">
        <v>46245.0</v>
      </c>
      <c r="D19" s="27" t="s">
        <v>53</v>
      </c>
      <c r="E19" s="26">
        <v>46247.0</v>
      </c>
      <c r="F19" s="26">
        <v>46251.0</v>
      </c>
      <c r="G19" s="28" t="s">
        <v>135</v>
      </c>
      <c r="H19" s="28" t="s">
        <v>136</v>
      </c>
      <c r="I19" s="25" t="s">
        <v>73</v>
      </c>
      <c r="J19" s="27" t="s">
        <v>19</v>
      </c>
      <c r="K19" s="29">
        <v>85500.0</v>
      </c>
      <c r="L19" s="25" t="s">
        <v>139</v>
      </c>
      <c r="M19" s="32"/>
      <c r="N19" s="34"/>
      <c r="O19" s="32"/>
      <c r="P19" s="32"/>
      <c r="Q19" s="34"/>
    </row>
    <row r="20" ht="22.5" customHeight="1">
      <c r="B20" s="25"/>
      <c r="C20" s="26">
        <v>46247.0</v>
      </c>
      <c r="D20" s="27" t="s">
        <v>53</v>
      </c>
      <c r="E20" s="26">
        <v>46248.0</v>
      </c>
      <c r="F20" s="26">
        <v>46251.0</v>
      </c>
      <c r="G20" s="28" t="s">
        <v>145</v>
      </c>
      <c r="H20" s="28" t="s">
        <v>146</v>
      </c>
      <c r="I20" s="25" t="s">
        <v>56</v>
      </c>
      <c r="J20" s="27" t="s">
        <v>19</v>
      </c>
      <c r="K20" s="29">
        <v>82300.0</v>
      </c>
      <c r="L20" s="25" t="s">
        <v>58</v>
      </c>
      <c r="M20" s="32"/>
      <c r="N20" s="34"/>
      <c r="O20" s="32"/>
      <c r="P20" s="32"/>
      <c r="Q20" s="34"/>
    </row>
    <row r="21" ht="22.5" customHeight="1">
      <c r="B21" s="25"/>
      <c r="C21" s="26">
        <v>46247.0</v>
      </c>
      <c r="D21" s="27" t="s">
        <v>53</v>
      </c>
      <c r="E21" s="26">
        <v>46248.0</v>
      </c>
      <c r="F21" s="26">
        <v>46258.0</v>
      </c>
      <c r="G21" s="28" t="s">
        <v>151</v>
      </c>
      <c r="H21" s="28" t="s">
        <v>153</v>
      </c>
      <c r="I21" s="25" t="s">
        <v>56</v>
      </c>
      <c r="J21" s="27" t="s">
        <v>19</v>
      </c>
      <c r="K21" s="29">
        <v>77500.0</v>
      </c>
      <c r="L21" s="25" t="s">
        <v>58</v>
      </c>
      <c r="M21" s="32"/>
      <c r="N21" s="34"/>
      <c r="O21" s="32"/>
      <c r="P21" s="32"/>
      <c r="Q21" s="34"/>
    </row>
    <row r="22" ht="22.5" customHeight="1">
      <c r="B22" s="25"/>
      <c r="C22" s="26">
        <v>46247.0</v>
      </c>
      <c r="D22" s="27" t="s">
        <v>53</v>
      </c>
      <c r="E22" s="26">
        <v>46251.0</v>
      </c>
      <c r="F22" s="26">
        <v>46252.0</v>
      </c>
      <c r="G22" s="28" t="s">
        <v>159</v>
      </c>
      <c r="H22" s="28" t="s">
        <v>160</v>
      </c>
      <c r="I22" s="25" t="s">
        <v>56</v>
      </c>
      <c r="J22" s="27" t="s">
        <v>19</v>
      </c>
      <c r="K22" s="29">
        <v>81500.0</v>
      </c>
      <c r="L22" s="25" t="s">
        <v>68</v>
      </c>
      <c r="M22" s="32"/>
      <c r="N22" s="34"/>
      <c r="O22" s="32"/>
      <c r="P22" s="32"/>
      <c r="Q22" s="25"/>
    </row>
    <row r="23" ht="22.5" customHeight="1">
      <c r="B23" s="25"/>
      <c r="C23" s="26">
        <v>46247.0</v>
      </c>
      <c r="D23" s="27" t="s">
        <v>53</v>
      </c>
      <c r="E23" s="26">
        <v>46251.0</v>
      </c>
      <c r="F23" s="26">
        <v>46253.0</v>
      </c>
      <c r="G23" s="28" t="s">
        <v>164</v>
      </c>
      <c r="H23" s="28" t="s">
        <v>165</v>
      </c>
      <c r="I23" s="25" t="s">
        <v>56</v>
      </c>
      <c r="J23" s="27" t="s">
        <v>19</v>
      </c>
      <c r="K23" s="29">
        <v>51500.0</v>
      </c>
      <c r="L23" s="25" t="s">
        <v>68</v>
      </c>
      <c r="M23" s="32"/>
      <c r="N23" s="34"/>
      <c r="O23" s="32"/>
      <c r="P23" s="32"/>
      <c r="Q23" s="34"/>
    </row>
    <row r="24" ht="22.5" customHeight="1">
      <c r="B24" s="25"/>
      <c r="C24" s="26">
        <v>46251.0</v>
      </c>
      <c r="D24" s="27" t="s">
        <v>53</v>
      </c>
      <c r="E24" s="26">
        <v>46252.0</v>
      </c>
      <c r="F24" s="26">
        <v>46253.0</v>
      </c>
      <c r="G24" s="28" t="s">
        <v>176</v>
      </c>
      <c r="H24" s="28" t="s">
        <v>177</v>
      </c>
      <c r="I24" s="25" t="s">
        <v>73</v>
      </c>
      <c r="J24" s="27" t="s">
        <v>19</v>
      </c>
      <c r="K24" s="29">
        <v>85000.0</v>
      </c>
      <c r="L24" s="25" t="s">
        <v>139</v>
      </c>
      <c r="M24" s="32"/>
      <c r="N24" s="34"/>
      <c r="O24" s="32"/>
      <c r="P24" s="32"/>
      <c r="Q24" s="34"/>
    </row>
    <row r="25" ht="22.5" customHeight="1">
      <c r="B25" s="25"/>
      <c r="C25" s="26">
        <v>46252.0</v>
      </c>
      <c r="D25" s="27" t="s">
        <v>53</v>
      </c>
      <c r="E25" s="26">
        <v>46253.0</v>
      </c>
      <c r="F25" s="26">
        <v>46259.0</v>
      </c>
      <c r="G25" s="28" t="s">
        <v>182</v>
      </c>
      <c r="H25" s="28" t="s">
        <v>183</v>
      </c>
      <c r="I25" s="25" t="s">
        <v>56</v>
      </c>
      <c r="J25" s="27" t="s">
        <v>19</v>
      </c>
      <c r="K25" s="29">
        <v>77300.0</v>
      </c>
      <c r="L25" s="25" t="s">
        <v>184</v>
      </c>
      <c r="M25" s="32"/>
      <c r="N25" s="34"/>
      <c r="O25" s="32"/>
      <c r="P25" s="32"/>
      <c r="Q25" s="34"/>
    </row>
    <row r="26" ht="22.5" customHeight="1">
      <c r="B26" s="25"/>
      <c r="C26" s="26">
        <v>46251.0</v>
      </c>
      <c r="D26" s="27" t="s">
        <v>53</v>
      </c>
      <c r="E26" s="26">
        <v>46253.0</v>
      </c>
      <c r="F26" s="26">
        <v>46259.0</v>
      </c>
      <c r="G26" s="28" t="s">
        <v>189</v>
      </c>
      <c r="H26" s="28" t="s">
        <v>190</v>
      </c>
      <c r="I26" s="25" t="s">
        <v>193</v>
      </c>
      <c r="J26" s="27" t="s">
        <v>19</v>
      </c>
      <c r="K26" s="29">
        <v>66200.0</v>
      </c>
      <c r="L26" s="25" t="s">
        <v>68</v>
      </c>
      <c r="M26" s="32"/>
      <c r="N26" s="34"/>
      <c r="O26" s="32"/>
      <c r="P26" s="32"/>
      <c r="Q26" s="34"/>
    </row>
    <row r="27" ht="22.5" customHeight="1">
      <c r="B27" s="25"/>
      <c r="C27" s="26">
        <v>46253.0</v>
      </c>
      <c r="D27" s="27" t="s">
        <v>53</v>
      </c>
      <c r="E27" s="26">
        <v>46258.0</v>
      </c>
      <c r="F27" s="26">
        <v>46260.0</v>
      </c>
      <c r="G27" s="28" t="s">
        <v>196</v>
      </c>
      <c r="H27" s="28" t="s">
        <v>198</v>
      </c>
      <c r="I27" s="25" t="s">
        <v>193</v>
      </c>
      <c r="J27" s="27" t="s">
        <v>19</v>
      </c>
      <c r="K27" s="29">
        <v>62300.0</v>
      </c>
      <c r="L27" s="25" t="s">
        <v>68</v>
      </c>
      <c r="M27" s="32"/>
      <c r="N27" s="34"/>
      <c r="O27" s="32"/>
      <c r="P27" s="32"/>
      <c r="Q27" s="25"/>
    </row>
    <row r="28" ht="22.5" customHeight="1">
      <c r="B28" s="25"/>
      <c r="C28" s="26">
        <v>46254.0</v>
      </c>
      <c r="D28" s="27" t="s">
        <v>53</v>
      </c>
      <c r="E28" s="26">
        <v>46255.0</v>
      </c>
      <c r="F28" s="26">
        <v>46258.0</v>
      </c>
      <c r="G28" s="28" t="s">
        <v>208</v>
      </c>
      <c r="H28" s="28" t="s">
        <v>209</v>
      </c>
      <c r="I28" s="25" t="s">
        <v>73</v>
      </c>
      <c r="J28" s="27" t="s">
        <v>19</v>
      </c>
      <c r="K28" s="29">
        <v>45000.0</v>
      </c>
      <c r="L28" s="25" t="s">
        <v>68</v>
      </c>
      <c r="M28" s="32"/>
      <c r="N28" s="34"/>
      <c r="O28" s="32"/>
      <c r="P28" s="32"/>
      <c r="Q28" s="34"/>
    </row>
    <row r="29" ht="22.5" customHeight="1">
      <c r="B29" s="25"/>
      <c r="C29" s="26">
        <v>46259.0</v>
      </c>
      <c r="D29" s="27" t="s">
        <v>53</v>
      </c>
      <c r="E29" s="26">
        <v>46260.0</v>
      </c>
      <c r="F29" s="26">
        <v>46261.0</v>
      </c>
      <c r="G29" s="28" t="s">
        <v>219</v>
      </c>
      <c r="H29" s="28" t="s">
        <v>220</v>
      </c>
      <c r="I29" s="25" t="s">
        <v>73</v>
      </c>
      <c r="J29" s="27" t="s">
        <v>19</v>
      </c>
      <c r="K29" s="29">
        <v>114300.0</v>
      </c>
      <c r="L29" s="25" t="s">
        <v>68</v>
      </c>
      <c r="M29" s="32"/>
      <c r="N29" s="34"/>
      <c r="O29" s="32"/>
      <c r="P29" s="32"/>
      <c r="Q29" s="34"/>
    </row>
    <row r="30" ht="22.5" customHeight="1">
      <c r="B30" s="25"/>
      <c r="C30" s="26">
        <v>46259.0</v>
      </c>
      <c r="D30" s="27" t="s">
        <v>53</v>
      </c>
      <c r="E30" s="26">
        <v>46261.0</v>
      </c>
      <c r="F30" s="132">
        <v>46262.0</v>
      </c>
      <c r="G30" s="28" t="s">
        <v>229</v>
      </c>
      <c r="H30" s="28" t="s">
        <v>231</v>
      </c>
      <c r="I30" s="25" t="s">
        <v>73</v>
      </c>
      <c r="J30" s="27" t="s">
        <v>19</v>
      </c>
      <c r="K30" s="29">
        <v>82150.0</v>
      </c>
      <c r="L30" s="25" t="s">
        <v>139</v>
      </c>
      <c r="M30" s="32"/>
      <c r="N30" s="34"/>
      <c r="O30" s="32"/>
      <c r="P30" s="32"/>
      <c r="Q30" s="34"/>
    </row>
    <row r="31" ht="22.5" customHeight="1">
      <c r="B31" s="25"/>
      <c r="C31" s="26">
        <v>46260.0</v>
      </c>
      <c r="D31" s="27" t="s">
        <v>53</v>
      </c>
      <c r="E31" s="26">
        <v>46261.0</v>
      </c>
      <c r="F31" s="26">
        <v>46262.0</v>
      </c>
      <c r="G31" s="28" t="s">
        <v>246</v>
      </c>
      <c r="H31" s="28" t="s">
        <v>248</v>
      </c>
      <c r="I31" s="25" t="s">
        <v>56</v>
      </c>
      <c r="J31" s="27" t="s">
        <v>19</v>
      </c>
      <c r="K31" s="29">
        <v>69500.0</v>
      </c>
      <c r="L31" s="25" t="s">
        <v>68</v>
      </c>
      <c r="M31" s="32"/>
      <c r="N31" s="34"/>
      <c r="O31" s="32"/>
      <c r="P31" s="32"/>
      <c r="Q31" s="25"/>
    </row>
    <row r="32" ht="22.5" customHeight="1">
      <c r="B32" s="25"/>
      <c r="C32" s="26">
        <v>46260.0</v>
      </c>
      <c r="D32" s="27" t="s">
        <v>53</v>
      </c>
      <c r="E32" s="26">
        <v>46262.0</v>
      </c>
      <c r="F32" s="26">
        <v>46262.0</v>
      </c>
      <c r="G32" s="28" t="s">
        <v>257</v>
      </c>
      <c r="H32" s="28" t="s">
        <v>258</v>
      </c>
      <c r="I32" s="25" t="s">
        <v>73</v>
      </c>
      <c r="J32" s="27" t="s">
        <v>19</v>
      </c>
      <c r="K32" s="29">
        <v>49200.0</v>
      </c>
      <c r="L32" s="25" t="s">
        <v>139</v>
      </c>
      <c r="M32" s="32"/>
      <c r="N32" s="34"/>
      <c r="O32" s="32"/>
      <c r="P32" s="32"/>
      <c r="Q32" s="34"/>
    </row>
    <row r="33" ht="22.5" customHeight="1">
      <c r="B33" s="25"/>
      <c r="C33" s="26">
        <v>46260.0</v>
      </c>
      <c r="D33" s="27" t="s">
        <v>53</v>
      </c>
      <c r="E33" s="26">
        <v>46261.0</v>
      </c>
      <c r="F33" s="26">
        <v>46262.0</v>
      </c>
      <c r="G33" s="28" t="s">
        <v>266</v>
      </c>
      <c r="H33" s="28" t="s">
        <v>267</v>
      </c>
      <c r="I33" s="25" t="s">
        <v>56</v>
      </c>
      <c r="J33" s="27" t="s">
        <v>19</v>
      </c>
      <c r="K33" s="29">
        <v>73000.0</v>
      </c>
      <c r="L33" s="25" t="s">
        <v>68</v>
      </c>
      <c r="M33" s="32"/>
      <c r="N33" s="34"/>
      <c r="O33" s="32"/>
      <c r="P33" s="32"/>
      <c r="Q33" s="34"/>
    </row>
    <row r="34" ht="22.5" customHeight="1">
      <c r="B34" s="25"/>
      <c r="C34" s="26"/>
      <c r="D34" s="44"/>
      <c r="E34" s="26"/>
      <c r="F34" s="26"/>
      <c r="G34" s="28"/>
      <c r="H34" s="28" t="s">
        <v>278</v>
      </c>
      <c r="I34" s="25"/>
      <c r="J34" s="44"/>
      <c r="K34" s="29"/>
      <c r="L34" s="25"/>
      <c r="M34" s="32"/>
      <c r="N34" s="34"/>
      <c r="O34" s="32"/>
      <c r="P34" s="32"/>
      <c r="Q34" s="34"/>
    </row>
    <row r="35" ht="22.5" customHeight="1">
      <c r="B35" s="25"/>
      <c r="C35" s="26"/>
      <c r="D35" s="44"/>
      <c r="E35" s="26"/>
      <c r="F35" s="26"/>
      <c r="G35" s="28"/>
      <c r="H35" s="28" t="s">
        <v>278</v>
      </c>
      <c r="I35" s="25"/>
      <c r="J35" s="44"/>
      <c r="K35" s="29"/>
      <c r="L35" s="25"/>
      <c r="M35" s="32"/>
      <c r="N35" s="34"/>
      <c r="O35" s="32"/>
      <c r="P35" s="32"/>
      <c r="Q35" s="34"/>
    </row>
    <row r="36" ht="22.5" customHeight="1">
      <c r="B36" s="25"/>
      <c r="C36" s="26"/>
      <c r="D36" s="44"/>
      <c r="E36" s="26"/>
      <c r="F36" s="26"/>
      <c r="G36" s="28"/>
      <c r="H36" s="28" t="s">
        <v>278</v>
      </c>
      <c r="I36" s="25"/>
      <c r="J36" s="44"/>
      <c r="K36" s="29"/>
      <c r="L36" s="25"/>
      <c r="M36" s="32"/>
      <c r="N36" s="34"/>
      <c r="O36" s="32"/>
      <c r="P36" s="32"/>
      <c r="Q36" s="34"/>
    </row>
    <row r="37" ht="22.5" customHeight="1">
      <c r="B37" s="25"/>
      <c r="C37" s="26"/>
      <c r="D37" s="44"/>
      <c r="E37" s="26"/>
      <c r="F37" s="26"/>
      <c r="G37" s="28"/>
      <c r="H37" s="28" t="s">
        <v>278</v>
      </c>
      <c r="I37" s="25"/>
      <c r="J37" s="44"/>
      <c r="K37" s="29"/>
      <c r="L37" s="25"/>
      <c r="M37" s="32"/>
      <c r="N37" s="34"/>
      <c r="O37" s="32"/>
      <c r="P37" s="32"/>
      <c r="Q37" s="34"/>
    </row>
    <row r="38" ht="22.5" customHeight="1">
      <c r="B38" s="25"/>
      <c r="C38" s="26"/>
      <c r="D38" s="44"/>
      <c r="E38" s="26"/>
      <c r="F38" s="26"/>
      <c r="G38" s="28"/>
      <c r="H38" s="28" t="s">
        <v>278</v>
      </c>
      <c r="I38" s="25"/>
      <c r="J38" s="44"/>
      <c r="K38" s="29"/>
      <c r="L38" s="25"/>
      <c r="M38" s="32"/>
      <c r="N38" s="34"/>
      <c r="O38" s="32"/>
      <c r="P38" s="32"/>
      <c r="Q38" s="34"/>
    </row>
    <row r="39" ht="22.5" customHeight="1">
      <c r="B39" s="34"/>
      <c r="C39" s="26"/>
      <c r="D39" s="44"/>
      <c r="E39" s="26"/>
      <c r="F39" s="26"/>
      <c r="G39" s="28"/>
      <c r="H39" s="28"/>
      <c r="I39" s="25"/>
      <c r="J39" s="44"/>
      <c r="K39" s="29"/>
      <c r="L39" s="25"/>
      <c r="M39" s="32"/>
      <c r="N39" s="34"/>
      <c r="O39" s="32"/>
      <c r="P39" s="32"/>
      <c r="Q39" s="34"/>
    </row>
    <row r="40" ht="22.5" customHeight="1">
      <c r="B40" s="34"/>
      <c r="C40" s="26"/>
      <c r="D40" s="27"/>
      <c r="E40" s="26"/>
      <c r="F40" s="26"/>
      <c r="G40" s="28"/>
      <c r="H40" s="28"/>
      <c r="I40" s="25"/>
      <c r="J40" s="27"/>
      <c r="K40" s="29"/>
      <c r="L40" s="25"/>
      <c r="M40" s="32"/>
      <c r="N40" s="34"/>
      <c r="O40" s="32"/>
      <c r="P40" s="32"/>
      <c r="Q40" s="34"/>
    </row>
    <row r="41" ht="22.5" customHeight="1">
      <c r="B41" s="34"/>
      <c r="C41" s="26"/>
      <c r="D41" s="27"/>
      <c r="E41" s="26"/>
      <c r="F41" s="26"/>
      <c r="G41" s="28"/>
      <c r="H41" s="28"/>
      <c r="I41" s="25"/>
      <c r="J41" s="27"/>
      <c r="K41" s="29"/>
      <c r="L41" s="25"/>
      <c r="M41" s="32"/>
      <c r="N41" s="34"/>
      <c r="O41" s="32"/>
      <c r="P41" s="32"/>
      <c r="Q41" s="34"/>
    </row>
    <row r="42" ht="22.5" customHeight="1">
      <c r="B42" s="34"/>
      <c r="C42" s="26"/>
      <c r="D42" s="27"/>
      <c r="E42" s="26"/>
      <c r="F42" s="26"/>
      <c r="G42" s="28"/>
      <c r="H42" s="28"/>
      <c r="I42" s="25"/>
      <c r="J42" s="27"/>
      <c r="K42" s="29"/>
      <c r="L42" s="25"/>
      <c r="M42" s="32"/>
      <c r="N42" s="34"/>
      <c r="O42" s="32"/>
      <c r="P42" s="32"/>
      <c r="Q42" s="34"/>
    </row>
    <row r="43" ht="22.5" customHeight="1">
      <c r="B43" s="34"/>
      <c r="C43" s="26"/>
      <c r="D43" s="27"/>
      <c r="E43" s="26"/>
      <c r="F43" s="26"/>
      <c r="G43" s="28"/>
      <c r="H43" s="28"/>
      <c r="I43" s="25"/>
      <c r="J43" s="27"/>
      <c r="K43" s="29"/>
      <c r="L43" s="25"/>
      <c r="M43" s="32"/>
      <c r="N43" s="34"/>
      <c r="O43" s="32"/>
      <c r="P43" s="32"/>
      <c r="Q43" s="34"/>
    </row>
    <row r="44" ht="22.5" customHeight="1">
      <c r="B44" s="25"/>
      <c r="C44" s="26"/>
      <c r="D44" s="27"/>
      <c r="E44" s="26"/>
      <c r="F44" s="26"/>
      <c r="G44" s="28"/>
      <c r="H44" s="28"/>
      <c r="I44" s="25"/>
      <c r="J44" s="27"/>
      <c r="K44" s="29"/>
      <c r="L44" s="25"/>
      <c r="M44" s="32"/>
      <c r="N44" s="34"/>
      <c r="O44" s="32"/>
      <c r="P44" s="32"/>
      <c r="Q44" s="34"/>
    </row>
    <row r="45" ht="22.5" customHeight="1">
      <c r="B45" s="25"/>
      <c r="C45" s="26"/>
      <c r="D45" s="27"/>
      <c r="E45" s="26"/>
      <c r="F45" s="26"/>
      <c r="G45" s="28"/>
      <c r="H45" s="28"/>
      <c r="I45" s="25"/>
      <c r="J45" s="27"/>
      <c r="K45" s="29"/>
      <c r="L45" s="25"/>
      <c r="M45" s="32"/>
      <c r="N45" s="34"/>
      <c r="O45" s="32"/>
      <c r="P45" s="32"/>
      <c r="Q45" s="34"/>
    </row>
    <row r="46" ht="22.5" customHeight="1">
      <c r="B46" s="34"/>
      <c r="C46" s="137"/>
      <c r="D46" s="44"/>
      <c r="E46" s="137"/>
      <c r="F46" s="137"/>
      <c r="G46" s="176"/>
      <c r="H46" s="176"/>
      <c r="I46" s="34"/>
      <c r="J46" s="32"/>
      <c r="K46" s="177"/>
      <c r="L46" s="34"/>
      <c r="M46" s="32"/>
      <c r="N46" s="34"/>
      <c r="O46" s="32"/>
      <c r="P46" s="32"/>
      <c r="Q46" s="34"/>
    </row>
    <row r="47" ht="22.5" customHeight="1">
      <c r="B47" s="34"/>
      <c r="C47" s="137"/>
      <c r="D47" s="44"/>
      <c r="E47" s="137"/>
      <c r="F47" s="137"/>
      <c r="G47" s="176"/>
      <c r="H47" s="176"/>
      <c r="I47" s="34"/>
      <c r="J47" s="32"/>
      <c r="K47" s="177"/>
      <c r="L47" s="34"/>
      <c r="M47" s="32"/>
      <c r="N47" s="34"/>
      <c r="O47" s="32"/>
      <c r="P47" s="32"/>
      <c r="Q47" s="34"/>
    </row>
    <row r="48" ht="22.5" customHeight="1">
      <c r="B48" s="34"/>
      <c r="C48" s="137"/>
      <c r="D48" s="44"/>
      <c r="E48" s="137"/>
      <c r="F48" s="137"/>
      <c r="G48" s="176"/>
      <c r="H48" s="176"/>
      <c r="I48" s="34"/>
      <c r="J48" s="32"/>
      <c r="K48" s="177"/>
      <c r="L48" s="34"/>
      <c r="M48" s="32"/>
      <c r="N48" s="34"/>
      <c r="O48" s="32"/>
      <c r="P48" s="32"/>
      <c r="Q48" s="34"/>
    </row>
    <row r="49" ht="22.5" customHeight="1">
      <c r="B49" s="34"/>
      <c r="C49" s="137"/>
      <c r="D49" s="44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32"/>
      <c r="P49" s="32"/>
      <c r="Q49" s="34"/>
    </row>
    <row r="50" ht="22.5" customHeight="1">
      <c r="B50" s="34"/>
      <c r="C50" s="137"/>
      <c r="D50" s="44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32"/>
      <c r="P50" s="32"/>
      <c r="Q50" s="34"/>
    </row>
    <row r="51" ht="22.5" customHeight="1">
      <c r="B51" s="34"/>
      <c r="C51" s="137"/>
      <c r="D51" s="44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32"/>
      <c r="P51" s="32"/>
      <c r="Q51" s="34"/>
    </row>
    <row r="52" ht="22.5" customHeight="1">
      <c r="B52" s="34"/>
      <c r="C52" s="137"/>
      <c r="D52" s="44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N38 N40 Q40 N46:N47 N49 Q51 L52 N51:N52">
      <formula1>"Si,No"</formula1>
    </dataValidation>
    <dataValidation type="list" allowBlank="1" sqref="D10:D52">
      <formula1>"Enviada,Aprobada,Rechazada"</formula1>
    </dataValidation>
    <dataValidation type="list" allowBlank="1" sqref="I52">
      <formula1>"Pendiente De Documentar,Pendiente De Remesa,Pendiente de BackOffice,Evaluación BCP,Obs BackOffice,Obs BCP,Rechazado,Desembolsado"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15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1000000.0</v>
      </c>
      <c r="F4" s="15">
        <f>SUMIFS(OPI_11[MAF NETO],OPI_11[ESTADO],"Desembolsado")</f>
        <v>2108561</v>
      </c>
      <c r="G4" s="15">
        <f>F4-E4</f>
        <v>1108561</v>
      </c>
      <c r="H4" s="16">
        <f>SUMIFS(OPI_11[MAF NETO],OPI_11[ESTADO],H$3)</f>
        <v>0</v>
      </c>
      <c r="I4" s="16">
        <f>SUMIFS(OPI_11[MAF NETO],OPI_11[ESTADO],I$3)</f>
        <v>0</v>
      </c>
      <c r="J4" s="16">
        <f>SUMIFS(OPI_11[MAF NETO],OPI_11[ESTADO],J$3)</f>
        <v>0</v>
      </c>
      <c r="K4" s="16">
        <f>SUMIFS(OPI_11[MAF NETO],OPI_11[ESTADO],K$3)</f>
        <v>65000</v>
      </c>
      <c r="L4" s="16">
        <f>SUMIFS(OPI_11[MAF NETO],OPI_11[ESTADO],L$3)</f>
        <v>0</v>
      </c>
      <c r="M4" s="16">
        <f>SUMIFS(OPI_11[MAF NETO],OPI_11[ESTADO],M$3)</f>
        <v>151055</v>
      </c>
      <c r="N4" s="16">
        <f>SUMIFS(OPI_11[MAF NETO],OPI_11[ESTADO],N$3)</f>
        <v>809950</v>
      </c>
    </row>
    <row r="5" ht="26.25" customHeight="1">
      <c r="D5" s="17" t="s">
        <v>31</v>
      </c>
      <c r="E5" s="18" t="s">
        <v>32</v>
      </c>
      <c r="F5" s="19">
        <f>COUNTIFS(OPI_11[ESTADO],"Desembolsado")</f>
        <v>27</v>
      </c>
      <c r="G5" s="20">
        <f>IFERROR(F4/E4,"")</f>
        <v>2.108561</v>
      </c>
      <c r="H5" s="19">
        <f>COUNTIFS(OPI_11[ESTADO],H$3)</f>
        <v>0</v>
      </c>
      <c r="I5" s="19">
        <f>COUNTIFS(OPI_11[ESTADO],I$3)</f>
        <v>0</v>
      </c>
      <c r="J5" s="19">
        <f>COUNTIFS(OPI_11[ESTADO],J$3)</f>
        <v>0</v>
      </c>
      <c r="K5" s="19">
        <f>COUNTIFS(OPI_11[ESTADO],K$3)</f>
        <v>1</v>
      </c>
      <c r="L5" s="19">
        <f>COUNTIFS(OPI_11[ESTADO],L$3)</f>
        <v>0</v>
      </c>
      <c r="M5" s="19">
        <f>COUNTIFS(OPI_11[ESTADO],M$3)</f>
        <v>2</v>
      </c>
      <c r="N5" s="19">
        <f>COUNTIFS(OPI_11[ESTADO],N$3)</f>
        <v>11</v>
      </c>
    </row>
    <row r="9" ht="22.5" customHeight="1">
      <c r="A9" s="21"/>
      <c r="B9" s="22" t="s">
        <v>34</v>
      </c>
      <c r="C9" s="24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31"/>
      <c r="C10" s="33"/>
      <c r="D10" s="35" t="s">
        <v>53</v>
      </c>
      <c r="E10" s="33"/>
      <c r="F10" s="36"/>
      <c r="G10" s="37" t="s">
        <v>60</v>
      </c>
      <c r="H10" s="38" t="s">
        <v>61</v>
      </c>
      <c r="I10" s="39" t="s">
        <v>63</v>
      </c>
      <c r="J10" s="40" t="s">
        <v>19</v>
      </c>
      <c r="K10" s="41">
        <v>88300.0</v>
      </c>
      <c r="L10" s="42" t="s">
        <v>67</v>
      </c>
      <c r="M10" s="43"/>
      <c r="N10" s="45"/>
      <c r="O10" s="47"/>
      <c r="P10" s="47"/>
      <c r="Q10" s="45"/>
    </row>
    <row r="11" ht="22.5" customHeight="1">
      <c r="B11" s="31"/>
      <c r="C11" s="33"/>
      <c r="D11" s="35" t="s">
        <v>53</v>
      </c>
      <c r="E11" s="33"/>
      <c r="F11" s="36"/>
      <c r="G11" s="50" t="s">
        <v>77</v>
      </c>
      <c r="H11" s="52" t="s">
        <v>78</v>
      </c>
      <c r="I11" s="39" t="s">
        <v>80</v>
      </c>
      <c r="J11" s="40" t="s">
        <v>27</v>
      </c>
      <c r="K11" s="54">
        <v>79200.0</v>
      </c>
      <c r="L11" s="39" t="s">
        <v>67</v>
      </c>
      <c r="M11" s="43"/>
      <c r="N11" s="45"/>
      <c r="O11" s="47"/>
      <c r="P11" s="47"/>
      <c r="Q11" s="56" t="s">
        <v>82</v>
      </c>
    </row>
    <row r="12" ht="22.5" customHeight="1">
      <c r="B12" s="31"/>
      <c r="C12" s="33"/>
      <c r="D12" s="61" t="s">
        <v>53</v>
      </c>
      <c r="E12" s="62"/>
      <c r="F12" s="64"/>
      <c r="G12" s="65" t="s">
        <v>86</v>
      </c>
      <c r="H12" s="67" t="s">
        <v>87</v>
      </c>
      <c r="I12" s="57" t="s">
        <v>89</v>
      </c>
      <c r="J12" s="68" t="s">
        <v>19</v>
      </c>
      <c r="K12" s="70">
        <v>14822.0</v>
      </c>
      <c r="L12" s="57" t="s">
        <v>67</v>
      </c>
      <c r="M12" s="71"/>
      <c r="N12" s="45"/>
      <c r="O12" s="47"/>
      <c r="P12" s="47"/>
      <c r="Q12" s="45"/>
    </row>
    <row r="13" ht="22.5" customHeight="1">
      <c r="B13" s="72"/>
      <c r="C13" s="62"/>
      <c r="D13" s="61" t="s">
        <v>53</v>
      </c>
      <c r="E13" s="62"/>
      <c r="F13" s="62"/>
      <c r="G13" s="65" t="s">
        <v>91</v>
      </c>
      <c r="H13" s="67" t="s">
        <v>92</v>
      </c>
      <c r="I13" s="73" t="s">
        <v>56</v>
      </c>
      <c r="J13" s="68" t="s">
        <v>27</v>
      </c>
      <c r="K13" s="74">
        <v>72400.0</v>
      </c>
      <c r="L13" s="73" t="s">
        <v>67</v>
      </c>
      <c r="M13" s="71"/>
      <c r="N13" s="45"/>
      <c r="O13" s="47"/>
      <c r="P13" s="47"/>
      <c r="Q13" s="56"/>
    </row>
    <row r="14" ht="22.5" customHeight="1">
      <c r="B14" s="72"/>
      <c r="C14" s="62"/>
      <c r="D14" s="61" t="s">
        <v>53</v>
      </c>
      <c r="E14" s="62"/>
      <c r="F14" s="76"/>
      <c r="G14" s="77" t="s">
        <v>99</v>
      </c>
      <c r="H14" s="78" t="s">
        <v>100</v>
      </c>
      <c r="I14" s="73" t="s">
        <v>56</v>
      </c>
      <c r="J14" s="68" t="s">
        <v>19</v>
      </c>
      <c r="K14" s="74">
        <v>82250.0</v>
      </c>
      <c r="L14" s="73" t="s">
        <v>67</v>
      </c>
      <c r="M14" s="79" t="s">
        <v>101</v>
      </c>
      <c r="N14" s="45"/>
      <c r="O14" s="47"/>
      <c r="P14" s="47"/>
      <c r="Q14" s="56"/>
    </row>
    <row r="15" ht="22.5" customHeight="1">
      <c r="B15" s="72"/>
      <c r="C15" s="62"/>
      <c r="D15" s="61" t="s">
        <v>53</v>
      </c>
      <c r="E15" s="64"/>
      <c r="F15" s="64"/>
      <c r="G15" s="77" t="s">
        <v>105</v>
      </c>
      <c r="H15" s="82" t="s">
        <v>106</v>
      </c>
      <c r="I15" s="73" t="s">
        <v>56</v>
      </c>
      <c r="J15" s="83" t="s">
        <v>19</v>
      </c>
      <c r="K15" s="74">
        <v>80700.0</v>
      </c>
      <c r="L15" s="73" t="s">
        <v>67</v>
      </c>
      <c r="M15" s="79" t="s">
        <v>101</v>
      </c>
      <c r="N15" s="45"/>
      <c r="O15" s="47"/>
      <c r="P15" s="47"/>
      <c r="Q15" s="45"/>
    </row>
    <row r="16" ht="22.5" customHeight="1">
      <c r="B16" s="72"/>
      <c r="C16" s="62"/>
      <c r="D16" s="61" t="s">
        <v>53</v>
      </c>
      <c r="E16" s="64"/>
      <c r="F16" s="86"/>
      <c r="G16" s="87" t="s">
        <v>109</v>
      </c>
      <c r="H16" s="82" t="s">
        <v>110</v>
      </c>
      <c r="I16" s="73" t="s">
        <v>56</v>
      </c>
      <c r="J16" s="83" t="s">
        <v>19</v>
      </c>
      <c r="K16" s="74">
        <v>64050.0</v>
      </c>
      <c r="L16" s="73" t="s">
        <v>67</v>
      </c>
      <c r="M16" s="71"/>
      <c r="N16" s="45"/>
      <c r="O16" s="47"/>
      <c r="P16" s="47"/>
      <c r="Q16" s="56"/>
    </row>
    <row r="17" ht="22.5" customHeight="1">
      <c r="B17" s="72"/>
      <c r="C17" s="62"/>
      <c r="D17" s="61" t="s">
        <v>53</v>
      </c>
      <c r="E17" s="64"/>
      <c r="F17" s="86"/>
      <c r="G17" s="77" t="s">
        <v>117</v>
      </c>
      <c r="H17" s="96" t="s">
        <v>118</v>
      </c>
      <c r="I17" s="73" t="s">
        <v>56</v>
      </c>
      <c r="J17" s="83" t="s">
        <v>19</v>
      </c>
      <c r="K17" s="97">
        <v>68700.0</v>
      </c>
      <c r="L17" s="73" t="s">
        <v>67</v>
      </c>
      <c r="M17" s="71"/>
      <c r="N17" s="45"/>
      <c r="O17" s="47"/>
      <c r="P17" s="47"/>
      <c r="Q17" s="56"/>
    </row>
    <row r="18" ht="22.5" customHeight="1">
      <c r="B18" s="31"/>
      <c r="C18" s="33"/>
      <c r="D18" s="35" t="s">
        <v>53</v>
      </c>
      <c r="E18" s="33"/>
      <c r="F18" s="36"/>
      <c r="G18" s="98" t="s">
        <v>123</v>
      </c>
      <c r="H18" s="99" t="s">
        <v>124</v>
      </c>
      <c r="I18" s="39" t="s">
        <v>80</v>
      </c>
      <c r="J18" s="100" t="s">
        <v>19</v>
      </c>
      <c r="K18" s="41">
        <v>71100.0</v>
      </c>
      <c r="L18" s="101" t="s">
        <v>67</v>
      </c>
      <c r="M18" s="43"/>
      <c r="N18" s="45"/>
      <c r="O18" s="47"/>
      <c r="P18" s="47"/>
      <c r="Q18" s="45"/>
    </row>
    <row r="19" ht="22.5" customHeight="1">
      <c r="B19" s="72"/>
      <c r="C19" s="103">
        <v>46255.0</v>
      </c>
      <c r="D19" s="61" t="s">
        <v>53</v>
      </c>
      <c r="E19" s="62"/>
      <c r="F19" s="86"/>
      <c r="G19" s="105" t="s">
        <v>133</v>
      </c>
      <c r="H19" s="106" t="s">
        <v>134</v>
      </c>
      <c r="I19" s="73" t="s">
        <v>56</v>
      </c>
      <c r="J19" s="61" t="s">
        <v>19</v>
      </c>
      <c r="K19" s="107">
        <v>78500.0</v>
      </c>
      <c r="L19" s="73" t="s">
        <v>67</v>
      </c>
      <c r="M19" s="71"/>
      <c r="N19" s="45"/>
      <c r="O19" s="47"/>
      <c r="P19" s="47"/>
      <c r="Q19" s="45"/>
    </row>
    <row r="20" ht="22.5" customHeight="1">
      <c r="B20" s="72"/>
      <c r="C20" s="103">
        <v>46255.0</v>
      </c>
      <c r="D20" s="61" t="s">
        <v>53</v>
      </c>
      <c r="E20" s="62"/>
      <c r="F20" s="76"/>
      <c r="G20" s="105" t="s">
        <v>137</v>
      </c>
      <c r="H20" s="106" t="s">
        <v>138</v>
      </c>
      <c r="I20" s="73" t="s">
        <v>56</v>
      </c>
      <c r="J20" s="61" t="s">
        <v>19</v>
      </c>
      <c r="K20" s="107">
        <v>82600.0</v>
      </c>
      <c r="L20" s="73" t="s">
        <v>67</v>
      </c>
      <c r="M20" s="71"/>
      <c r="N20" s="45"/>
      <c r="O20" s="47"/>
      <c r="P20" s="47"/>
      <c r="Q20" s="56"/>
    </row>
    <row r="21" ht="22.5" customHeight="1">
      <c r="B21" s="72"/>
      <c r="C21" s="103">
        <v>46256.0</v>
      </c>
      <c r="D21" s="61" t="s">
        <v>53</v>
      </c>
      <c r="E21" s="62"/>
      <c r="F21" s="76"/>
      <c r="G21" s="105" t="s">
        <v>140</v>
      </c>
      <c r="H21" s="106" t="s">
        <v>141</v>
      </c>
      <c r="I21" s="73" t="s">
        <v>89</v>
      </c>
      <c r="J21" s="61" t="s">
        <v>27</v>
      </c>
      <c r="K21" s="111">
        <v>86500.0</v>
      </c>
      <c r="L21" s="73" t="s">
        <v>67</v>
      </c>
      <c r="M21" s="71"/>
      <c r="N21" s="45"/>
      <c r="O21" s="47"/>
      <c r="P21" s="47"/>
      <c r="Q21" s="56" t="s">
        <v>144</v>
      </c>
    </row>
    <row r="22" ht="22.5" customHeight="1">
      <c r="B22" s="112"/>
      <c r="C22" s="62">
        <v>46229.0</v>
      </c>
      <c r="D22" s="61" t="s">
        <v>53</v>
      </c>
      <c r="E22" s="76"/>
      <c r="F22" s="76"/>
      <c r="G22" s="105" t="s">
        <v>147</v>
      </c>
      <c r="H22" s="106" t="s">
        <v>148</v>
      </c>
      <c r="I22" s="73" t="s">
        <v>89</v>
      </c>
      <c r="J22" s="61" t="s">
        <v>19</v>
      </c>
      <c r="K22" s="107">
        <v>93900.0</v>
      </c>
      <c r="L22" s="113" t="s">
        <v>67</v>
      </c>
      <c r="M22" s="71"/>
      <c r="N22" s="45"/>
      <c r="O22" s="47"/>
      <c r="P22" s="47"/>
      <c r="Q22" s="45"/>
    </row>
    <row r="23" ht="22.5" customHeight="1">
      <c r="B23" s="112"/>
      <c r="C23" s="62">
        <v>46261.0</v>
      </c>
      <c r="D23" s="61" t="s">
        <v>149</v>
      </c>
      <c r="E23" s="76"/>
      <c r="F23" s="76"/>
      <c r="G23" s="105" t="s">
        <v>150</v>
      </c>
      <c r="H23" s="106" t="s">
        <v>152</v>
      </c>
      <c r="I23" s="73" t="s">
        <v>89</v>
      </c>
      <c r="J23" s="114" t="s">
        <v>19</v>
      </c>
      <c r="K23" s="107">
        <v>95600.0</v>
      </c>
      <c r="L23" s="73" t="s">
        <v>67</v>
      </c>
      <c r="M23" s="71"/>
      <c r="N23" s="45"/>
      <c r="O23" s="47"/>
      <c r="P23" s="47"/>
      <c r="Q23" s="56"/>
    </row>
    <row r="24" ht="22.5" customHeight="1">
      <c r="B24" s="31"/>
      <c r="C24" s="102"/>
      <c r="D24" s="61" t="s">
        <v>53</v>
      </c>
      <c r="E24" s="62"/>
      <c r="F24" s="64"/>
      <c r="G24" s="65" t="s">
        <v>154</v>
      </c>
      <c r="H24" s="78" t="s">
        <v>155</v>
      </c>
      <c r="I24" s="115" t="s">
        <v>56</v>
      </c>
      <c r="J24" s="68" t="s">
        <v>19</v>
      </c>
      <c r="K24" s="97">
        <v>65400.0</v>
      </c>
      <c r="L24" s="115" t="s">
        <v>157</v>
      </c>
      <c r="M24" s="71"/>
      <c r="N24" s="45"/>
      <c r="O24" s="47"/>
      <c r="P24" s="47"/>
      <c r="Q24" s="56"/>
    </row>
    <row r="25" ht="22.5" customHeight="1">
      <c r="B25" s="31"/>
      <c r="C25" s="62"/>
      <c r="D25" s="61" t="s">
        <v>53</v>
      </c>
      <c r="E25" s="62"/>
      <c r="F25" s="62"/>
      <c r="G25" s="65" t="s">
        <v>161</v>
      </c>
      <c r="H25" s="67" t="s">
        <v>162</v>
      </c>
      <c r="I25" s="73" t="s">
        <v>56</v>
      </c>
      <c r="J25" s="68" t="s">
        <v>19</v>
      </c>
      <c r="K25" s="74">
        <v>94600.0</v>
      </c>
      <c r="L25" s="73" t="s">
        <v>157</v>
      </c>
      <c r="M25" s="71"/>
      <c r="N25" s="45"/>
      <c r="O25" s="47"/>
      <c r="P25" s="47"/>
      <c r="Q25" s="56"/>
    </row>
    <row r="26" ht="22.5" customHeight="1">
      <c r="B26" s="72"/>
      <c r="C26" s="62"/>
      <c r="D26" s="61" t="s">
        <v>53</v>
      </c>
      <c r="E26" s="86"/>
      <c r="F26" s="115"/>
      <c r="G26" s="87" t="s">
        <v>166</v>
      </c>
      <c r="H26" s="96" t="s">
        <v>167</v>
      </c>
      <c r="I26" s="73" t="s">
        <v>89</v>
      </c>
      <c r="J26" s="68" t="s">
        <v>27</v>
      </c>
      <c r="K26" s="97">
        <v>71400.0</v>
      </c>
      <c r="L26" s="73" t="s">
        <v>168</v>
      </c>
      <c r="M26" s="71"/>
      <c r="N26" s="45"/>
      <c r="O26" s="47"/>
      <c r="P26" s="47"/>
      <c r="Q26" s="56" t="s">
        <v>170</v>
      </c>
    </row>
    <row r="27" ht="22.5" customHeight="1">
      <c r="B27" s="72"/>
      <c r="C27" s="62"/>
      <c r="D27" s="61" t="s">
        <v>53</v>
      </c>
      <c r="E27" s="86"/>
      <c r="F27" s="86"/>
      <c r="G27" s="77" t="s">
        <v>172</v>
      </c>
      <c r="H27" s="67" t="s">
        <v>174</v>
      </c>
      <c r="I27" s="73" t="s">
        <v>89</v>
      </c>
      <c r="J27" s="68" t="s">
        <v>27</v>
      </c>
      <c r="K27" s="111">
        <v>40000.0</v>
      </c>
      <c r="L27" s="73" t="s">
        <v>168</v>
      </c>
      <c r="M27" s="71"/>
      <c r="N27" s="45"/>
      <c r="O27" s="47"/>
      <c r="P27" s="47"/>
      <c r="Q27" s="56"/>
    </row>
    <row r="28" ht="22.5" customHeight="1">
      <c r="B28" s="72"/>
      <c r="C28" s="116">
        <v>46256.0</v>
      </c>
      <c r="D28" s="61" t="s">
        <v>178</v>
      </c>
      <c r="E28" s="64"/>
      <c r="F28" s="86"/>
      <c r="G28" s="117" t="s">
        <v>179</v>
      </c>
      <c r="H28" s="118" t="s">
        <v>180</v>
      </c>
      <c r="I28" s="73" t="s">
        <v>89</v>
      </c>
      <c r="J28" s="68" t="s">
        <v>27</v>
      </c>
      <c r="K28" s="119">
        <v>92000.0</v>
      </c>
      <c r="L28" s="73" t="s">
        <v>168</v>
      </c>
      <c r="M28" s="71"/>
      <c r="N28" s="45"/>
      <c r="O28" s="47"/>
      <c r="P28" s="47"/>
      <c r="Q28" s="56" t="s">
        <v>181</v>
      </c>
    </row>
    <row r="29" ht="22.5" customHeight="1">
      <c r="B29" s="72"/>
      <c r="C29" s="103">
        <v>46256.0</v>
      </c>
      <c r="D29" s="61" t="s">
        <v>53</v>
      </c>
      <c r="E29" s="62"/>
      <c r="F29" s="76"/>
      <c r="G29" s="105" t="s">
        <v>185</v>
      </c>
      <c r="H29" s="106" t="s">
        <v>186</v>
      </c>
      <c r="I29" s="73" t="s">
        <v>89</v>
      </c>
      <c r="J29" s="68" t="s">
        <v>19</v>
      </c>
      <c r="K29" s="97">
        <v>65000.0</v>
      </c>
      <c r="L29" s="73" t="s">
        <v>168</v>
      </c>
      <c r="M29" s="71"/>
      <c r="N29" s="45"/>
      <c r="O29" s="47"/>
      <c r="P29" s="47"/>
      <c r="Q29" s="56"/>
    </row>
    <row r="30" ht="22.5" customHeight="1">
      <c r="B30" s="112"/>
      <c r="C30" s="103">
        <v>46256.0</v>
      </c>
      <c r="D30" s="61" t="s">
        <v>53</v>
      </c>
      <c r="E30" s="62"/>
      <c r="F30" s="76"/>
      <c r="G30" s="105" t="s">
        <v>191</v>
      </c>
      <c r="H30" s="106" t="s">
        <v>192</v>
      </c>
      <c r="I30" s="73" t="s">
        <v>89</v>
      </c>
      <c r="J30" s="68" t="s">
        <v>19</v>
      </c>
      <c r="K30" s="107">
        <v>99080.0</v>
      </c>
      <c r="L30" s="73" t="s">
        <v>168</v>
      </c>
      <c r="M30" s="71"/>
      <c r="N30" s="45"/>
      <c r="O30" s="47"/>
      <c r="P30" s="47"/>
      <c r="Q30" s="45"/>
    </row>
    <row r="31" ht="22.5" customHeight="1">
      <c r="B31" s="112"/>
      <c r="C31" s="62">
        <v>46258.0</v>
      </c>
      <c r="D31" s="61" t="s">
        <v>178</v>
      </c>
      <c r="E31" s="76"/>
      <c r="F31" s="76"/>
      <c r="G31" s="65" t="s">
        <v>194</v>
      </c>
      <c r="H31" s="67" t="s">
        <v>195</v>
      </c>
      <c r="I31" s="115" t="s">
        <v>89</v>
      </c>
      <c r="J31" s="68" t="s">
        <v>27</v>
      </c>
      <c r="K31" s="107">
        <v>70470.0</v>
      </c>
      <c r="L31" s="73" t="s">
        <v>168</v>
      </c>
      <c r="M31" s="71"/>
      <c r="N31" s="45"/>
      <c r="O31" s="47"/>
      <c r="P31" s="47"/>
      <c r="Q31" s="56" t="s">
        <v>197</v>
      </c>
    </row>
    <row r="32" ht="22.5" customHeight="1">
      <c r="B32" s="112"/>
      <c r="C32" s="62">
        <v>46258.0</v>
      </c>
      <c r="D32" s="61" t="s">
        <v>149</v>
      </c>
      <c r="E32" s="76"/>
      <c r="F32" s="76"/>
      <c r="G32" s="124" t="s">
        <v>202</v>
      </c>
      <c r="H32" s="125" t="s">
        <v>204</v>
      </c>
      <c r="I32" s="115" t="s">
        <v>89</v>
      </c>
      <c r="J32" s="68" t="s">
        <v>19</v>
      </c>
      <c r="K32" s="107">
        <v>76500.0</v>
      </c>
      <c r="L32" s="73" t="s">
        <v>168</v>
      </c>
      <c r="M32" s="71"/>
      <c r="N32" s="45"/>
      <c r="O32" s="47"/>
      <c r="P32" s="47"/>
      <c r="Q32" s="45"/>
    </row>
    <row r="33" ht="22.5" customHeight="1">
      <c r="B33" s="45"/>
      <c r="C33" s="62">
        <v>46229.0</v>
      </c>
      <c r="D33" s="126" t="s">
        <v>53</v>
      </c>
      <c r="E33" s="76"/>
      <c r="F33" s="76"/>
      <c r="G33" s="105" t="s">
        <v>210</v>
      </c>
      <c r="H33" s="106" t="s">
        <v>211</v>
      </c>
      <c r="I33" s="73" t="s">
        <v>89</v>
      </c>
      <c r="J33" s="127" t="s">
        <v>27</v>
      </c>
      <c r="K33" s="107">
        <v>86680.0</v>
      </c>
      <c r="L33" s="73" t="s">
        <v>168</v>
      </c>
      <c r="M33" s="71"/>
      <c r="N33" s="45"/>
      <c r="O33" s="47"/>
      <c r="P33" s="47"/>
      <c r="Q33" s="56" t="s">
        <v>197</v>
      </c>
    </row>
    <row r="34" ht="22.5" customHeight="1">
      <c r="B34" s="45"/>
      <c r="C34" s="62">
        <v>46261.0</v>
      </c>
      <c r="D34" s="126" t="s">
        <v>149</v>
      </c>
      <c r="E34" s="76"/>
      <c r="F34" s="76"/>
      <c r="G34" s="105" t="s">
        <v>216</v>
      </c>
      <c r="H34" s="106" t="s">
        <v>218</v>
      </c>
      <c r="I34" s="73" t="s">
        <v>89</v>
      </c>
      <c r="J34" s="61" t="s">
        <v>19</v>
      </c>
      <c r="K34" s="107">
        <v>90850.0</v>
      </c>
      <c r="L34" s="73" t="s">
        <v>168</v>
      </c>
      <c r="M34" s="71"/>
      <c r="N34" s="45"/>
      <c r="O34" s="47"/>
      <c r="P34" s="47"/>
      <c r="Q34" s="45"/>
    </row>
    <row r="35" ht="22.5" customHeight="1">
      <c r="B35" s="45"/>
      <c r="C35" s="62">
        <v>46261.0</v>
      </c>
      <c r="D35" s="126" t="s">
        <v>178</v>
      </c>
      <c r="E35" s="76"/>
      <c r="F35" s="76"/>
      <c r="G35" s="105" t="s">
        <v>222</v>
      </c>
      <c r="H35" s="106" t="s">
        <v>224</v>
      </c>
      <c r="I35" s="73" t="s">
        <v>89</v>
      </c>
      <c r="J35" s="61" t="s">
        <v>27</v>
      </c>
      <c r="K35" s="111">
        <v>56000.0</v>
      </c>
      <c r="L35" s="73" t="s">
        <v>168</v>
      </c>
      <c r="M35" s="71"/>
      <c r="N35" s="45"/>
      <c r="O35" s="47"/>
      <c r="P35" s="47"/>
      <c r="Q35" s="56" t="s">
        <v>197</v>
      </c>
    </row>
    <row r="36" ht="22.5" customHeight="1">
      <c r="B36" s="131" t="s">
        <v>15</v>
      </c>
      <c r="C36" s="33"/>
      <c r="D36" s="133" t="s">
        <v>53</v>
      </c>
      <c r="E36" s="33"/>
      <c r="F36" s="36"/>
      <c r="G36" s="65" t="s">
        <v>232</v>
      </c>
      <c r="H36" s="67" t="s">
        <v>233</v>
      </c>
      <c r="I36" s="57" t="s">
        <v>56</v>
      </c>
      <c r="J36" s="135" t="s">
        <v>19</v>
      </c>
      <c r="K36" s="55">
        <v>77539.0</v>
      </c>
      <c r="L36" s="57" t="s">
        <v>235</v>
      </c>
      <c r="M36" s="136"/>
      <c r="N36" s="45"/>
      <c r="O36" s="47"/>
      <c r="P36" s="47"/>
      <c r="Q36" s="56"/>
    </row>
    <row r="37" ht="22.5" customHeight="1">
      <c r="B37" s="131"/>
      <c r="C37" s="102"/>
      <c r="D37" s="138" t="s">
        <v>53</v>
      </c>
      <c r="E37" s="62"/>
      <c r="F37" s="64"/>
      <c r="G37" s="65" t="s">
        <v>238</v>
      </c>
      <c r="H37" s="67" t="s">
        <v>240</v>
      </c>
      <c r="I37" s="115" t="s">
        <v>56</v>
      </c>
      <c r="J37" s="61" t="s">
        <v>26</v>
      </c>
      <c r="K37" s="97">
        <v>67955.0</v>
      </c>
      <c r="L37" s="73" t="s">
        <v>235</v>
      </c>
      <c r="M37" s="71"/>
      <c r="N37" s="45"/>
      <c r="O37" s="47"/>
      <c r="P37" s="47"/>
      <c r="Q37" s="45"/>
    </row>
    <row r="38" ht="22.5" customHeight="1">
      <c r="B38" s="56"/>
      <c r="C38" s="62"/>
      <c r="D38" s="138" t="s">
        <v>178</v>
      </c>
      <c r="E38" s="62"/>
      <c r="F38" s="62"/>
      <c r="G38" s="77" t="s">
        <v>249</v>
      </c>
      <c r="H38" s="78" t="s">
        <v>250</v>
      </c>
      <c r="I38" s="115" t="s">
        <v>56</v>
      </c>
      <c r="J38" s="61" t="s">
        <v>27</v>
      </c>
      <c r="K38" s="140">
        <v>83300.0</v>
      </c>
      <c r="L38" s="141" t="s">
        <v>235</v>
      </c>
      <c r="M38" s="71"/>
      <c r="N38" s="45"/>
      <c r="O38" s="47"/>
      <c r="P38" s="47"/>
      <c r="Q38" s="45"/>
    </row>
    <row r="39" ht="22.5" customHeight="1">
      <c r="B39" s="31"/>
      <c r="C39" s="33"/>
      <c r="D39" s="35" t="s">
        <v>53</v>
      </c>
      <c r="E39" s="33"/>
      <c r="F39" s="36"/>
      <c r="G39" s="98" t="s">
        <v>253</v>
      </c>
      <c r="H39" s="99" t="s">
        <v>254</v>
      </c>
      <c r="I39" s="39" t="s">
        <v>80</v>
      </c>
      <c r="J39" s="135" t="s">
        <v>19</v>
      </c>
      <c r="K39" s="41">
        <v>71400.0</v>
      </c>
      <c r="L39" s="101" t="s">
        <v>255</v>
      </c>
      <c r="M39" s="43"/>
      <c r="N39" s="45"/>
      <c r="O39" s="47"/>
      <c r="P39" s="47"/>
      <c r="Q39" s="56"/>
    </row>
    <row r="40" ht="22.5" customHeight="1">
      <c r="B40" s="31"/>
      <c r="C40" s="102"/>
      <c r="D40" s="61" t="s">
        <v>53</v>
      </c>
      <c r="E40" s="62"/>
      <c r="F40" s="62"/>
      <c r="G40" s="87" t="s">
        <v>260</v>
      </c>
      <c r="H40" s="96" t="s">
        <v>263</v>
      </c>
      <c r="I40" s="73" t="s">
        <v>56</v>
      </c>
      <c r="J40" s="61" t="s">
        <v>19</v>
      </c>
      <c r="K40" s="97">
        <v>92300.0</v>
      </c>
      <c r="L40" s="73" t="s">
        <v>255</v>
      </c>
      <c r="M40" s="79" t="s">
        <v>101</v>
      </c>
      <c r="N40" s="45"/>
      <c r="O40" s="47"/>
      <c r="P40" s="47"/>
      <c r="Q40" s="56"/>
    </row>
    <row r="41" ht="22.5" customHeight="1">
      <c r="B41" s="31"/>
      <c r="C41" s="102"/>
      <c r="D41" s="61" t="s">
        <v>53</v>
      </c>
      <c r="E41" s="62"/>
      <c r="F41" s="62"/>
      <c r="G41" s="142" t="s">
        <v>270</v>
      </c>
      <c r="H41" s="67" t="s">
        <v>271</v>
      </c>
      <c r="I41" s="115" t="s">
        <v>56</v>
      </c>
      <c r="J41" s="61" t="s">
        <v>19</v>
      </c>
      <c r="K41" s="143">
        <v>72300.0</v>
      </c>
      <c r="L41" s="73" t="s">
        <v>255</v>
      </c>
      <c r="M41" s="71"/>
      <c r="N41" s="45"/>
      <c r="O41" s="47"/>
      <c r="P41" s="47"/>
      <c r="Q41" s="56"/>
    </row>
    <row r="42" ht="22.5" customHeight="1">
      <c r="B42" s="72"/>
      <c r="C42" s="62"/>
      <c r="D42" s="61" t="s">
        <v>53</v>
      </c>
      <c r="E42" s="64"/>
      <c r="F42" s="86"/>
      <c r="G42" s="87" t="s">
        <v>276</v>
      </c>
      <c r="H42" s="67" t="s">
        <v>277</v>
      </c>
      <c r="I42" s="73" t="s">
        <v>56</v>
      </c>
      <c r="J42" s="61" t="s">
        <v>19</v>
      </c>
      <c r="K42" s="97">
        <v>78300.0</v>
      </c>
      <c r="L42" s="73" t="s">
        <v>255</v>
      </c>
      <c r="M42" s="71"/>
      <c r="N42" s="45"/>
      <c r="O42" s="47"/>
      <c r="P42" s="47"/>
      <c r="Q42" s="56"/>
    </row>
    <row r="43" ht="22.5" customHeight="1">
      <c r="B43" s="72"/>
      <c r="C43" s="62"/>
      <c r="D43" s="61" t="s">
        <v>53</v>
      </c>
      <c r="E43" s="86"/>
      <c r="F43" s="86"/>
      <c r="G43" s="145" t="s">
        <v>284</v>
      </c>
      <c r="H43" s="146" t="s">
        <v>285</v>
      </c>
      <c r="I43" s="147" t="s">
        <v>56</v>
      </c>
      <c r="J43" s="61" t="s">
        <v>19</v>
      </c>
      <c r="K43" s="140">
        <v>80000.0</v>
      </c>
      <c r="L43" s="73" t="s">
        <v>255</v>
      </c>
      <c r="M43" s="71"/>
      <c r="N43" s="45"/>
      <c r="O43" s="47"/>
      <c r="P43" s="47"/>
      <c r="Q43" s="56"/>
    </row>
    <row r="44" ht="22.5" customHeight="1">
      <c r="B44" s="112"/>
      <c r="C44" s="62">
        <v>46229.0</v>
      </c>
      <c r="D44" s="61" t="s">
        <v>149</v>
      </c>
      <c r="E44" s="76"/>
      <c r="F44" s="76"/>
      <c r="G44" s="105" t="s">
        <v>291</v>
      </c>
      <c r="H44" s="106" t="s">
        <v>292</v>
      </c>
      <c r="I44" s="73" t="s">
        <v>89</v>
      </c>
      <c r="J44" s="61" t="s">
        <v>19</v>
      </c>
      <c r="K44" s="107">
        <v>85000.0</v>
      </c>
      <c r="L44" s="73" t="s">
        <v>255</v>
      </c>
      <c r="M44" s="71"/>
      <c r="N44" s="45"/>
      <c r="O44" s="47"/>
      <c r="P44" s="47"/>
      <c r="Q44" s="45"/>
    </row>
    <row r="45" ht="22.5" customHeight="1">
      <c r="B45" s="112"/>
      <c r="C45" s="62">
        <v>46229.0</v>
      </c>
      <c r="D45" s="61" t="s">
        <v>53</v>
      </c>
      <c r="E45" s="76"/>
      <c r="F45" s="76"/>
      <c r="G45" s="105" t="s">
        <v>298</v>
      </c>
      <c r="H45" s="106" t="s">
        <v>299</v>
      </c>
      <c r="I45" s="73" t="s">
        <v>56</v>
      </c>
      <c r="J45" s="61" t="s">
        <v>19</v>
      </c>
      <c r="K45" s="107">
        <v>73420.0</v>
      </c>
      <c r="L45" s="73" t="s">
        <v>255</v>
      </c>
      <c r="M45" s="71"/>
      <c r="N45" s="45"/>
      <c r="O45" s="47"/>
      <c r="P45" s="47"/>
      <c r="Q45" s="56"/>
    </row>
    <row r="46" ht="22.5" customHeight="1">
      <c r="B46" s="112"/>
      <c r="C46" s="62">
        <v>46229.0</v>
      </c>
      <c r="D46" s="114" t="s">
        <v>149</v>
      </c>
      <c r="E46" s="76"/>
      <c r="F46" s="76"/>
      <c r="G46" s="105" t="s">
        <v>304</v>
      </c>
      <c r="H46" s="150" t="s">
        <v>305</v>
      </c>
      <c r="I46" s="73" t="s">
        <v>56</v>
      </c>
      <c r="J46" s="61" t="s">
        <v>26</v>
      </c>
      <c r="K46" s="107">
        <v>83100.0</v>
      </c>
      <c r="L46" s="73" t="s">
        <v>255</v>
      </c>
      <c r="M46" s="71"/>
      <c r="N46" s="45"/>
      <c r="O46" s="47"/>
      <c r="P46" s="47"/>
      <c r="Q46" s="45"/>
    </row>
    <row r="47" ht="22.5" customHeight="1">
      <c r="B47" s="112"/>
      <c r="C47" s="62">
        <v>46229.0</v>
      </c>
      <c r="D47" s="68" t="s">
        <v>53</v>
      </c>
      <c r="E47" s="76"/>
      <c r="F47" s="76"/>
      <c r="G47" s="105" t="s">
        <v>308</v>
      </c>
      <c r="H47" s="106" t="s">
        <v>310</v>
      </c>
      <c r="I47" s="73" t="s">
        <v>89</v>
      </c>
      <c r="J47" s="61" t="s">
        <v>24</v>
      </c>
      <c r="K47" s="111">
        <v>65000.0</v>
      </c>
      <c r="L47" s="73" t="s">
        <v>255</v>
      </c>
      <c r="M47" s="71"/>
      <c r="N47" s="45"/>
      <c r="O47" s="47"/>
      <c r="P47" s="47"/>
      <c r="Q47" s="45"/>
    </row>
    <row r="48" ht="22.5" customHeight="1">
      <c r="B48" s="31"/>
      <c r="C48" s="33"/>
      <c r="D48" s="40" t="s">
        <v>53</v>
      </c>
      <c r="E48" s="151"/>
      <c r="F48" s="152"/>
      <c r="G48" s="50" t="s">
        <v>315</v>
      </c>
      <c r="H48" s="52" t="s">
        <v>316</v>
      </c>
      <c r="I48" s="39" t="s">
        <v>89</v>
      </c>
      <c r="J48" s="35" t="s">
        <v>19</v>
      </c>
      <c r="K48" s="54">
        <v>84150.0</v>
      </c>
      <c r="L48" s="42" t="s">
        <v>317</v>
      </c>
      <c r="M48" s="43"/>
      <c r="N48" s="45"/>
      <c r="O48" s="47"/>
      <c r="P48" s="47"/>
      <c r="Q48" s="56"/>
    </row>
    <row r="49" ht="22.5" customHeight="1">
      <c r="B49" s="31"/>
      <c r="C49" s="33"/>
      <c r="D49" s="40" t="s">
        <v>53</v>
      </c>
      <c r="E49" s="33"/>
      <c r="F49" s="36"/>
      <c r="G49" s="50" t="s">
        <v>320</v>
      </c>
      <c r="H49" s="52" t="s">
        <v>321</v>
      </c>
      <c r="I49" s="39" t="s">
        <v>80</v>
      </c>
      <c r="J49" s="35" t="s">
        <v>19</v>
      </c>
      <c r="K49" s="41">
        <v>82200.0</v>
      </c>
      <c r="L49" s="101" t="s">
        <v>317</v>
      </c>
      <c r="M49" s="43"/>
      <c r="N49" s="45"/>
      <c r="O49" s="47"/>
      <c r="P49" s="47"/>
      <c r="Q49" s="45"/>
    </row>
    <row r="50" ht="22.5" customHeight="1">
      <c r="B50" s="45"/>
      <c r="C50" s="155"/>
      <c r="D50" s="156" t="s">
        <v>178</v>
      </c>
      <c r="E50" s="76"/>
      <c r="F50" s="76"/>
      <c r="G50" s="105" t="s">
        <v>325</v>
      </c>
      <c r="H50" s="150" t="s">
        <v>326</v>
      </c>
      <c r="I50" s="73" t="s">
        <v>89</v>
      </c>
      <c r="J50" s="79" t="s">
        <v>27</v>
      </c>
      <c r="K50" s="158">
        <v>72000.0</v>
      </c>
      <c r="L50" s="159" t="s">
        <v>67</v>
      </c>
      <c r="M50" s="47"/>
      <c r="N50" s="45"/>
      <c r="O50" s="47"/>
      <c r="P50" s="47"/>
      <c r="Q50" s="56" t="s">
        <v>197</v>
      </c>
    </row>
    <row r="51" ht="22.5" customHeight="1">
      <c r="B51" s="45"/>
      <c r="C51" s="162"/>
      <c r="D51" s="163"/>
      <c r="E51" s="155"/>
      <c r="F51" s="155"/>
      <c r="G51" s="164"/>
      <c r="H51" s="165"/>
      <c r="I51" s="159"/>
      <c r="J51" s="138"/>
      <c r="K51" s="166"/>
      <c r="L51" s="45"/>
      <c r="M51" s="47"/>
      <c r="N51" s="45"/>
      <c r="O51" s="47"/>
      <c r="P51" s="47"/>
      <c r="Q51" s="45"/>
    </row>
    <row r="52" ht="22.5" customHeight="1">
      <c r="B52" s="45"/>
      <c r="C52" s="162"/>
      <c r="D52" s="163"/>
      <c r="E52" s="162"/>
      <c r="F52" s="162"/>
      <c r="G52" s="169"/>
      <c r="H52" s="169"/>
      <c r="I52" s="56"/>
      <c r="J52" s="138"/>
      <c r="K52" s="171"/>
      <c r="L52" s="45"/>
      <c r="M52" s="47"/>
      <c r="N52" s="45"/>
      <c r="O52" s="47"/>
      <c r="P52" s="47"/>
      <c r="Q52" s="45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15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1000000.0</v>
      </c>
      <c r="F4" s="15">
        <f>SUMIFS(OPI_3[MAF NETO],OPI_3[ESTADO],"Desembolsado")</f>
        <v>925450</v>
      </c>
      <c r="G4" s="15">
        <f>F4-E4</f>
        <v>-74550</v>
      </c>
      <c r="H4" s="16">
        <f>SUMIFS(OPI_3[MAF NETO],OPI_3[ESTADO],H$3)</f>
        <v>0</v>
      </c>
      <c r="I4" s="16">
        <f>SUMIFS(OPI_3[MAF NETO],OPI_3[ESTADO],I$3)</f>
        <v>0</v>
      </c>
      <c r="J4" s="16">
        <f>SUMIFS(OPI_3[MAF NETO],OPI_3[ESTADO],J$3)</f>
        <v>0</v>
      </c>
      <c r="K4" s="16">
        <f>SUMIFS(OPI_3[MAF NETO],OPI_3[ESTADO],K$3)</f>
        <v>0</v>
      </c>
      <c r="L4" s="16">
        <f>SUMIFS(OPI_3[MAF NETO],OPI_3[ESTADO],L$3)</f>
        <v>0</v>
      </c>
      <c r="M4" s="16">
        <f>SUMIFS(OPI_3[MAF NETO],OPI_3[ESTADO],M$3)</f>
        <v>0</v>
      </c>
      <c r="N4" s="16">
        <f>SUMIFS(OPI_3[MAF NETO],OPI_3[ESTADO],N$3)</f>
        <v>77360</v>
      </c>
    </row>
    <row r="5" ht="26.25" customHeight="1">
      <c r="D5" s="17" t="s">
        <v>31</v>
      </c>
      <c r="E5" s="18" t="s">
        <v>32</v>
      </c>
      <c r="F5" s="19">
        <f>COUNTIFS(OPI_3[ESTADO],"Desembolsado")</f>
        <v>15</v>
      </c>
      <c r="G5" s="20">
        <f>IFERROR(F4/E4,"")</f>
        <v>0.92545</v>
      </c>
      <c r="H5" s="19">
        <f>COUNTIFS(OPI_3[ESTADO],H$3)</f>
        <v>0</v>
      </c>
      <c r="I5" s="19">
        <f>COUNTIFS(OPI_3[ESTADO],I$3)</f>
        <v>0</v>
      </c>
      <c r="J5" s="19">
        <f>COUNTIFS(OPI_3[ESTADO],J$3)</f>
        <v>0</v>
      </c>
      <c r="K5" s="19">
        <f>COUNTIFS(OPI_3[ESTADO],K$3)</f>
        <v>0</v>
      </c>
      <c r="L5" s="19">
        <f>COUNTIFS(OPI_3[ESTADO],L$3)</f>
        <v>0</v>
      </c>
      <c r="M5" s="19">
        <f>COUNTIFS(OPI_3[ESTADO],M$3)</f>
        <v>0</v>
      </c>
      <c r="N5" s="19">
        <f>COUNTIFS(OPI_3[ESTADO],N$3)</f>
        <v>1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46" t="s">
        <v>15</v>
      </c>
      <c r="C10" s="33">
        <v>46233.0</v>
      </c>
      <c r="D10" s="40" t="s">
        <v>53</v>
      </c>
      <c r="E10" s="33">
        <v>46233.0</v>
      </c>
      <c r="F10" s="48">
        <v>46237.0</v>
      </c>
      <c r="G10" s="49" t="s">
        <v>75</v>
      </c>
      <c r="H10" s="49" t="s">
        <v>76</v>
      </c>
      <c r="I10" s="51" t="s">
        <v>56</v>
      </c>
      <c r="J10" s="53" t="s">
        <v>19</v>
      </c>
      <c r="K10" s="55">
        <v>83100.0</v>
      </c>
      <c r="L10" s="57" t="s">
        <v>81</v>
      </c>
      <c r="M10" s="59"/>
      <c r="N10" s="60"/>
      <c r="O10" s="63"/>
      <c r="P10" s="66"/>
      <c r="Q10" s="69"/>
    </row>
    <row r="11" ht="22.5" customHeight="1">
      <c r="B11" s="46" t="s">
        <v>15</v>
      </c>
      <c r="C11" s="33">
        <v>46233.0</v>
      </c>
      <c r="D11" s="40" t="s">
        <v>53</v>
      </c>
      <c r="E11" s="33">
        <v>46233.0</v>
      </c>
      <c r="F11" s="48">
        <v>46238.0</v>
      </c>
      <c r="G11" s="75" t="s">
        <v>97</v>
      </c>
      <c r="H11" s="49" t="s">
        <v>98</v>
      </c>
      <c r="I11" s="51" t="s">
        <v>56</v>
      </c>
      <c r="J11" s="53" t="s">
        <v>19</v>
      </c>
      <c r="K11" s="55">
        <v>77700.0</v>
      </c>
      <c r="L11" s="57" t="s">
        <v>81</v>
      </c>
      <c r="M11" s="80"/>
      <c r="N11" s="60"/>
      <c r="O11" s="63"/>
      <c r="P11" s="81"/>
      <c r="Q11" s="69"/>
    </row>
    <row r="12" ht="22.5" customHeight="1">
      <c r="B12" s="46" t="s">
        <v>15</v>
      </c>
      <c r="C12" s="33">
        <v>46233.0</v>
      </c>
      <c r="D12" s="40" t="s">
        <v>53</v>
      </c>
      <c r="E12" s="33">
        <v>46233.0</v>
      </c>
      <c r="F12" s="48">
        <v>46238.0</v>
      </c>
      <c r="G12" s="75" t="s">
        <v>115</v>
      </c>
      <c r="H12" s="75" t="s">
        <v>116</v>
      </c>
      <c r="I12" s="51" t="s">
        <v>56</v>
      </c>
      <c r="J12" s="53" t="s">
        <v>19</v>
      </c>
      <c r="K12" s="55">
        <v>37200.0</v>
      </c>
      <c r="L12" s="57" t="s">
        <v>81</v>
      </c>
      <c r="M12" s="80"/>
      <c r="N12" s="60"/>
      <c r="O12" s="63"/>
      <c r="P12" s="81"/>
      <c r="Q12" s="69"/>
    </row>
    <row r="13" ht="22.5" customHeight="1">
      <c r="B13" s="46" t="s">
        <v>15</v>
      </c>
      <c r="C13" s="102">
        <v>46239.0</v>
      </c>
      <c r="D13" s="66" t="s">
        <v>53</v>
      </c>
      <c r="E13" s="102">
        <v>46239.0</v>
      </c>
      <c r="F13" s="102">
        <v>46241.0</v>
      </c>
      <c r="G13" s="104" t="s">
        <v>130</v>
      </c>
      <c r="H13" s="104" t="s">
        <v>132</v>
      </c>
      <c r="I13" s="51" t="s">
        <v>56</v>
      </c>
      <c r="J13" s="40" t="s">
        <v>19</v>
      </c>
      <c r="K13" s="70">
        <v>79860.0</v>
      </c>
      <c r="L13" s="57" t="s">
        <v>81</v>
      </c>
      <c r="M13" s="80"/>
      <c r="N13" s="60"/>
      <c r="O13" s="63"/>
      <c r="P13" s="66"/>
      <c r="Q13" s="110"/>
    </row>
    <row r="14" ht="22.5" customHeight="1">
      <c r="B14" s="46" t="s">
        <v>15</v>
      </c>
      <c r="C14" s="102">
        <v>46239.0</v>
      </c>
      <c r="D14" s="66" t="s">
        <v>53</v>
      </c>
      <c r="E14" s="102">
        <v>46239.0</v>
      </c>
      <c r="F14" s="102">
        <v>46239.0</v>
      </c>
      <c r="G14" s="104" t="s">
        <v>142</v>
      </c>
      <c r="H14" s="104" t="s">
        <v>143</v>
      </c>
      <c r="I14" s="51" t="s">
        <v>56</v>
      </c>
      <c r="J14" s="40" t="s">
        <v>19</v>
      </c>
      <c r="K14" s="70">
        <v>77340.0</v>
      </c>
      <c r="L14" s="57" t="s">
        <v>81</v>
      </c>
      <c r="M14" s="80"/>
      <c r="N14" s="60"/>
      <c r="O14" s="63"/>
      <c r="P14" s="81"/>
      <c r="Q14" s="69"/>
    </row>
    <row r="15" ht="22.5" customHeight="1">
      <c r="B15" s="46" t="s">
        <v>15</v>
      </c>
      <c r="C15" s="102">
        <v>46239.0</v>
      </c>
      <c r="D15" s="66" t="s">
        <v>53</v>
      </c>
      <c r="E15" s="102">
        <v>46239.0</v>
      </c>
      <c r="F15" s="102">
        <v>46241.0</v>
      </c>
      <c r="G15" s="104" t="s">
        <v>156</v>
      </c>
      <c r="H15" s="104" t="s">
        <v>158</v>
      </c>
      <c r="I15" s="51" t="s">
        <v>56</v>
      </c>
      <c r="J15" s="40" t="s">
        <v>19</v>
      </c>
      <c r="K15" s="70">
        <v>82280.0</v>
      </c>
      <c r="L15" s="57" t="s">
        <v>81</v>
      </c>
      <c r="M15" s="80"/>
      <c r="N15" s="60"/>
      <c r="O15" s="63"/>
      <c r="P15" s="66" t="s">
        <v>163</v>
      </c>
      <c r="Q15" s="110"/>
    </row>
    <row r="16" ht="22.5" customHeight="1">
      <c r="B16" s="46" t="s">
        <v>15</v>
      </c>
      <c r="C16" s="102" t="s">
        <v>169</v>
      </c>
      <c r="D16" s="66" t="s">
        <v>53</v>
      </c>
      <c r="E16" s="102">
        <v>46239.0</v>
      </c>
      <c r="F16" s="102">
        <v>46239.0</v>
      </c>
      <c r="G16" s="104" t="s">
        <v>171</v>
      </c>
      <c r="H16" s="104" t="s">
        <v>173</v>
      </c>
      <c r="I16" s="51" t="s">
        <v>56</v>
      </c>
      <c r="J16" s="68" t="s">
        <v>19</v>
      </c>
      <c r="K16" s="70">
        <v>16000.0</v>
      </c>
      <c r="L16" s="57" t="s">
        <v>81</v>
      </c>
      <c r="M16" s="80"/>
      <c r="N16" s="60"/>
      <c r="O16" s="63"/>
      <c r="P16" s="81"/>
      <c r="Q16" s="110"/>
    </row>
    <row r="17" ht="22.5" customHeight="1">
      <c r="B17" s="46" t="s">
        <v>15</v>
      </c>
      <c r="C17" s="102">
        <v>46246.0</v>
      </c>
      <c r="D17" s="66" t="s">
        <v>53</v>
      </c>
      <c r="E17" s="102">
        <v>46246.0</v>
      </c>
      <c r="F17" s="120"/>
      <c r="G17" s="121" t="s">
        <v>187</v>
      </c>
      <c r="H17" s="121" t="s">
        <v>188</v>
      </c>
      <c r="I17" s="113" t="s">
        <v>56</v>
      </c>
      <c r="J17" s="66" t="s">
        <v>19</v>
      </c>
      <c r="K17" s="122">
        <v>29000.0</v>
      </c>
      <c r="L17" s="113" t="s">
        <v>81</v>
      </c>
      <c r="M17" s="63"/>
      <c r="N17" s="60"/>
      <c r="O17" s="63"/>
      <c r="P17" s="81"/>
      <c r="Q17" s="69"/>
    </row>
    <row r="18" ht="22.5" customHeight="1">
      <c r="B18" s="113" t="s">
        <v>15</v>
      </c>
      <c r="C18" s="102">
        <v>46251.0</v>
      </c>
      <c r="D18" s="66" t="s">
        <v>53</v>
      </c>
      <c r="E18" s="102">
        <v>46252.0</v>
      </c>
      <c r="F18" s="102">
        <v>46252.0</v>
      </c>
      <c r="G18" s="65" t="s">
        <v>206</v>
      </c>
      <c r="H18" s="65" t="s">
        <v>207</v>
      </c>
      <c r="I18" s="73" t="s">
        <v>56</v>
      </c>
      <c r="J18" s="68" t="s">
        <v>19</v>
      </c>
      <c r="K18" s="97">
        <v>25000.0</v>
      </c>
      <c r="L18" s="115" t="s">
        <v>81</v>
      </c>
      <c r="M18" s="63"/>
      <c r="N18" s="60"/>
      <c r="O18" s="63"/>
      <c r="P18" s="81"/>
      <c r="Q18" s="69"/>
    </row>
    <row r="19" ht="22.5" customHeight="1">
      <c r="B19" s="113" t="s">
        <v>15</v>
      </c>
      <c r="C19" s="102">
        <v>46258.0</v>
      </c>
      <c r="D19" s="66" t="s">
        <v>178</v>
      </c>
      <c r="E19" s="102"/>
      <c r="F19" s="102"/>
      <c r="G19" s="128" t="s">
        <v>221</v>
      </c>
      <c r="H19" s="128" t="s">
        <v>225</v>
      </c>
      <c r="I19" s="113" t="s">
        <v>56</v>
      </c>
      <c r="J19" s="66" t="s">
        <v>27</v>
      </c>
      <c r="K19" s="129">
        <v>77360.0</v>
      </c>
      <c r="L19" s="113" t="s">
        <v>81</v>
      </c>
      <c r="M19" s="81"/>
      <c r="N19" s="130"/>
      <c r="O19" s="134"/>
      <c r="P19" s="81"/>
      <c r="Q19" s="69" t="s">
        <v>234</v>
      </c>
    </row>
    <row r="20" ht="22.5" customHeight="1">
      <c r="B20" s="113" t="s">
        <v>15</v>
      </c>
      <c r="C20" s="102">
        <v>46253.0</v>
      </c>
      <c r="D20" s="66" t="s">
        <v>53</v>
      </c>
      <c r="E20" s="102">
        <v>46254.0</v>
      </c>
      <c r="F20" s="102"/>
      <c r="G20" s="139" t="s">
        <v>242</v>
      </c>
      <c r="H20" s="139" t="s">
        <v>243</v>
      </c>
      <c r="I20" s="113" t="s">
        <v>56</v>
      </c>
      <c r="J20" s="66" t="s">
        <v>19</v>
      </c>
      <c r="K20" s="129">
        <v>53500.0</v>
      </c>
      <c r="L20" s="113" t="s">
        <v>247</v>
      </c>
      <c r="M20" s="81"/>
      <c r="N20" s="130"/>
      <c r="O20" s="134"/>
      <c r="P20" s="81"/>
      <c r="Q20" s="110"/>
    </row>
    <row r="21" ht="22.5" customHeight="1">
      <c r="B21" s="113" t="s">
        <v>15</v>
      </c>
      <c r="C21" s="102">
        <v>46253.0</v>
      </c>
      <c r="D21" s="66" t="s">
        <v>53</v>
      </c>
      <c r="E21" s="102">
        <v>46254.0</v>
      </c>
      <c r="F21" s="102"/>
      <c r="G21" s="128" t="s">
        <v>262</v>
      </c>
      <c r="H21" s="128" t="s">
        <v>264</v>
      </c>
      <c r="I21" s="113" t="s">
        <v>56</v>
      </c>
      <c r="J21" s="66" t="s">
        <v>19</v>
      </c>
      <c r="K21" s="129">
        <v>67100.0</v>
      </c>
      <c r="L21" s="113" t="s">
        <v>247</v>
      </c>
      <c r="M21" s="81"/>
      <c r="N21" s="130"/>
      <c r="O21" s="134"/>
      <c r="P21" s="81"/>
      <c r="Q21" s="110"/>
    </row>
    <row r="22" ht="22.5" customHeight="1">
      <c r="B22" s="113" t="s">
        <v>15</v>
      </c>
      <c r="C22" s="102">
        <v>46259.0</v>
      </c>
      <c r="D22" s="66" t="s">
        <v>53</v>
      </c>
      <c r="E22" s="102">
        <v>46259.0</v>
      </c>
      <c r="F22" s="102"/>
      <c r="G22" s="144" t="s">
        <v>280</v>
      </c>
      <c r="H22" s="144" t="s">
        <v>281</v>
      </c>
      <c r="I22" s="113" t="s">
        <v>56</v>
      </c>
      <c r="J22" s="66" t="s">
        <v>19</v>
      </c>
      <c r="K22" s="129">
        <v>82250.0</v>
      </c>
      <c r="L22" s="113" t="s">
        <v>81</v>
      </c>
      <c r="M22" s="81"/>
      <c r="N22" s="130"/>
      <c r="O22" s="134"/>
      <c r="P22" s="81"/>
      <c r="Q22" s="110"/>
    </row>
    <row r="23" ht="22.5" customHeight="1">
      <c r="B23" s="113" t="s">
        <v>15</v>
      </c>
      <c r="C23" s="102">
        <v>46259.0</v>
      </c>
      <c r="D23" s="66" t="s">
        <v>53</v>
      </c>
      <c r="E23" s="102">
        <v>46259.0</v>
      </c>
      <c r="F23" s="120"/>
      <c r="G23" s="148" t="s">
        <v>295</v>
      </c>
      <c r="H23" s="148" t="s">
        <v>297</v>
      </c>
      <c r="I23" s="113" t="s">
        <v>56</v>
      </c>
      <c r="J23" s="66" t="s">
        <v>19</v>
      </c>
      <c r="K23" s="129">
        <v>77450.0</v>
      </c>
      <c r="L23" s="113" t="s">
        <v>247</v>
      </c>
      <c r="M23" s="81"/>
      <c r="N23" s="130"/>
      <c r="O23" s="134"/>
      <c r="P23" s="149"/>
      <c r="Q23" s="34"/>
    </row>
    <row r="24" ht="22.5" customHeight="1">
      <c r="B24" s="113" t="s">
        <v>15</v>
      </c>
      <c r="C24" s="102">
        <v>46260.0</v>
      </c>
      <c r="D24" s="66" t="s">
        <v>53</v>
      </c>
      <c r="E24" s="102">
        <v>46261.0</v>
      </c>
      <c r="F24" s="102">
        <v>46261.0</v>
      </c>
      <c r="G24" s="144" t="s">
        <v>313</v>
      </c>
      <c r="H24" s="144" t="s">
        <v>314</v>
      </c>
      <c r="I24" s="113" t="s">
        <v>56</v>
      </c>
      <c r="J24" s="66" t="s">
        <v>19</v>
      </c>
      <c r="K24" s="129">
        <v>50350.0</v>
      </c>
      <c r="L24" s="113" t="s">
        <v>247</v>
      </c>
      <c r="M24" s="81"/>
      <c r="N24" s="130"/>
      <c r="O24" s="134"/>
      <c r="P24" s="153"/>
      <c r="Q24" s="34"/>
    </row>
    <row r="25" ht="22.5" customHeight="1">
      <c r="B25" s="154" t="s">
        <v>15</v>
      </c>
      <c r="C25" s="102">
        <v>46261.0</v>
      </c>
      <c r="D25" s="66" t="s">
        <v>53</v>
      </c>
      <c r="E25" s="102">
        <v>46261.0</v>
      </c>
      <c r="F25" s="120"/>
      <c r="G25" s="157" t="s">
        <v>324</v>
      </c>
      <c r="H25" s="157" t="s">
        <v>327</v>
      </c>
      <c r="I25" s="113" t="s">
        <v>56</v>
      </c>
      <c r="J25" s="66" t="s">
        <v>19</v>
      </c>
      <c r="K25" s="97">
        <v>87320.0</v>
      </c>
      <c r="L25" s="113" t="s">
        <v>81</v>
      </c>
      <c r="M25" s="81"/>
      <c r="N25" s="160"/>
      <c r="O25" s="161"/>
      <c r="P25" s="32"/>
      <c r="Q25" s="34"/>
    </row>
    <row r="26" ht="22.5" customHeight="1">
      <c r="B26" s="167"/>
      <c r="C26" s="168"/>
      <c r="D26" s="170"/>
      <c r="E26" s="168"/>
      <c r="F26" s="168"/>
      <c r="G26" s="172"/>
      <c r="H26" s="172"/>
      <c r="I26" s="167"/>
      <c r="J26" s="173"/>
      <c r="K26" s="174"/>
      <c r="L26" s="167"/>
      <c r="M26" s="173"/>
      <c r="N26" s="34"/>
      <c r="O26" s="175"/>
      <c r="P26" s="32"/>
      <c r="Q26" s="34"/>
    </row>
    <row r="27" ht="22.5" customHeight="1">
      <c r="B27" s="34"/>
      <c r="C27" s="137"/>
      <c r="D27" s="44"/>
      <c r="E27" s="137"/>
      <c r="F27" s="137"/>
      <c r="G27" s="176"/>
      <c r="H27" s="176"/>
      <c r="J27" s="32"/>
      <c r="K27" s="177"/>
      <c r="L27" s="34"/>
      <c r="M27" s="32"/>
      <c r="N27" s="34"/>
      <c r="O27" s="175"/>
      <c r="P27" s="32"/>
      <c r="Q27" s="34"/>
    </row>
    <row r="28" ht="22.5" customHeight="1">
      <c r="B28" s="34"/>
      <c r="C28" s="137"/>
      <c r="D28" s="44"/>
      <c r="E28" s="137"/>
      <c r="F28" s="137"/>
      <c r="G28" s="176"/>
      <c r="H28" s="176"/>
      <c r="I28" s="34"/>
      <c r="J28" s="32"/>
      <c r="K28" s="177"/>
      <c r="L28" s="34"/>
      <c r="M28" s="32"/>
      <c r="N28" s="34"/>
      <c r="O28" s="175"/>
      <c r="P28" s="32"/>
      <c r="Q28" s="34"/>
    </row>
    <row r="29" ht="22.5" customHeight="1">
      <c r="B29" s="34"/>
      <c r="C29" s="137"/>
      <c r="D29" s="44"/>
      <c r="E29" s="137"/>
      <c r="F29" s="137"/>
      <c r="G29" s="176"/>
      <c r="H29" s="176"/>
      <c r="I29" s="34"/>
      <c r="J29" s="32"/>
      <c r="K29" s="177"/>
      <c r="L29" s="34"/>
      <c r="M29" s="32"/>
      <c r="N29" s="34"/>
      <c r="O29" s="175"/>
      <c r="P29" s="32"/>
      <c r="Q29" s="34"/>
    </row>
    <row r="30" ht="22.5" customHeight="1">
      <c r="B30" s="34"/>
      <c r="C30" s="137"/>
      <c r="D30" s="44"/>
      <c r="E30" s="137"/>
      <c r="F30" s="137"/>
      <c r="G30" s="176"/>
      <c r="H30" s="176"/>
      <c r="I30" s="34"/>
      <c r="J30" s="32"/>
      <c r="K30" s="177"/>
      <c r="L30" s="34"/>
      <c r="M30" s="32"/>
      <c r="N30" s="34"/>
      <c r="O30" s="175"/>
      <c r="P30" s="32"/>
      <c r="Q30" s="34"/>
    </row>
    <row r="31" ht="22.5" customHeight="1">
      <c r="B31" s="34"/>
      <c r="C31" s="137"/>
      <c r="D31" s="44"/>
      <c r="E31" s="137"/>
      <c r="F31" s="137"/>
      <c r="G31" s="176"/>
      <c r="H31" s="176"/>
      <c r="I31" s="34"/>
      <c r="J31" s="32"/>
      <c r="K31" s="177"/>
      <c r="L31" s="34"/>
      <c r="M31" s="32"/>
      <c r="N31" s="34"/>
      <c r="O31" s="175"/>
      <c r="P31" s="32"/>
      <c r="Q31" s="34"/>
    </row>
    <row r="32" ht="22.5" customHeight="1">
      <c r="B32" s="34"/>
      <c r="C32" s="137"/>
      <c r="D32" s="44"/>
      <c r="E32" s="137"/>
      <c r="F32" s="137"/>
      <c r="G32" s="176"/>
      <c r="H32" s="176"/>
      <c r="I32" s="34"/>
      <c r="J32" s="32"/>
      <c r="K32" s="177"/>
      <c r="L32" s="34"/>
      <c r="M32" s="32"/>
      <c r="N32" s="34"/>
      <c r="O32" s="175"/>
      <c r="P32" s="32"/>
      <c r="Q32" s="34"/>
    </row>
    <row r="33" ht="22.5" customHeight="1">
      <c r="B33" s="34"/>
      <c r="C33" s="137"/>
      <c r="D33" s="44"/>
      <c r="E33" s="137"/>
      <c r="F33" s="137"/>
      <c r="G33" s="176"/>
      <c r="H33" s="176"/>
      <c r="I33" s="34"/>
      <c r="J33" s="32"/>
      <c r="K33" s="177"/>
      <c r="L33" s="34"/>
      <c r="M33" s="32"/>
      <c r="N33" s="34"/>
      <c r="O33" s="175"/>
      <c r="P33" s="32"/>
      <c r="Q33" s="34"/>
    </row>
    <row r="34" ht="22.5" customHeight="1">
      <c r="B34" s="34"/>
      <c r="C34" s="137"/>
      <c r="D34" s="44"/>
      <c r="E34" s="137"/>
      <c r="F34" s="137"/>
      <c r="G34" s="176"/>
      <c r="H34" s="176"/>
      <c r="I34" s="34"/>
      <c r="J34" s="32"/>
      <c r="K34" s="177"/>
      <c r="L34" s="34"/>
      <c r="M34" s="32"/>
      <c r="N34" s="34"/>
      <c r="O34" s="175"/>
      <c r="P34" s="32"/>
      <c r="Q34" s="34"/>
    </row>
    <row r="35" ht="22.5" customHeight="1">
      <c r="B35" s="34"/>
      <c r="C35" s="137"/>
      <c r="D35" s="44"/>
      <c r="E35" s="137"/>
      <c r="F35" s="137"/>
      <c r="G35" s="176"/>
      <c r="H35" s="176"/>
      <c r="I35" s="34"/>
      <c r="J35" s="32"/>
      <c r="K35" s="177"/>
      <c r="L35" s="34"/>
      <c r="M35" s="32"/>
      <c r="N35" s="34"/>
      <c r="O35" s="175"/>
      <c r="P35" s="32"/>
      <c r="Q35" s="34"/>
    </row>
    <row r="36" ht="22.5" customHeight="1">
      <c r="B36" s="34"/>
      <c r="C36" s="137"/>
      <c r="D36" s="44"/>
      <c r="E36" s="137"/>
      <c r="F36" s="137"/>
      <c r="G36" s="176"/>
      <c r="H36" s="176"/>
      <c r="I36" s="34"/>
      <c r="J36" s="32"/>
      <c r="K36" s="177"/>
      <c r="L36" s="34"/>
      <c r="M36" s="32"/>
      <c r="N36" s="34"/>
      <c r="O36" s="175"/>
      <c r="P36" s="32"/>
      <c r="Q36" s="34"/>
    </row>
    <row r="37" ht="22.5" customHeight="1">
      <c r="B37" s="34"/>
      <c r="C37" s="137"/>
      <c r="D37" s="44"/>
      <c r="E37" s="137"/>
      <c r="F37" s="137"/>
      <c r="G37" s="176"/>
      <c r="H37" s="176"/>
      <c r="I37" s="34"/>
      <c r="J37" s="32"/>
      <c r="K37" s="177"/>
      <c r="L37" s="34"/>
      <c r="M37" s="32"/>
      <c r="N37" s="34"/>
      <c r="O37" s="175"/>
      <c r="P37" s="32"/>
      <c r="Q37" s="34"/>
    </row>
    <row r="38" ht="22.5" customHeight="1">
      <c r="B38" s="34"/>
      <c r="C38" s="137"/>
      <c r="D38" s="44"/>
      <c r="E38" s="137"/>
      <c r="F38" s="137"/>
      <c r="G38" s="176"/>
      <c r="H38" s="176"/>
      <c r="I38" s="34"/>
      <c r="J38" s="32"/>
      <c r="K38" s="177"/>
      <c r="L38" s="34"/>
      <c r="M38" s="32"/>
      <c r="N38" s="34"/>
      <c r="O38" s="175"/>
      <c r="P38" s="32"/>
      <c r="Q38" s="34"/>
    </row>
    <row r="39" ht="22.5" customHeight="1">
      <c r="B39" s="34"/>
      <c r="C39" s="137"/>
      <c r="D39" s="44"/>
      <c r="E39" s="137"/>
      <c r="F39" s="137"/>
      <c r="G39" s="176"/>
      <c r="H39" s="176"/>
      <c r="I39" s="34"/>
      <c r="J39" s="32"/>
      <c r="K39" s="177"/>
      <c r="L39" s="34"/>
      <c r="M39" s="32"/>
      <c r="N39" s="34"/>
      <c r="O39" s="175"/>
      <c r="P39" s="32"/>
      <c r="Q39" s="34"/>
    </row>
    <row r="40" ht="22.5" customHeight="1">
      <c r="B40" s="34"/>
      <c r="C40" s="137"/>
      <c r="D40" s="44"/>
      <c r="E40" s="137"/>
      <c r="F40" s="137"/>
      <c r="G40" s="176"/>
      <c r="H40" s="176"/>
      <c r="I40" s="34"/>
      <c r="J40" s="32"/>
      <c r="K40" s="177"/>
      <c r="L40" s="34"/>
      <c r="M40" s="32"/>
      <c r="N40" s="34"/>
      <c r="O40" s="175"/>
      <c r="P40" s="32"/>
      <c r="Q40" s="34"/>
    </row>
    <row r="41" ht="22.5" customHeight="1">
      <c r="B41" s="34"/>
      <c r="C41" s="137"/>
      <c r="D41" s="44"/>
      <c r="E41" s="137"/>
      <c r="F41" s="137"/>
      <c r="G41" s="176"/>
      <c r="H41" s="176"/>
      <c r="I41" s="34"/>
      <c r="J41" s="32"/>
      <c r="K41" s="177"/>
      <c r="L41" s="34"/>
      <c r="M41" s="32"/>
      <c r="N41" s="34"/>
      <c r="O41" s="175"/>
      <c r="P41" s="32"/>
      <c r="Q41" s="34"/>
    </row>
    <row r="42" ht="22.5" customHeight="1">
      <c r="B42" s="34"/>
      <c r="C42" s="137"/>
      <c r="D42" s="44"/>
      <c r="E42" s="137"/>
      <c r="F42" s="137"/>
      <c r="G42" s="176"/>
      <c r="H42" s="176"/>
      <c r="I42" s="34"/>
      <c r="J42" s="32"/>
      <c r="K42" s="177"/>
      <c r="L42" s="34"/>
      <c r="M42" s="32"/>
      <c r="N42" s="34"/>
      <c r="O42" s="175"/>
      <c r="P42" s="32"/>
      <c r="Q42" s="34"/>
    </row>
    <row r="43" ht="22.5" customHeight="1">
      <c r="B43" s="34"/>
      <c r="C43" s="137"/>
      <c r="D43" s="44"/>
      <c r="E43" s="137"/>
      <c r="F43" s="137"/>
      <c r="G43" s="176"/>
      <c r="H43" s="176"/>
      <c r="I43" s="34"/>
      <c r="J43" s="32"/>
      <c r="K43" s="177"/>
      <c r="L43" s="34"/>
      <c r="M43" s="32"/>
      <c r="N43" s="34"/>
      <c r="O43" s="175"/>
      <c r="P43" s="32"/>
      <c r="Q43" s="34"/>
    </row>
    <row r="44" ht="22.5" customHeight="1">
      <c r="B44" s="34"/>
      <c r="C44" s="137"/>
      <c r="D44" s="44"/>
      <c r="E44" s="137"/>
      <c r="F44" s="137"/>
      <c r="G44" s="176"/>
      <c r="H44" s="176"/>
      <c r="I44" s="34"/>
      <c r="J44" s="32"/>
      <c r="K44" s="177"/>
      <c r="L44" s="34"/>
      <c r="M44" s="32"/>
      <c r="N44" s="34"/>
      <c r="O44" s="175"/>
      <c r="P44" s="32"/>
      <c r="Q44" s="34"/>
    </row>
    <row r="45" ht="22.5" customHeight="1">
      <c r="B45" s="34"/>
      <c r="C45" s="137"/>
      <c r="D45" s="44"/>
      <c r="E45" s="137"/>
      <c r="F45" s="137"/>
      <c r="G45" s="176"/>
      <c r="H45" s="176"/>
      <c r="I45" s="34"/>
      <c r="J45" s="32"/>
      <c r="K45" s="177"/>
      <c r="L45" s="34"/>
      <c r="M45" s="32"/>
      <c r="N45" s="34"/>
      <c r="O45" s="175"/>
      <c r="P45" s="32"/>
      <c r="Q45" s="34"/>
    </row>
    <row r="46" ht="22.5" customHeight="1">
      <c r="B46" s="34"/>
      <c r="C46" s="137"/>
      <c r="D46" s="44"/>
      <c r="E46" s="137"/>
      <c r="F46" s="137"/>
      <c r="G46" s="176"/>
      <c r="H46" s="176"/>
      <c r="I46" s="34"/>
      <c r="J46" s="32"/>
      <c r="K46" s="177"/>
      <c r="L46" s="34"/>
      <c r="M46" s="32"/>
      <c r="N46" s="34"/>
      <c r="O46" s="175"/>
      <c r="P46" s="32"/>
      <c r="Q46" s="34"/>
    </row>
    <row r="47" ht="22.5" customHeight="1">
      <c r="B47" s="34"/>
      <c r="C47" s="137"/>
      <c r="D47" s="44"/>
      <c r="E47" s="137"/>
      <c r="F47" s="137"/>
      <c r="G47" s="176"/>
      <c r="H47" s="176"/>
      <c r="I47" s="34"/>
      <c r="J47" s="32"/>
      <c r="K47" s="177"/>
      <c r="L47" s="34"/>
      <c r="M47" s="32"/>
      <c r="N47" s="34"/>
      <c r="O47" s="175"/>
      <c r="P47" s="32"/>
      <c r="Q47" s="34"/>
    </row>
    <row r="48" ht="22.5" customHeight="1">
      <c r="B48" s="34"/>
      <c r="C48" s="137"/>
      <c r="D48" s="44"/>
      <c r="E48" s="137"/>
      <c r="F48" s="137"/>
      <c r="G48" s="176"/>
      <c r="H48" s="176"/>
      <c r="I48" s="34"/>
      <c r="J48" s="32"/>
      <c r="K48" s="177"/>
      <c r="L48" s="34"/>
      <c r="M48" s="32"/>
      <c r="N48" s="34"/>
      <c r="O48" s="175"/>
      <c r="P48" s="32"/>
      <c r="Q48" s="34"/>
    </row>
    <row r="49" ht="22.5" customHeight="1">
      <c r="B49" s="34"/>
      <c r="C49" s="137"/>
      <c r="D49" s="44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175"/>
      <c r="P49" s="32"/>
      <c r="Q49" s="34"/>
    </row>
    <row r="50" ht="22.5" customHeight="1">
      <c r="B50" s="34"/>
      <c r="C50" s="137"/>
      <c r="D50" s="44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175"/>
      <c r="P50" s="32"/>
      <c r="Q50" s="34"/>
    </row>
    <row r="51" ht="22.5" customHeight="1">
      <c r="B51" s="34"/>
      <c r="C51" s="137"/>
      <c r="D51" s="44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175"/>
      <c r="P51" s="32"/>
      <c r="Q51" s="34"/>
    </row>
    <row r="52" ht="22.5" customHeight="1">
      <c r="B52" s="34"/>
      <c r="C52" s="137"/>
      <c r="D52" s="44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175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175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1000000.0</v>
      </c>
      <c r="F4" s="15">
        <f>SUMIFS(OPI_14[MAF NETO],OPI_14[ESTADO],"Desembolsado")</f>
        <v>994700</v>
      </c>
      <c r="G4" s="15">
        <f>F4-E4</f>
        <v>-5300</v>
      </c>
      <c r="H4" s="16">
        <f>SUMIFS(OPI_14[MAF NETO],OPI_14[ESTADO],H$3)</f>
        <v>0</v>
      </c>
      <c r="I4" s="16">
        <f>SUMIFS(OPI_14[MAF NETO],OPI_14[ESTADO],I$3)</f>
        <v>0</v>
      </c>
      <c r="J4" s="16">
        <f>SUMIFS(OPI_14[MAF NETO],OPI_14[ESTADO],J$3)</f>
        <v>0</v>
      </c>
      <c r="K4" s="16">
        <f>SUMIFS(OPI_14[MAF NETO],OPI_14[ESTADO],K$3)</f>
        <v>156150</v>
      </c>
      <c r="L4" s="16">
        <f>SUMIFS(OPI_14[MAF NETO],OPI_14[ESTADO],L$3)</f>
        <v>0</v>
      </c>
      <c r="M4" s="16">
        <f>SUMIFS(OPI_14[MAF NETO],OPI_14[ESTADO],M$3)</f>
        <v>82000</v>
      </c>
      <c r="N4" s="16">
        <f>SUMIFS(OPI_14[MAF NETO],OPI_14[ESTADO],N$3)</f>
        <v>495800</v>
      </c>
    </row>
    <row r="5" ht="26.25" customHeight="1">
      <c r="D5" s="17" t="s">
        <v>31</v>
      </c>
      <c r="E5" s="18" t="s">
        <v>32</v>
      </c>
      <c r="F5" s="19">
        <f>COUNTIFS(OPI_14[ESTADO],"Desembolsado")</f>
        <v>14</v>
      </c>
      <c r="G5" s="20">
        <f>IFERROR(F4/E4,"")</f>
        <v>0.9947</v>
      </c>
      <c r="H5" s="19">
        <f>COUNTIFS(OPI_14[ESTADO],H$3)</f>
        <v>0</v>
      </c>
      <c r="I5" s="19">
        <f>COUNTIFS(OPI_14[ESTADO],I$3)</f>
        <v>0</v>
      </c>
      <c r="J5" s="19">
        <f>COUNTIFS(OPI_14[ESTADO],J$3)</f>
        <v>0</v>
      </c>
      <c r="K5" s="19">
        <f>COUNTIFS(OPI_14[ESTADO],K$3)</f>
        <v>2</v>
      </c>
      <c r="L5" s="19">
        <f>COUNTIFS(OPI_14[ESTADO],L$3)</f>
        <v>0</v>
      </c>
      <c r="M5" s="19">
        <f>COUNTIFS(OPI_14[ESTADO],M$3)</f>
        <v>1</v>
      </c>
      <c r="N5" s="19">
        <f>COUNTIFS(OPI_14[ESTADO],N$3)</f>
        <v>7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5" t="s">
        <v>175</v>
      </c>
      <c r="C10" s="26">
        <v>46224.0</v>
      </c>
      <c r="D10" s="27" t="s">
        <v>53</v>
      </c>
      <c r="E10" s="26"/>
      <c r="F10" s="26">
        <v>46238.0</v>
      </c>
      <c r="G10" s="28" t="s">
        <v>199</v>
      </c>
      <c r="H10" s="123" t="s">
        <v>200</v>
      </c>
      <c r="I10" s="25" t="s">
        <v>56</v>
      </c>
      <c r="J10" s="27" t="s">
        <v>19</v>
      </c>
      <c r="K10" s="29">
        <v>40000.0</v>
      </c>
      <c r="L10" s="25" t="s">
        <v>201</v>
      </c>
      <c r="M10" s="27" t="s">
        <v>203</v>
      </c>
      <c r="N10" s="34"/>
      <c r="O10" s="27"/>
      <c r="P10" s="32"/>
      <c r="Q10" s="25" t="s">
        <v>205</v>
      </c>
    </row>
    <row r="11" ht="22.5" customHeight="1">
      <c r="B11" s="25" t="s">
        <v>175</v>
      </c>
      <c r="C11" s="26">
        <v>46238.0</v>
      </c>
      <c r="D11" s="27" t="s">
        <v>53</v>
      </c>
      <c r="E11" s="26"/>
      <c r="F11" s="26">
        <v>46241.0</v>
      </c>
      <c r="G11" s="28" t="s">
        <v>212</v>
      </c>
      <c r="H11" s="123" t="s">
        <v>213</v>
      </c>
      <c r="I11" s="25" t="s">
        <v>56</v>
      </c>
      <c r="J11" s="27" t="s">
        <v>19</v>
      </c>
      <c r="K11" s="29">
        <v>79500.0</v>
      </c>
      <c r="L11" s="25" t="s">
        <v>201</v>
      </c>
      <c r="M11" s="27" t="s">
        <v>203</v>
      </c>
      <c r="N11" s="34"/>
      <c r="O11" s="27"/>
      <c r="P11" s="32"/>
      <c r="Q11" s="25" t="s">
        <v>214</v>
      </c>
    </row>
    <row r="12" ht="22.5" customHeight="1">
      <c r="B12" s="25" t="s">
        <v>175</v>
      </c>
      <c r="C12" s="26">
        <v>46238.0</v>
      </c>
      <c r="D12" s="27" t="s">
        <v>53</v>
      </c>
      <c r="E12" s="26"/>
      <c r="F12" s="26">
        <v>46248.0</v>
      </c>
      <c r="G12" s="28" t="s">
        <v>215</v>
      </c>
      <c r="H12" s="123" t="s">
        <v>217</v>
      </c>
      <c r="I12" s="25" t="s">
        <v>56</v>
      </c>
      <c r="J12" s="27" t="s">
        <v>19</v>
      </c>
      <c r="K12" s="29">
        <v>81750.0</v>
      </c>
      <c r="L12" s="25" t="s">
        <v>201</v>
      </c>
      <c r="M12" s="27" t="s">
        <v>203</v>
      </c>
      <c r="N12" s="34"/>
      <c r="O12" s="27"/>
      <c r="P12" s="32"/>
      <c r="Q12" s="25" t="s">
        <v>205</v>
      </c>
    </row>
    <row r="13" ht="22.5" customHeight="1">
      <c r="B13" s="25" t="s">
        <v>175</v>
      </c>
      <c r="C13" s="26">
        <v>46239.0</v>
      </c>
      <c r="D13" s="27" t="s">
        <v>53</v>
      </c>
      <c r="E13" s="26"/>
      <c r="F13" s="26">
        <v>46247.0</v>
      </c>
      <c r="G13" s="28" t="s">
        <v>223</v>
      </c>
      <c r="H13" s="123" t="s">
        <v>226</v>
      </c>
      <c r="I13" s="25" t="s">
        <v>193</v>
      </c>
      <c r="J13" s="27" t="s">
        <v>19</v>
      </c>
      <c r="K13" s="29">
        <v>47450.0</v>
      </c>
      <c r="L13" s="25" t="s">
        <v>201</v>
      </c>
      <c r="M13" s="27"/>
      <c r="N13" s="34"/>
      <c r="O13" s="27"/>
      <c r="P13" s="32"/>
      <c r="Q13" s="25" t="s">
        <v>227</v>
      </c>
    </row>
    <row r="14" ht="22.5" customHeight="1">
      <c r="B14" s="25" t="s">
        <v>175</v>
      </c>
      <c r="C14" s="26">
        <v>46239.0</v>
      </c>
      <c r="D14" s="27" t="s">
        <v>53</v>
      </c>
      <c r="E14" s="26"/>
      <c r="F14" s="26">
        <v>46248.0</v>
      </c>
      <c r="G14" s="28" t="s">
        <v>228</v>
      </c>
      <c r="H14" s="123" t="s">
        <v>230</v>
      </c>
      <c r="I14" s="25" t="s">
        <v>193</v>
      </c>
      <c r="J14" s="27" t="s">
        <v>19</v>
      </c>
      <c r="K14" s="29">
        <v>59800.0</v>
      </c>
      <c r="L14" s="25" t="s">
        <v>201</v>
      </c>
      <c r="M14" s="27"/>
      <c r="N14" s="34"/>
      <c r="O14" s="32"/>
      <c r="P14" s="32"/>
      <c r="Q14" s="25" t="s">
        <v>227</v>
      </c>
    </row>
    <row r="15" ht="22.5" customHeight="1">
      <c r="B15" s="25" t="s">
        <v>175</v>
      </c>
      <c r="C15" s="26">
        <v>46238.0</v>
      </c>
      <c r="D15" s="27" t="s">
        <v>178</v>
      </c>
      <c r="E15" s="137"/>
      <c r="F15" s="137"/>
      <c r="G15" s="28" t="s">
        <v>236</v>
      </c>
      <c r="H15" s="123" t="s">
        <v>237</v>
      </c>
      <c r="I15" s="25" t="s">
        <v>73</v>
      </c>
      <c r="J15" s="27" t="s">
        <v>27</v>
      </c>
      <c r="K15" s="29">
        <v>80400.0</v>
      </c>
      <c r="L15" s="25" t="s">
        <v>239</v>
      </c>
      <c r="M15" s="27"/>
      <c r="N15" s="34"/>
      <c r="O15" s="32"/>
      <c r="P15" s="32"/>
      <c r="Q15" s="25" t="s">
        <v>241</v>
      </c>
    </row>
    <row r="16" ht="22.5" customHeight="1">
      <c r="B16" s="25" t="s">
        <v>175</v>
      </c>
      <c r="C16" s="26">
        <v>46238.0</v>
      </c>
      <c r="D16" s="27" t="s">
        <v>53</v>
      </c>
      <c r="E16" s="137"/>
      <c r="F16" s="26">
        <v>46248.0</v>
      </c>
      <c r="G16" s="28" t="s">
        <v>244</v>
      </c>
      <c r="H16" s="123" t="s">
        <v>245</v>
      </c>
      <c r="I16" s="25" t="s">
        <v>89</v>
      </c>
      <c r="J16" s="27" t="s">
        <v>19</v>
      </c>
      <c r="K16" s="29">
        <v>86200.0</v>
      </c>
      <c r="L16" s="25" t="s">
        <v>201</v>
      </c>
      <c r="M16" s="27"/>
      <c r="N16" s="34"/>
      <c r="O16" s="32"/>
      <c r="P16" s="32"/>
      <c r="Q16" s="25" t="s">
        <v>214</v>
      </c>
    </row>
    <row r="17" ht="22.5" customHeight="1">
      <c r="B17" s="25" t="s">
        <v>175</v>
      </c>
      <c r="C17" s="26">
        <v>46238.0</v>
      </c>
      <c r="D17" s="27" t="s">
        <v>53</v>
      </c>
      <c r="E17" s="137"/>
      <c r="F17" s="137"/>
      <c r="G17" s="28" t="s">
        <v>251</v>
      </c>
      <c r="H17" s="123" t="s">
        <v>252</v>
      </c>
      <c r="I17" s="25" t="s">
        <v>73</v>
      </c>
      <c r="J17" s="27" t="s">
        <v>27</v>
      </c>
      <c r="K17" s="29">
        <v>81500.0</v>
      </c>
      <c r="L17" s="25" t="s">
        <v>239</v>
      </c>
      <c r="M17" s="27"/>
      <c r="N17" s="34"/>
      <c r="O17" s="32"/>
      <c r="P17" s="32"/>
      <c r="Q17" s="25" t="s">
        <v>256</v>
      </c>
    </row>
    <row r="18" ht="22.5" customHeight="1">
      <c r="B18" s="25" t="s">
        <v>175</v>
      </c>
      <c r="C18" s="26">
        <v>46239.0</v>
      </c>
      <c r="D18" s="27" t="s">
        <v>178</v>
      </c>
      <c r="E18" s="137"/>
      <c r="F18" s="137"/>
      <c r="G18" s="28" t="s">
        <v>259</v>
      </c>
      <c r="H18" s="123" t="s">
        <v>261</v>
      </c>
      <c r="I18" s="25" t="s">
        <v>73</v>
      </c>
      <c r="J18" s="27" t="s">
        <v>27</v>
      </c>
      <c r="K18" s="29">
        <v>81300.0</v>
      </c>
      <c r="L18" s="25" t="s">
        <v>239</v>
      </c>
      <c r="M18" s="27"/>
      <c r="N18" s="34"/>
      <c r="O18" s="32"/>
      <c r="P18" s="32"/>
      <c r="Q18" s="25" t="s">
        <v>265</v>
      </c>
    </row>
    <row r="19" ht="22.5" customHeight="1">
      <c r="B19" s="25" t="s">
        <v>175</v>
      </c>
      <c r="C19" s="26">
        <v>46239.0</v>
      </c>
      <c r="D19" s="27" t="s">
        <v>178</v>
      </c>
      <c r="E19" s="137"/>
      <c r="F19" s="137"/>
      <c r="G19" s="28" t="s">
        <v>268</v>
      </c>
      <c r="H19" s="123" t="s">
        <v>269</v>
      </c>
      <c r="I19" s="25" t="s">
        <v>193</v>
      </c>
      <c r="J19" s="27" t="s">
        <v>27</v>
      </c>
      <c r="K19" s="29">
        <v>0.0</v>
      </c>
      <c r="L19" s="25" t="s">
        <v>272</v>
      </c>
      <c r="M19" s="27"/>
      <c r="N19" s="34"/>
      <c r="O19" s="32"/>
      <c r="P19" s="32"/>
      <c r="Q19" s="25" t="s">
        <v>273</v>
      </c>
    </row>
    <row r="20" ht="22.5" customHeight="1">
      <c r="B20" s="25" t="s">
        <v>175</v>
      </c>
      <c r="C20" s="26">
        <v>46239.0</v>
      </c>
      <c r="D20" s="27" t="s">
        <v>53</v>
      </c>
      <c r="E20" s="137"/>
      <c r="F20" s="26">
        <v>46241.0</v>
      </c>
      <c r="G20" s="28" t="s">
        <v>274</v>
      </c>
      <c r="H20" s="123" t="s">
        <v>275</v>
      </c>
      <c r="I20" s="25" t="s">
        <v>56</v>
      </c>
      <c r="J20" s="27" t="s">
        <v>19</v>
      </c>
      <c r="K20" s="29">
        <v>78500.0</v>
      </c>
      <c r="L20" s="25" t="s">
        <v>201</v>
      </c>
      <c r="M20" s="27"/>
      <c r="N20" s="34"/>
      <c r="O20" s="32"/>
      <c r="P20" s="32"/>
      <c r="Q20" s="25" t="s">
        <v>279</v>
      </c>
    </row>
    <row r="21" ht="22.5" customHeight="1">
      <c r="B21" s="25" t="s">
        <v>175</v>
      </c>
      <c r="C21" s="26">
        <v>46244.0</v>
      </c>
      <c r="D21" s="27" t="s">
        <v>53</v>
      </c>
      <c r="E21" s="137"/>
      <c r="F21" s="26">
        <v>46245.0</v>
      </c>
      <c r="G21" s="28" t="s">
        <v>282</v>
      </c>
      <c r="H21" s="123" t="s">
        <v>283</v>
      </c>
      <c r="I21" s="25" t="s">
        <v>56</v>
      </c>
      <c r="J21" s="27" t="s">
        <v>19</v>
      </c>
      <c r="K21" s="29">
        <v>50000.0</v>
      </c>
      <c r="L21" s="25" t="s">
        <v>201</v>
      </c>
      <c r="M21" s="27"/>
      <c r="N21" s="34"/>
      <c r="O21" s="32"/>
      <c r="P21" s="32"/>
      <c r="Q21" s="25" t="s">
        <v>286</v>
      </c>
    </row>
    <row r="22" ht="22.5" customHeight="1">
      <c r="B22" s="25" t="s">
        <v>175</v>
      </c>
      <c r="C22" s="26">
        <v>46245.0</v>
      </c>
      <c r="D22" s="27" t="s">
        <v>53</v>
      </c>
      <c r="E22" s="137"/>
      <c r="F22" s="26">
        <v>46259.0</v>
      </c>
      <c r="G22" s="28" t="s">
        <v>287</v>
      </c>
      <c r="H22" s="123" t="s">
        <v>288</v>
      </c>
      <c r="I22" s="25" t="s">
        <v>289</v>
      </c>
      <c r="J22" s="27" t="s">
        <v>19</v>
      </c>
      <c r="K22" s="29">
        <v>136800.0</v>
      </c>
      <c r="L22" s="25" t="s">
        <v>201</v>
      </c>
      <c r="M22" s="27"/>
      <c r="N22" s="34"/>
      <c r="O22" s="32"/>
      <c r="P22" s="32"/>
      <c r="Q22" s="25" t="s">
        <v>290</v>
      </c>
    </row>
    <row r="23" ht="22.5" customHeight="1">
      <c r="B23" s="25" t="s">
        <v>175</v>
      </c>
      <c r="C23" s="26">
        <v>46245.0</v>
      </c>
      <c r="D23" s="27" t="s">
        <v>178</v>
      </c>
      <c r="E23" s="137"/>
      <c r="F23" s="137"/>
      <c r="G23" s="28" t="s">
        <v>293</v>
      </c>
      <c r="H23" s="123" t="s">
        <v>294</v>
      </c>
      <c r="I23" s="25" t="s">
        <v>56</v>
      </c>
      <c r="J23" s="27" t="s">
        <v>27</v>
      </c>
      <c r="K23" s="29">
        <v>90400.0</v>
      </c>
      <c r="L23" s="25" t="s">
        <v>239</v>
      </c>
      <c r="M23" s="32"/>
      <c r="N23" s="34"/>
      <c r="O23" s="32"/>
      <c r="P23" s="32"/>
      <c r="Q23" s="25" t="s">
        <v>296</v>
      </c>
    </row>
    <row r="24" ht="22.5" customHeight="1">
      <c r="B24" s="25" t="s">
        <v>175</v>
      </c>
      <c r="C24" s="26">
        <v>46246.0</v>
      </c>
      <c r="D24" s="27" t="s">
        <v>178</v>
      </c>
      <c r="E24" s="137"/>
      <c r="F24" s="137"/>
      <c r="G24" s="28" t="s">
        <v>300</v>
      </c>
      <c r="H24" s="123" t="s">
        <v>301</v>
      </c>
      <c r="I24" s="25" t="s">
        <v>56</v>
      </c>
      <c r="J24" s="27" t="s">
        <v>27</v>
      </c>
      <c r="K24" s="29">
        <v>81700.0</v>
      </c>
      <c r="L24" s="25" t="s">
        <v>302</v>
      </c>
      <c r="M24" s="32"/>
      <c r="N24" s="34"/>
      <c r="O24" s="32"/>
      <c r="P24" s="32"/>
      <c r="Q24" s="25" t="s">
        <v>303</v>
      </c>
    </row>
    <row r="25" ht="22.5" customHeight="1">
      <c r="B25" s="25" t="s">
        <v>175</v>
      </c>
      <c r="C25" s="26">
        <v>46247.0</v>
      </c>
      <c r="D25" s="27" t="s">
        <v>53</v>
      </c>
      <c r="E25" s="137"/>
      <c r="F25" s="26">
        <v>46248.0</v>
      </c>
      <c r="G25" s="28" t="s">
        <v>306</v>
      </c>
      <c r="H25" s="123" t="s">
        <v>307</v>
      </c>
      <c r="I25" s="25" t="s">
        <v>56</v>
      </c>
      <c r="J25" s="27" t="s">
        <v>19</v>
      </c>
      <c r="K25" s="29">
        <v>72800.0</v>
      </c>
      <c r="L25" s="25" t="s">
        <v>201</v>
      </c>
      <c r="M25" s="32"/>
      <c r="N25" s="34"/>
      <c r="O25" s="32"/>
      <c r="P25" s="32"/>
      <c r="Q25" s="25" t="s">
        <v>309</v>
      </c>
    </row>
    <row r="26" ht="22.5" customHeight="1">
      <c r="B26" s="25" t="s">
        <v>175</v>
      </c>
      <c r="C26" s="26">
        <v>46247.0</v>
      </c>
      <c r="D26" s="27" t="s">
        <v>53</v>
      </c>
      <c r="E26" s="137"/>
      <c r="F26" s="26">
        <v>46259.0</v>
      </c>
      <c r="G26" s="28" t="s">
        <v>311</v>
      </c>
      <c r="H26" s="123" t="s">
        <v>312</v>
      </c>
      <c r="I26" s="25" t="s">
        <v>56</v>
      </c>
      <c r="J26" s="27" t="s">
        <v>19</v>
      </c>
      <c r="K26" s="29">
        <v>70600.0</v>
      </c>
      <c r="L26" s="25" t="s">
        <v>201</v>
      </c>
      <c r="M26" s="32"/>
      <c r="N26" s="34"/>
      <c r="O26" s="32"/>
      <c r="P26" s="32"/>
      <c r="Q26" s="34"/>
    </row>
    <row r="27" ht="22.5" customHeight="1">
      <c r="B27" s="25" t="s">
        <v>175</v>
      </c>
      <c r="C27" s="26">
        <v>46247.0</v>
      </c>
      <c r="D27" s="27" t="s">
        <v>53</v>
      </c>
      <c r="E27" s="137"/>
      <c r="F27" s="26">
        <v>46254.0</v>
      </c>
      <c r="G27" s="28" t="s">
        <v>318</v>
      </c>
      <c r="H27" s="123" t="s">
        <v>319</v>
      </c>
      <c r="I27" s="25" t="s">
        <v>56</v>
      </c>
      <c r="J27" s="27" t="s">
        <v>19</v>
      </c>
      <c r="K27" s="29">
        <v>56000.0</v>
      </c>
      <c r="L27" s="25" t="s">
        <v>201</v>
      </c>
      <c r="M27" s="32"/>
      <c r="N27" s="34"/>
      <c r="O27" s="32"/>
      <c r="P27" s="32"/>
      <c r="Q27" s="34"/>
    </row>
    <row r="28" ht="22.5" customHeight="1">
      <c r="B28" s="25" t="s">
        <v>175</v>
      </c>
      <c r="C28" s="26">
        <v>46247.0</v>
      </c>
      <c r="D28" s="27" t="s">
        <v>53</v>
      </c>
      <c r="E28" s="137"/>
      <c r="F28" s="137"/>
      <c r="G28" s="28" t="s">
        <v>322</v>
      </c>
      <c r="H28" s="123" t="s">
        <v>323</v>
      </c>
      <c r="I28" s="25" t="s">
        <v>56</v>
      </c>
      <c r="J28" s="27" t="s">
        <v>27</v>
      </c>
      <c r="K28" s="29">
        <v>80500.0</v>
      </c>
      <c r="L28" s="25" t="s">
        <v>239</v>
      </c>
      <c r="M28" s="32"/>
      <c r="N28" s="34"/>
      <c r="O28" s="32"/>
      <c r="P28" s="32"/>
      <c r="Q28" s="34"/>
    </row>
    <row r="29" ht="22.5" customHeight="1">
      <c r="B29" s="25" t="s">
        <v>175</v>
      </c>
      <c r="C29" s="26">
        <v>46251.0</v>
      </c>
      <c r="D29" s="27" t="s">
        <v>53</v>
      </c>
      <c r="E29" s="137"/>
      <c r="F29" s="137"/>
      <c r="G29" s="28" t="s">
        <v>328</v>
      </c>
      <c r="H29" s="123" t="s">
        <v>329</v>
      </c>
      <c r="I29" s="25" t="s">
        <v>89</v>
      </c>
      <c r="J29" s="27" t="s">
        <v>26</v>
      </c>
      <c r="K29" s="29">
        <v>82000.0</v>
      </c>
      <c r="L29" s="25" t="s">
        <v>201</v>
      </c>
      <c r="M29" s="32"/>
      <c r="N29" s="34"/>
      <c r="O29" s="32"/>
      <c r="P29" s="32"/>
      <c r="Q29" s="34"/>
    </row>
    <row r="30" ht="22.5" customHeight="1">
      <c r="B30" s="25" t="s">
        <v>175</v>
      </c>
      <c r="C30" s="26">
        <v>46255.0</v>
      </c>
      <c r="D30" s="27" t="s">
        <v>53</v>
      </c>
      <c r="E30" s="137"/>
      <c r="F30" s="26">
        <v>46261.0</v>
      </c>
      <c r="G30" s="28" t="s">
        <v>330</v>
      </c>
      <c r="H30" s="123" t="s">
        <v>331</v>
      </c>
      <c r="I30" s="25" t="s">
        <v>332</v>
      </c>
      <c r="J30" s="27" t="s">
        <v>19</v>
      </c>
      <c r="K30" s="29">
        <v>72000.0</v>
      </c>
      <c r="L30" s="25" t="s">
        <v>201</v>
      </c>
      <c r="M30" s="32"/>
      <c r="N30" s="34"/>
      <c r="O30" s="32"/>
      <c r="P30" s="32"/>
      <c r="Q30" s="34"/>
    </row>
    <row r="31" ht="22.5" customHeight="1">
      <c r="B31" s="25" t="s">
        <v>175</v>
      </c>
      <c r="C31" s="26">
        <v>46260.0</v>
      </c>
      <c r="D31" s="27" t="s">
        <v>53</v>
      </c>
      <c r="E31" s="137"/>
      <c r="F31" s="137"/>
      <c r="G31" s="28" t="s">
        <v>333</v>
      </c>
      <c r="H31" s="28" t="s">
        <v>334</v>
      </c>
      <c r="I31" s="25" t="s">
        <v>335</v>
      </c>
      <c r="J31" s="27" t="s">
        <v>24</v>
      </c>
      <c r="K31" s="29">
        <v>83800.0</v>
      </c>
      <c r="L31" s="25" t="s">
        <v>201</v>
      </c>
      <c r="M31" s="32"/>
      <c r="N31" s="34"/>
      <c r="O31" s="32"/>
      <c r="P31" s="32"/>
      <c r="Q31" s="25" t="s">
        <v>336</v>
      </c>
    </row>
    <row r="32" ht="22.5" customHeight="1">
      <c r="B32" s="25" t="s">
        <v>175</v>
      </c>
      <c r="C32" s="26">
        <v>46260.0</v>
      </c>
      <c r="D32" s="27" t="s">
        <v>53</v>
      </c>
      <c r="E32" s="137"/>
      <c r="F32" s="137"/>
      <c r="G32" s="28" t="s">
        <v>337</v>
      </c>
      <c r="H32" s="28" t="s">
        <v>338</v>
      </c>
      <c r="I32" s="25" t="s">
        <v>335</v>
      </c>
      <c r="J32" s="27" t="s">
        <v>24</v>
      </c>
      <c r="K32" s="29">
        <v>72350.0</v>
      </c>
      <c r="L32" s="25" t="s">
        <v>201</v>
      </c>
      <c r="M32" s="32"/>
      <c r="N32" s="34"/>
      <c r="O32" s="32"/>
      <c r="P32" s="32"/>
      <c r="Q32" s="25" t="s">
        <v>339</v>
      </c>
    </row>
    <row r="33" ht="22.5" customHeight="1">
      <c r="B33" s="25" t="s">
        <v>175</v>
      </c>
      <c r="C33" s="26">
        <v>46261.0</v>
      </c>
      <c r="D33" s="27" t="s">
        <v>53</v>
      </c>
      <c r="E33" s="137"/>
      <c r="F33" s="137"/>
      <c r="G33" s="28" t="s">
        <v>340</v>
      </c>
      <c r="H33" s="28" t="s">
        <v>341</v>
      </c>
      <c r="I33" s="25" t="s">
        <v>56</v>
      </c>
      <c r="J33" s="27" t="s">
        <v>19</v>
      </c>
      <c r="K33" s="29">
        <v>63300.0</v>
      </c>
      <c r="L33" s="25" t="s">
        <v>201</v>
      </c>
      <c r="M33" s="32"/>
      <c r="N33" s="34"/>
      <c r="O33" s="32"/>
      <c r="P33" s="32"/>
      <c r="Q33" s="25" t="s">
        <v>342</v>
      </c>
    </row>
    <row r="34" ht="22.5" customHeight="1">
      <c r="B34" s="25" t="s">
        <v>175</v>
      </c>
      <c r="C34" s="26">
        <v>46261.0</v>
      </c>
      <c r="D34" s="27" t="s">
        <v>53</v>
      </c>
      <c r="E34" s="137"/>
      <c r="F34" s="137"/>
      <c r="G34" s="176"/>
      <c r="H34" s="176"/>
      <c r="I34" s="34"/>
      <c r="J34" s="32"/>
      <c r="K34" s="177"/>
      <c r="L34" s="34"/>
      <c r="M34" s="32"/>
      <c r="N34" s="34"/>
      <c r="O34" s="32"/>
      <c r="P34" s="32"/>
      <c r="Q34" s="34"/>
    </row>
    <row r="35" ht="22.5" customHeight="1">
      <c r="B35" s="34"/>
      <c r="C35" s="137"/>
      <c r="D35" s="44"/>
      <c r="E35" s="137"/>
      <c r="F35" s="137"/>
      <c r="G35" s="176"/>
      <c r="H35" s="176"/>
      <c r="I35" s="34"/>
      <c r="J35" s="32"/>
      <c r="K35" s="177"/>
      <c r="L35" s="34"/>
      <c r="M35" s="32"/>
      <c r="N35" s="34"/>
      <c r="O35" s="32"/>
      <c r="P35" s="32"/>
      <c r="Q35" s="34"/>
    </row>
    <row r="36" ht="22.5" customHeight="1">
      <c r="B36" s="34"/>
      <c r="C36" s="137"/>
      <c r="D36" s="44"/>
      <c r="E36" s="137"/>
      <c r="F36" s="137"/>
      <c r="G36" s="176"/>
      <c r="H36" s="176"/>
      <c r="I36" s="34"/>
      <c r="J36" s="32"/>
      <c r="K36" s="177"/>
      <c r="L36" s="34"/>
      <c r="M36" s="32"/>
      <c r="N36" s="34"/>
      <c r="O36" s="32"/>
      <c r="P36" s="32"/>
      <c r="Q36" s="34"/>
    </row>
    <row r="37" ht="22.5" customHeight="1">
      <c r="B37" s="34"/>
      <c r="C37" s="137"/>
      <c r="D37" s="44"/>
      <c r="E37" s="137"/>
      <c r="F37" s="137"/>
      <c r="G37" s="176"/>
      <c r="H37" s="176"/>
      <c r="I37" s="34"/>
      <c r="J37" s="32"/>
      <c r="K37" s="177"/>
      <c r="L37" s="34"/>
      <c r="M37" s="32"/>
      <c r="N37" s="34"/>
      <c r="O37" s="32"/>
      <c r="P37" s="32"/>
      <c r="Q37" s="34"/>
    </row>
    <row r="38" ht="22.5" customHeight="1">
      <c r="B38" s="34"/>
      <c r="C38" s="137"/>
      <c r="D38" s="44"/>
      <c r="E38" s="137"/>
      <c r="F38" s="137"/>
      <c r="G38" s="176"/>
      <c r="H38" s="176"/>
      <c r="I38" s="34"/>
      <c r="J38" s="32"/>
      <c r="K38" s="177"/>
      <c r="L38" s="34"/>
      <c r="M38" s="32"/>
      <c r="N38" s="34"/>
      <c r="O38" s="32"/>
      <c r="P38" s="32"/>
      <c r="Q38" s="34"/>
    </row>
    <row r="39" ht="22.5" customHeight="1">
      <c r="B39" s="34"/>
      <c r="C39" s="137"/>
      <c r="D39" s="44"/>
      <c r="E39" s="137"/>
      <c r="F39" s="137"/>
      <c r="G39" s="176"/>
      <c r="H39" s="176"/>
      <c r="I39" s="34"/>
      <c r="J39" s="32"/>
      <c r="K39" s="177"/>
      <c r="L39" s="34"/>
      <c r="M39" s="32"/>
      <c r="N39" s="34"/>
      <c r="O39" s="32"/>
      <c r="P39" s="32"/>
      <c r="Q39" s="34"/>
    </row>
    <row r="40" ht="22.5" customHeight="1">
      <c r="B40" s="34"/>
      <c r="C40" s="137"/>
      <c r="D40" s="44"/>
      <c r="E40" s="137"/>
      <c r="F40" s="137"/>
      <c r="G40" s="176"/>
      <c r="H40" s="176"/>
      <c r="I40" s="34"/>
      <c r="J40" s="32"/>
      <c r="K40" s="177"/>
      <c r="L40" s="34"/>
      <c r="M40" s="32"/>
      <c r="N40" s="34"/>
      <c r="O40" s="32"/>
      <c r="P40" s="32"/>
      <c r="Q40" s="34"/>
    </row>
    <row r="41" ht="22.5" customHeight="1">
      <c r="B41" s="34"/>
      <c r="C41" s="137"/>
      <c r="D41" s="44"/>
      <c r="E41" s="137"/>
      <c r="F41" s="137"/>
      <c r="G41" s="176"/>
      <c r="H41" s="176"/>
      <c r="I41" s="34"/>
      <c r="J41" s="32"/>
      <c r="K41" s="177"/>
      <c r="L41" s="34"/>
      <c r="M41" s="32"/>
      <c r="N41" s="34"/>
      <c r="O41" s="32"/>
      <c r="P41" s="32"/>
      <c r="Q41" s="34"/>
    </row>
    <row r="42" ht="22.5" customHeight="1">
      <c r="B42" s="34"/>
      <c r="C42" s="137"/>
      <c r="D42" s="44"/>
      <c r="E42" s="137"/>
      <c r="F42" s="137"/>
      <c r="G42" s="176"/>
      <c r="H42" s="176"/>
      <c r="I42" s="34"/>
      <c r="J42" s="32"/>
      <c r="K42" s="177"/>
      <c r="L42" s="34"/>
      <c r="M42" s="32"/>
      <c r="N42" s="34"/>
      <c r="O42" s="32"/>
      <c r="P42" s="32"/>
      <c r="Q42" s="34"/>
    </row>
    <row r="43" ht="22.5" customHeight="1">
      <c r="B43" s="34"/>
      <c r="C43" s="137"/>
      <c r="D43" s="44"/>
      <c r="E43" s="137"/>
      <c r="F43" s="137"/>
      <c r="G43" s="176"/>
      <c r="H43" s="176"/>
      <c r="I43" s="34"/>
      <c r="J43" s="32"/>
      <c r="K43" s="177"/>
      <c r="L43" s="34"/>
      <c r="M43" s="32"/>
      <c r="N43" s="34"/>
      <c r="O43" s="32"/>
      <c r="P43" s="32"/>
      <c r="Q43" s="34"/>
    </row>
    <row r="44" ht="22.5" customHeight="1">
      <c r="B44" s="34"/>
      <c r="C44" s="137"/>
      <c r="D44" s="44"/>
      <c r="E44" s="137"/>
      <c r="F44" s="137"/>
      <c r="G44" s="176"/>
      <c r="H44" s="176"/>
      <c r="I44" s="34"/>
      <c r="J44" s="32"/>
      <c r="K44" s="177"/>
      <c r="L44" s="34"/>
      <c r="M44" s="32"/>
      <c r="N44" s="34"/>
      <c r="O44" s="32"/>
      <c r="P44" s="32"/>
      <c r="Q44" s="34"/>
    </row>
    <row r="45" ht="22.5" customHeight="1">
      <c r="B45" s="34"/>
      <c r="C45" s="137"/>
      <c r="D45" s="44"/>
      <c r="E45" s="137"/>
      <c r="F45" s="137"/>
      <c r="G45" s="176"/>
      <c r="H45" s="176"/>
      <c r="I45" s="34"/>
      <c r="J45" s="32"/>
      <c r="K45" s="177"/>
      <c r="L45" s="34"/>
      <c r="M45" s="32"/>
      <c r="N45" s="34"/>
      <c r="O45" s="32"/>
      <c r="P45" s="32"/>
      <c r="Q45" s="34"/>
    </row>
    <row r="46" ht="22.5" customHeight="1">
      <c r="B46" s="34"/>
      <c r="C46" s="137"/>
      <c r="D46" s="44"/>
      <c r="E46" s="137"/>
      <c r="F46" s="137"/>
      <c r="G46" s="176"/>
      <c r="H46" s="176"/>
      <c r="I46" s="34"/>
      <c r="J46" s="32"/>
      <c r="K46" s="177"/>
      <c r="L46" s="34"/>
      <c r="M46" s="32"/>
      <c r="N46" s="34"/>
      <c r="O46" s="32"/>
      <c r="P46" s="32"/>
      <c r="Q46" s="34"/>
    </row>
    <row r="47" ht="22.5" customHeight="1">
      <c r="B47" s="34"/>
      <c r="C47" s="137"/>
      <c r="D47" s="44"/>
      <c r="E47" s="137"/>
      <c r="F47" s="137"/>
      <c r="G47" s="176"/>
      <c r="H47" s="176"/>
      <c r="I47" s="34"/>
      <c r="J47" s="32"/>
      <c r="K47" s="177"/>
      <c r="L47" s="34"/>
      <c r="M47" s="32"/>
      <c r="N47" s="34"/>
      <c r="O47" s="32"/>
      <c r="P47" s="32"/>
      <c r="Q47" s="34"/>
    </row>
    <row r="48" ht="22.5" customHeight="1">
      <c r="B48" s="34"/>
      <c r="C48" s="137"/>
      <c r="D48" s="44"/>
      <c r="E48" s="137"/>
      <c r="F48" s="137"/>
      <c r="G48" s="176"/>
      <c r="H48" s="176"/>
      <c r="I48" s="34"/>
      <c r="J48" s="32"/>
      <c r="K48" s="177"/>
      <c r="L48" s="34"/>
      <c r="M48" s="32"/>
      <c r="N48" s="34"/>
      <c r="O48" s="32"/>
      <c r="P48" s="32"/>
      <c r="Q48" s="34"/>
    </row>
    <row r="49" ht="22.5" customHeight="1">
      <c r="B49" s="34"/>
      <c r="C49" s="137"/>
      <c r="D49" s="44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32"/>
      <c r="P49" s="32"/>
      <c r="Q49" s="34"/>
    </row>
    <row r="50" ht="22.5" customHeight="1">
      <c r="B50" s="34"/>
      <c r="C50" s="137"/>
      <c r="D50" s="44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32"/>
      <c r="P50" s="32"/>
      <c r="Q50" s="34"/>
    </row>
    <row r="51" ht="22.5" customHeight="1">
      <c r="B51" s="34"/>
      <c r="C51" s="137"/>
      <c r="D51" s="44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32"/>
      <c r="P51" s="32"/>
      <c r="Q51" s="34"/>
    </row>
    <row r="52" ht="22.5" customHeight="1">
      <c r="B52" s="34"/>
      <c r="C52" s="137"/>
      <c r="D52" s="44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15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1000000.0</v>
      </c>
      <c r="F4" s="15">
        <f>SUMIFS(OPI_5[MAF NETO],OPI_5[ESTADO],"Desembolsado")</f>
        <v>1629875</v>
      </c>
      <c r="G4" s="15">
        <f>F4-E4</f>
        <v>629875</v>
      </c>
      <c r="H4" s="16">
        <f>SUMIFS(OPI_5[MAF NETO],OPI_5[ESTADO],H$3)</f>
        <v>0</v>
      </c>
      <c r="I4" s="16">
        <f>SUMIFS(OPI_5[MAF NETO],OPI_5[ESTADO],I$3)</f>
        <v>12000</v>
      </c>
      <c r="J4" s="16">
        <f>SUMIFS(OPI_5[MAF NETO],OPI_5[ESTADO],J$3)</f>
        <v>0</v>
      </c>
      <c r="K4" s="16">
        <f>SUMIFS(OPI_5[MAF NETO],OPI_5[ESTADO],K$3)</f>
        <v>164600</v>
      </c>
      <c r="L4" s="16">
        <f>SUMIFS(OPI_5[MAF NETO],OPI_5[ESTADO],L$3)</f>
        <v>0</v>
      </c>
      <c r="M4" s="16">
        <f>SUMIFS(OPI_5[MAF NETO],OPI_5[ESTADO],M$3)</f>
        <v>70000</v>
      </c>
      <c r="N4" s="16">
        <f>SUMIFS(OPI_5[MAF NETO],OPI_5[ESTADO],N$3)</f>
        <v>525650</v>
      </c>
    </row>
    <row r="5" ht="26.25" customHeight="1">
      <c r="D5" s="17" t="s">
        <v>31</v>
      </c>
      <c r="E5" s="18" t="s">
        <v>32</v>
      </c>
      <c r="F5" s="19">
        <f>COUNTIFS(OPI_5[ESTADO],"Desembolsado")</f>
        <v>23</v>
      </c>
      <c r="G5" s="20">
        <f>IFERROR(F4/E4,"")</f>
        <v>1.629875</v>
      </c>
      <c r="H5" s="19">
        <f>COUNTIFS(OPI_5[ESTADO],H$3)</f>
        <v>0</v>
      </c>
      <c r="I5" s="19">
        <f>COUNTIFS(OPI_5[ESTADO],I$3)</f>
        <v>1</v>
      </c>
      <c r="J5" s="19">
        <f>COUNTIFS(OPI_5[ESTADO],J$3)</f>
        <v>0</v>
      </c>
      <c r="K5" s="19">
        <f>COUNTIFS(OPI_5[ESTADO],K$3)</f>
        <v>3</v>
      </c>
      <c r="L5" s="19">
        <f>COUNTIFS(OPI_5[ESTADO],L$3)</f>
        <v>0</v>
      </c>
      <c r="M5" s="19">
        <f>COUNTIFS(OPI_5[ESTADO],M$3)</f>
        <v>1</v>
      </c>
      <c r="N5" s="19">
        <f>COUNTIFS(OPI_5[ESTADO],N$3)</f>
        <v>7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5" t="s">
        <v>15</v>
      </c>
      <c r="C10" s="26">
        <v>46252.0</v>
      </c>
      <c r="D10" s="27" t="s">
        <v>53</v>
      </c>
      <c r="E10" s="26">
        <v>46253.0</v>
      </c>
      <c r="F10" s="26">
        <v>46254.0</v>
      </c>
      <c r="G10" s="28" t="s">
        <v>343</v>
      </c>
      <c r="H10" s="28" t="s">
        <v>344</v>
      </c>
      <c r="I10" s="25" t="s">
        <v>345</v>
      </c>
      <c r="J10" s="27" t="s">
        <v>19</v>
      </c>
      <c r="K10" s="29">
        <v>35800.0</v>
      </c>
      <c r="L10" s="25" t="s">
        <v>346</v>
      </c>
      <c r="M10" s="32"/>
      <c r="N10" s="34"/>
      <c r="O10" s="32"/>
      <c r="P10" s="32"/>
      <c r="Q10" s="34"/>
    </row>
    <row r="11" ht="22.5" hidden="1" customHeight="1">
      <c r="B11" s="25" t="s">
        <v>15</v>
      </c>
      <c r="C11" s="137"/>
      <c r="D11" s="27" t="s">
        <v>53</v>
      </c>
      <c r="E11" s="137"/>
      <c r="F11" s="137"/>
      <c r="G11" s="28" t="s">
        <v>347</v>
      </c>
      <c r="H11" s="28" t="s">
        <v>348</v>
      </c>
      <c r="I11" s="25" t="s">
        <v>89</v>
      </c>
      <c r="J11" s="27" t="s">
        <v>27</v>
      </c>
      <c r="K11" s="29">
        <v>95100.0</v>
      </c>
      <c r="L11" s="25" t="s">
        <v>346</v>
      </c>
      <c r="M11" s="32"/>
      <c r="N11" s="34"/>
      <c r="O11" s="32"/>
      <c r="P11" s="32"/>
      <c r="Q11" s="34"/>
    </row>
    <row r="12" ht="22.5" customHeight="1">
      <c r="B12" s="25" t="s">
        <v>15</v>
      </c>
      <c r="C12" s="26">
        <v>46246.0</v>
      </c>
      <c r="D12" s="27" t="s">
        <v>53</v>
      </c>
      <c r="E12" s="26">
        <v>46247.0</v>
      </c>
      <c r="F12" s="26">
        <v>46252.0</v>
      </c>
      <c r="G12" s="28" t="s">
        <v>166</v>
      </c>
      <c r="H12" s="28" t="s">
        <v>349</v>
      </c>
      <c r="I12" s="25" t="s">
        <v>350</v>
      </c>
      <c r="J12" s="27" t="s">
        <v>19</v>
      </c>
      <c r="K12" s="29">
        <v>79100.0</v>
      </c>
      <c r="L12" s="25" t="s">
        <v>351</v>
      </c>
      <c r="M12" s="32"/>
      <c r="N12" s="34"/>
      <c r="O12" s="32"/>
      <c r="P12" s="32"/>
      <c r="Q12" s="25"/>
    </row>
    <row r="13" ht="22.5" customHeight="1">
      <c r="B13" s="25" t="s">
        <v>15</v>
      </c>
      <c r="C13" s="26">
        <v>46244.0</v>
      </c>
      <c r="D13" s="27" t="s">
        <v>53</v>
      </c>
      <c r="E13" s="26">
        <v>46244.0</v>
      </c>
      <c r="F13" s="26">
        <v>46248.0</v>
      </c>
      <c r="G13" s="28" t="s">
        <v>352</v>
      </c>
      <c r="H13" s="28" t="s">
        <v>353</v>
      </c>
      <c r="I13" s="25" t="s">
        <v>89</v>
      </c>
      <c r="J13" s="27" t="s">
        <v>19</v>
      </c>
      <c r="K13" s="29">
        <v>6000.0</v>
      </c>
      <c r="L13" s="25" t="s">
        <v>351</v>
      </c>
      <c r="M13" s="32"/>
      <c r="N13" s="34"/>
      <c r="O13" s="32"/>
      <c r="P13" s="32"/>
      <c r="Q13" s="25"/>
    </row>
    <row r="14" ht="22.5" customHeight="1">
      <c r="B14" s="25" t="s">
        <v>15</v>
      </c>
      <c r="C14" s="26">
        <v>46246.0</v>
      </c>
      <c r="D14" s="27" t="s">
        <v>53</v>
      </c>
      <c r="E14" s="26">
        <v>46251.0</v>
      </c>
      <c r="F14" s="26">
        <v>46255.0</v>
      </c>
      <c r="G14" s="28" t="s">
        <v>354</v>
      </c>
      <c r="H14" s="28" t="s">
        <v>355</v>
      </c>
      <c r="I14" s="25" t="s">
        <v>89</v>
      </c>
      <c r="J14" s="27" t="s">
        <v>19</v>
      </c>
      <c r="K14" s="29">
        <v>67835.0</v>
      </c>
      <c r="L14" s="25" t="s">
        <v>351</v>
      </c>
      <c r="M14" s="32"/>
      <c r="N14" s="34"/>
      <c r="O14" s="32"/>
      <c r="P14" s="32"/>
      <c r="Q14" s="25" t="s">
        <v>356</v>
      </c>
    </row>
    <row r="15" ht="22.5" customHeight="1">
      <c r="B15" s="25" t="s">
        <v>15</v>
      </c>
      <c r="C15" s="26">
        <v>46241.0</v>
      </c>
      <c r="D15" s="27" t="s">
        <v>178</v>
      </c>
      <c r="E15" s="25" t="s">
        <v>357</v>
      </c>
      <c r="F15" s="25" t="s">
        <v>358</v>
      </c>
      <c r="G15" s="28" t="s">
        <v>359</v>
      </c>
      <c r="H15" s="28" t="s">
        <v>360</v>
      </c>
      <c r="I15" s="25" t="s">
        <v>56</v>
      </c>
      <c r="J15" s="27" t="s">
        <v>19</v>
      </c>
      <c r="K15" s="29">
        <v>67700.0</v>
      </c>
      <c r="L15" s="25" t="s">
        <v>361</v>
      </c>
      <c r="M15" s="27"/>
      <c r="N15" s="25"/>
      <c r="O15" s="27"/>
      <c r="P15" s="27"/>
      <c r="Q15" s="25"/>
    </row>
    <row r="16" ht="22.5" customHeight="1">
      <c r="B16" s="25" t="s">
        <v>15</v>
      </c>
      <c r="C16" s="26">
        <v>46247.0</v>
      </c>
      <c r="D16" s="27" t="s">
        <v>53</v>
      </c>
      <c r="E16" s="26">
        <v>46247.0</v>
      </c>
      <c r="F16" s="26">
        <v>46251.0</v>
      </c>
      <c r="G16" s="28" t="s">
        <v>362</v>
      </c>
      <c r="H16" s="28" t="s">
        <v>363</v>
      </c>
      <c r="I16" s="25" t="s">
        <v>89</v>
      </c>
      <c r="J16" s="27" t="s">
        <v>19</v>
      </c>
      <c r="K16" s="29">
        <v>96950.0</v>
      </c>
      <c r="L16" s="25" t="s">
        <v>361</v>
      </c>
      <c r="M16" s="32"/>
      <c r="N16" s="34"/>
      <c r="O16" s="32"/>
      <c r="P16" s="32"/>
      <c r="Q16" s="34"/>
    </row>
    <row r="17" ht="22.5" hidden="1" customHeight="1">
      <c r="B17" s="25" t="s">
        <v>15</v>
      </c>
      <c r="C17" s="26">
        <v>46258.0</v>
      </c>
      <c r="D17" s="27" t="s">
        <v>53</v>
      </c>
      <c r="E17" s="137"/>
      <c r="F17" s="137"/>
      <c r="G17" s="28" t="s">
        <v>364</v>
      </c>
      <c r="H17" s="28" t="s">
        <v>365</v>
      </c>
      <c r="I17" s="25" t="s">
        <v>89</v>
      </c>
      <c r="J17" s="27" t="s">
        <v>24</v>
      </c>
      <c r="K17" s="29">
        <v>24000.0</v>
      </c>
      <c r="L17" s="25" t="s">
        <v>361</v>
      </c>
      <c r="M17" s="32"/>
      <c r="N17" s="34"/>
      <c r="O17" s="32"/>
      <c r="P17" s="32"/>
      <c r="Q17" s="34"/>
    </row>
    <row r="18" ht="22.5" hidden="1" customHeight="1">
      <c r="B18" s="25" t="s">
        <v>15</v>
      </c>
      <c r="C18" s="26">
        <v>46260.0</v>
      </c>
      <c r="D18" s="27" t="s">
        <v>53</v>
      </c>
      <c r="E18" s="137"/>
      <c r="F18" s="137"/>
      <c r="G18" s="28" t="s">
        <v>366</v>
      </c>
      <c r="H18" s="28" t="s">
        <v>367</v>
      </c>
      <c r="I18" s="25" t="s">
        <v>89</v>
      </c>
      <c r="J18" s="27" t="s">
        <v>24</v>
      </c>
      <c r="K18" s="29">
        <v>89600.0</v>
      </c>
      <c r="L18" s="25" t="s">
        <v>361</v>
      </c>
      <c r="M18" s="32"/>
      <c r="N18" s="34"/>
      <c r="O18" s="32"/>
      <c r="P18" s="32"/>
      <c r="Q18" s="34"/>
    </row>
    <row r="19" ht="22.5" hidden="1" customHeight="1">
      <c r="B19" s="25" t="s">
        <v>15</v>
      </c>
      <c r="C19" s="26">
        <v>46258.0</v>
      </c>
      <c r="D19" s="27" t="s">
        <v>178</v>
      </c>
      <c r="E19" s="26"/>
      <c r="F19" s="137"/>
      <c r="G19" s="28" t="s">
        <v>368</v>
      </c>
      <c r="H19" s="28" t="s">
        <v>369</v>
      </c>
      <c r="I19" s="25" t="s">
        <v>370</v>
      </c>
      <c r="J19" s="27" t="s">
        <v>27</v>
      </c>
      <c r="K19" s="29">
        <v>40000.0</v>
      </c>
      <c r="L19" s="25" t="s">
        <v>371</v>
      </c>
      <c r="M19" s="32"/>
      <c r="N19" s="34"/>
      <c r="O19" s="32"/>
      <c r="P19" s="32"/>
      <c r="Q19" s="34"/>
    </row>
    <row r="20" ht="22.5" customHeight="1">
      <c r="B20" s="25" t="s">
        <v>15</v>
      </c>
      <c r="C20" s="26">
        <v>46233.0</v>
      </c>
      <c r="D20" s="27" t="s">
        <v>53</v>
      </c>
      <c r="E20" s="26">
        <v>46237.0</v>
      </c>
      <c r="F20" s="26">
        <v>46241.0</v>
      </c>
      <c r="G20" s="28" t="s">
        <v>372</v>
      </c>
      <c r="H20" s="28" t="s">
        <v>373</v>
      </c>
      <c r="I20" s="25" t="s">
        <v>56</v>
      </c>
      <c r="J20" s="27" t="s">
        <v>19</v>
      </c>
      <c r="K20" s="29">
        <v>81050.0</v>
      </c>
      <c r="L20" s="25" t="s">
        <v>374</v>
      </c>
      <c r="M20" s="27"/>
      <c r="N20" s="25"/>
      <c r="O20" s="27"/>
      <c r="P20" s="27"/>
      <c r="Q20" s="25"/>
    </row>
    <row r="21" ht="22.5" customHeight="1">
      <c r="B21" s="25" t="s">
        <v>15</v>
      </c>
      <c r="C21" s="26">
        <v>46242.0</v>
      </c>
      <c r="D21" s="27" t="s">
        <v>53</v>
      </c>
      <c r="E21" s="26">
        <v>46245.0</v>
      </c>
      <c r="F21" s="26">
        <v>46246.0</v>
      </c>
      <c r="G21" s="28" t="s">
        <v>375</v>
      </c>
      <c r="H21" s="28" t="s">
        <v>376</v>
      </c>
      <c r="I21" s="25" t="s">
        <v>89</v>
      </c>
      <c r="J21" s="27" t="s">
        <v>19</v>
      </c>
      <c r="K21" s="29">
        <v>78450.0</v>
      </c>
      <c r="L21" s="25" t="s">
        <v>374</v>
      </c>
      <c r="M21" s="27"/>
      <c r="N21" s="30"/>
      <c r="O21" s="27"/>
      <c r="P21" s="27"/>
      <c r="Q21" s="34"/>
    </row>
    <row r="22" ht="22.5" customHeight="1">
      <c r="B22" s="25" t="s">
        <v>15</v>
      </c>
      <c r="C22" s="26">
        <v>46255.0</v>
      </c>
      <c r="D22" s="27" t="s">
        <v>53</v>
      </c>
      <c r="E22" s="137"/>
      <c r="F22" s="137"/>
      <c r="G22" s="28" t="s">
        <v>377</v>
      </c>
      <c r="H22" s="28" t="s">
        <v>378</v>
      </c>
      <c r="I22" s="25" t="s">
        <v>89</v>
      </c>
      <c r="J22" s="27" t="s">
        <v>19</v>
      </c>
      <c r="K22" s="29">
        <v>18600.0</v>
      </c>
      <c r="L22" s="25" t="s">
        <v>374</v>
      </c>
      <c r="M22" s="32"/>
      <c r="N22" s="34"/>
      <c r="O22" s="32"/>
      <c r="P22" s="32"/>
      <c r="Q22" s="34"/>
    </row>
    <row r="23" ht="22.5" hidden="1" customHeight="1">
      <c r="B23" s="25" t="s">
        <v>15</v>
      </c>
      <c r="C23" s="137"/>
      <c r="D23" s="27" t="s">
        <v>149</v>
      </c>
      <c r="E23" s="137"/>
      <c r="F23" s="137"/>
      <c r="G23" s="28" t="s">
        <v>379</v>
      </c>
      <c r="H23" s="28" t="s">
        <v>380</v>
      </c>
      <c r="I23" s="25" t="s">
        <v>89</v>
      </c>
      <c r="J23" s="27" t="s">
        <v>22</v>
      </c>
      <c r="K23" s="29">
        <v>12000.0</v>
      </c>
      <c r="L23" s="25" t="s">
        <v>374</v>
      </c>
      <c r="M23" s="32"/>
      <c r="N23" s="34"/>
      <c r="O23" s="32"/>
      <c r="P23" s="32"/>
      <c r="Q23" s="34"/>
    </row>
    <row r="24" ht="22.5" hidden="1" customHeight="1">
      <c r="B24" s="25" t="s">
        <v>15</v>
      </c>
      <c r="C24" s="25" t="s">
        <v>381</v>
      </c>
      <c r="D24" s="27" t="s">
        <v>178</v>
      </c>
      <c r="E24" s="25" t="s">
        <v>357</v>
      </c>
      <c r="F24" s="25" t="s">
        <v>382</v>
      </c>
      <c r="G24" s="28" t="s">
        <v>383</v>
      </c>
      <c r="H24" s="28" t="s">
        <v>384</v>
      </c>
      <c r="I24" s="25" t="s">
        <v>56</v>
      </c>
      <c r="J24" s="27" t="s">
        <v>27</v>
      </c>
      <c r="K24" s="29">
        <v>72300.0</v>
      </c>
      <c r="L24" s="25" t="s">
        <v>385</v>
      </c>
      <c r="M24" s="27"/>
      <c r="N24" s="25"/>
      <c r="O24" s="27"/>
      <c r="P24" s="27"/>
      <c r="Q24" s="25"/>
    </row>
    <row r="25" ht="22.5" hidden="1" customHeight="1">
      <c r="B25" s="25" t="s">
        <v>15</v>
      </c>
      <c r="C25" s="26">
        <v>46255.0</v>
      </c>
      <c r="D25" s="27" t="s">
        <v>53</v>
      </c>
      <c r="E25" s="25"/>
      <c r="F25" s="25"/>
      <c r="G25" s="28" t="s">
        <v>386</v>
      </c>
      <c r="H25" s="28" t="s">
        <v>387</v>
      </c>
      <c r="I25" s="25" t="s">
        <v>345</v>
      </c>
      <c r="J25" s="27" t="s">
        <v>27</v>
      </c>
      <c r="K25" s="29">
        <v>100000.0</v>
      </c>
      <c r="L25" s="25" t="s">
        <v>388</v>
      </c>
      <c r="M25" s="27"/>
      <c r="N25" s="25"/>
      <c r="O25" s="27"/>
      <c r="P25" s="27"/>
      <c r="Q25" s="25"/>
    </row>
    <row r="26" ht="22.5" customHeight="1">
      <c r="B26" s="25" t="s">
        <v>15</v>
      </c>
      <c r="C26" s="26">
        <v>46244.0</v>
      </c>
      <c r="D26" s="27" t="s">
        <v>53</v>
      </c>
      <c r="E26" s="26"/>
      <c r="F26" s="137"/>
      <c r="G26" s="28" t="s">
        <v>389</v>
      </c>
      <c r="H26" s="28" t="s">
        <v>390</v>
      </c>
      <c r="I26" s="25" t="s">
        <v>80</v>
      </c>
      <c r="J26" s="27" t="s">
        <v>19</v>
      </c>
      <c r="K26" s="29">
        <v>51500.0</v>
      </c>
      <c r="L26" s="25" t="s">
        <v>393</v>
      </c>
      <c r="M26" s="32"/>
      <c r="N26" s="34"/>
      <c r="O26" s="32"/>
      <c r="P26" s="32"/>
      <c r="Q26" s="34"/>
    </row>
    <row r="27" ht="22.5" customHeight="1">
      <c r="B27" s="25" t="s">
        <v>15</v>
      </c>
      <c r="C27" s="26">
        <v>46239.0</v>
      </c>
      <c r="D27" s="27" t="s">
        <v>53</v>
      </c>
      <c r="E27" s="26"/>
      <c r="F27" s="137"/>
      <c r="G27" s="28" t="s">
        <v>398</v>
      </c>
      <c r="H27" s="28" t="s">
        <v>399</v>
      </c>
      <c r="I27" s="25" t="s">
        <v>56</v>
      </c>
      <c r="J27" s="27" t="s">
        <v>19</v>
      </c>
      <c r="K27" s="29">
        <v>46450.0</v>
      </c>
      <c r="L27" s="25" t="s">
        <v>393</v>
      </c>
      <c r="M27" s="32"/>
      <c r="N27" s="34"/>
      <c r="O27" s="32"/>
      <c r="P27" s="32"/>
      <c r="Q27" s="34"/>
    </row>
    <row r="28" ht="22.5" customHeight="1">
      <c r="B28" s="25" t="s">
        <v>15</v>
      </c>
      <c r="C28" s="26">
        <v>46234.0</v>
      </c>
      <c r="D28" s="27" t="s">
        <v>53</v>
      </c>
      <c r="E28" s="26">
        <v>46238.0</v>
      </c>
      <c r="F28" s="26">
        <v>46241.0</v>
      </c>
      <c r="G28" s="28" t="s">
        <v>403</v>
      </c>
      <c r="H28" s="28" t="s">
        <v>404</v>
      </c>
      <c r="I28" s="25" t="s">
        <v>89</v>
      </c>
      <c r="J28" s="27" t="s">
        <v>19</v>
      </c>
      <c r="K28" s="29">
        <v>92490.0</v>
      </c>
      <c r="L28" s="25" t="s">
        <v>407</v>
      </c>
      <c r="M28" s="27"/>
      <c r="N28" s="30"/>
      <c r="O28" s="27"/>
      <c r="P28" s="27"/>
      <c r="Q28" s="25"/>
    </row>
    <row r="29" ht="22.5" customHeight="1">
      <c r="B29" s="25" t="s">
        <v>15</v>
      </c>
      <c r="C29" s="26">
        <v>46241.0</v>
      </c>
      <c r="D29" s="27" t="s">
        <v>53</v>
      </c>
      <c r="E29" s="26">
        <v>46241.0</v>
      </c>
      <c r="F29" s="26">
        <v>46244.0</v>
      </c>
      <c r="G29" s="28" t="s">
        <v>410</v>
      </c>
      <c r="H29" s="28" t="s">
        <v>411</v>
      </c>
      <c r="I29" s="25" t="s">
        <v>56</v>
      </c>
      <c r="J29" s="27" t="s">
        <v>19</v>
      </c>
      <c r="K29" s="29">
        <v>82250.0</v>
      </c>
      <c r="L29" s="180" t="s">
        <v>407</v>
      </c>
      <c r="M29" s="27"/>
      <c r="N29" s="30"/>
      <c r="O29" s="27"/>
      <c r="P29" s="27"/>
      <c r="Q29" s="25"/>
    </row>
    <row r="30" ht="22.5" customHeight="1">
      <c r="B30" s="25" t="s">
        <v>15</v>
      </c>
      <c r="C30" s="26">
        <v>46239.0</v>
      </c>
      <c r="D30" s="27" t="s">
        <v>53</v>
      </c>
      <c r="E30" s="26">
        <v>46245.0</v>
      </c>
      <c r="F30" s="26">
        <v>46248.0</v>
      </c>
      <c r="G30" s="28" t="s">
        <v>416</v>
      </c>
      <c r="H30" s="28" t="s">
        <v>417</v>
      </c>
      <c r="I30" s="25" t="s">
        <v>370</v>
      </c>
      <c r="J30" s="27" t="s">
        <v>19</v>
      </c>
      <c r="K30" s="29">
        <v>25000.0</v>
      </c>
      <c r="L30" s="25" t="s">
        <v>407</v>
      </c>
      <c r="M30" s="27"/>
      <c r="N30" s="30"/>
      <c r="O30" s="27"/>
      <c r="P30" s="27"/>
      <c r="Q30" s="25"/>
    </row>
    <row r="31" ht="22.5" customHeight="1">
      <c r="B31" s="25" t="s">
        <v>15</v>
      </c>
      <c r="C31" s="26">
        <v>46242.0</v>
      </c>
      <c r="D31" s="27" t="s">
        <v>53</v>
      </c>
      <c r="E31" s="26">
        <v>46247.0</v>
      </c>
      <c r="F31" s="26">
        <v>46251.0</v>
      </c>
      <c r="G31" s="28" t="s">
        <v>422</v>
      </c>
      <c r="H31" s="28" t="s">
        <v>425</v>
      </c>
      <c r="I31" s="25" t="s">
        <v>89</v>
      </c>
      <c r="J31" s="27" t="s">
        <v>19</v>
      </c>
      <c r="K31" s="29">
        <v>173400.0</v>
      </c>
      <c r="L31" s="184" t="s">
        <v>407</v>
      </c>
      <c r="M31" s="32"/>
      <c r="N31" s="30"/>
      <c r="O31" s="27"/>
      <c r="P31" s="27"/>
      <c r="Q31" s="34"/>
    </row>
    <row r="32" ht="22.5" customHeight="1">
      <c r="B32" s="25" t="s">
        <v>15</v>
      </c>
      <c r="C32" s="26">
        <v>46246.0</v>
      </c>
      <c r="D32" s="27" t="s">
        <v>53</v>
      </c>
      <c r="E32" s="26">
        <v>46251.0</v>
      </c>
      <c r="F32" s="26">
        <v>46253.0</v>
      </c>
      <c r="G32" s="28" t="s">
        <v>431</v>
      </c>
      <c r="H32" s="28" t="s">
        <v>432</v>
      </c>
      <c r="I32" s="25" t="s">
        <v>56</v>
      </c>
      <c r="J32" s="27" t="s">
        <v>19</v>
      </c>
      <c r="K32" s="29">
        <v>83000.0</v>
      </c>
      <c r="L32" s="184" t="s">
        <v>407</v>
      </c>
      <c r="M32" s="32"/>
      <c r="N32" s="34"/>
      <c r="O32" s="32"/>
      <c r="P32" s="32"/>
      <c r="Q32" s="25" t="s">
        <v>434</v>
      </c>
    </row>
    <row r="33" ht="22.5" hidden="1" customHeight="1">
      <c r="B33" s="25" t="s">
        <v>15</v>
      </c>
      <c r="C33" s="25" t="s">
        <v>435</v>
      </c>
      <c r="D33" s="27" t="s">
        <v>53</v>
      </c>
      <c r="E33" s="25" t="s">
        <v>437</v>
      </c>
      <c r="F33" s="25" t="s">
        <v>439</v>
      </c>
      <c r="G33" s="28" t="s">
        <v>440</v>
      </c>
      <c r="H33" s="28" t="s">
        <v>441</v>
      </c>
      <c r="I33" s="25" t="s">
        <v>89</v>
      </c>
      <c r="J33" s="27" t="s">
        <v>27</v>
      </c>
      <c r="K33" s="29">
        <v>78200.0</v>
      </c>
      <c r="L33" s="25" t="s">
        <v>407</v>
      </c>
      <c r="M33" s="27"/>
      <c r="N33" s="25"/>
      <c r="O33" s="27"/>
      <c r="P33" s="27"/>
      <c r="Q33" s="25" t="s">
        <v>442</v>
      </c>
    </row>
    <row r="34" ht="22.5" customHeight="1">
      <c r="B34" s="25" t="s">
        <v>15</v>
      </c>
      <c r="C34" s="26">
        <v>46245.0</v>
      </c>
      <c r="D34" s="27" t="s">
        <v>53</v>
      </c>
      <c r="E34" s="26">
        <v>46247.0</v>
      </c>
      <c r="F34" s="26">
        <v>46253.0</v>
      </c>
      <c r="G34" s="28" t="s">
        <v>443</v>
      </c>
      <c r="H34" s="28" t="s">
        <v>444</v>
      </c>
      <c r="I34" s="25" t="s">
        <v>56</v>
      </c>
      <c r="J34" s="27" t="s">
        <v>19</v>
      </c>
      <c r="K34" s="29">
        <v>96200.0</v>
      </c>
      <c r="L34" s="25" t="s">
        <v>407</v>
      </c>
      <c r="M34" s="32"/>
      <c r="N34" s="34"/>
      <c r="O34" s="32"/>
      <c r="P34" s="32"/>
      <c r="Q34" s="25"/>
    </row>
    <row r="35" ht="22.5" customHeight="1">
      <c r="B35" s="25" t="s">
        <v>15</v>
      </c>
      <c r="C35" s="26">
        <v>46246.0</v>
      </c>
      <c r="D35" s="27" t="s">
        <v>53</v>
      </c>
      <c r="E35" s="26">
        <v>46249.0</v>
      </c>
      <c r="F35" s="26">
        <v>46252.0</v>
      </c>
      <c r="G35" s="28" t="s">
        <v>452</v>
      </c>
      <c r="H35" s="28" t="s">
        <v>453</v>
      </c>
      <c r="I35" s="25" t="s">
        <v>89</v>
      </c>
      <c r="J35" s="27" t="s">
        <v>19</v>
      </c>
      <c r="K35" s="29">
        <v>84300.0</v>
      </c>
      <c r="L35" s="25" t="s">
        <v>407</v>
      </c>
      <c r="M35" s="27"/>
      <c r="N35" s="25"/>
      <c r="O35" s="27"/>
      <c r="P35" s="27"/>
      <c r="Q35" s="25" t="s">
        <v>455</v>
      </c>
    </row>
    <row r="36" ht="22.5" customHeight="1">
      <c r="B36" s="25" t="s">
        <v>15</v>
      </c>
      <c r="C36" s="26">
        <v>46251.0</v>
      </c>
      <c r="D36" s="27" t="s">
        <v>53</v>
      </c>
      <c r="E36" s="26">
        <v>46254.0</v>
      </c>
      <c r="F36" s="26">
        <v>46256.0</v>
      </c>
      <c r="G36" s="28" t="s">
        <v>458</v>
      </c>
      <c r="H36" s="28" t="s">
        <v>459</v>
      </c>
      <c r="I36" s="25" t="s">
        <v>370</v>
      </c>
      <c r="J36" s="27" t="s">
        <v>19</v>
      </c>
      <c r="K36" s="29">
        <v>83800.0</v>
      </c>
      <c r="L36" s="25" t="s">
        <v>407</v>
      </c>
      <c r="M36" s="32"/>
      <c r="N36" s="34"/>
      <c r="O36" s="32"/>
      <c r="P36" s="32"/>
      <c r="Q36" s="34"/>
    </row>
    <row r="37" ht="22.5" hidden="1" customHeight="1">
      <c r="B37" s="25" t="s">
        <v>15</v>
      </c>
      <c r="C37" s="26">
        <v>46252.0</v>
      </c>
      <c r="D37" s="27" t="s">
        <v>53</v>
      </c>
      <c r="E37" s="26">
        <v>46253.0</v>
      </c>
      <c r="F37" s="25"/>
      <c r="G37" s="28" t="s">
        <v>462</v>
      </c>
      <c r="H37" s="28" t="s">
        <v>463</v>
      </c>
      <c r="I37" s="25" t="s">
        <v>345</v>
      </c>
      <c r="J37" s="27" t="s">
        <v>27</v>
      </c>
      <c r="K37" s="29">
        <v>63450.0</v>
      </c>
      <c r="L37" s="25" t="s">
        <v>407</v>
      </c>
      <c r="M37" s="27"/>
      <c r="N37" s="25"/>
      <c r="O37" s="27"/>
      <c r="P37" s="27"/>
      <c r="Q37" s="25"/>
    </row>
    <row r="38" ht="22.5" customHeight="1">
      <c r="B38" s="25" t="s">
        <v>15</v>
      </c>
      <c r="C38" s="26">
        <v>46253.0</v>
      </c>
      <c r="D38" s="27" t="s">
        <v>53</v>
      </c>
      <c r="E38" s="26">
        <v>46253.0</v>
      </c>
      <c r="F38" s="25"/>
      <c r="G38" s="28" t="s">
        <v>465</v>
      </c>
      <c r="H38" s="28" t="s">
        <v>466</v>
      </c>
      <c r="I38" s="25" t="s">
        <v>89</v>
      </c>
      <c r="J38" s="27" t="s">
        <v>19</v>
      </c>
      <c r="K38" s="29">
        <v>86100.0</v>
      </c>
      <c r="L38" s="184" t="s">
        <v>407</v>
      </c>
      <c r="M38" s="27"/>
      <c r="N38" s="25"/>
      <c r="O38" s="27"/>
      <c r="P38" s="27"/>
      <c r="Q38" s="34"/>
    </row>
    <row r="39" ht="22.5" hidden="1" customHeight="1">
      <c r="B39" s="25" t="s">
        <v>15</v>
      </c>
      <c r="C39" s="26">
        <v>46258.0</v>
      </c>
      <c r="D39" s="27" t="s">
        <v>53</v>
      </c>
      <c r="E39" s="137"/>
      <c r="F39" s="137"/>
      <c r="G39" s="28" t="s">
        <v>469</v>
      </c>
      <c r="H39" s="28" t="s">
        <v>470</v>
      </c>
      <c r="I39" s="25" t="s">
        <v>89</v>
      </c>
      <c r="J39" s="27" t="s">
        <v>26</v>
      </c>
      <c r="K39" s="29">
        <v>70000.0</v>
      </c>
      <c r="L39" s="25" t="s">
        <v>407</v>
      </c>
      <c r="M39" s="32"/>
      <c r="N39" s="34"/>
      <c r="O39" s="32"/>
      <c r="P39" s="32"/>
      <c r="Q39" s="34"/>
    </row>
    <row r="40" ht="22.5" customHeight="1">
      <c r="B40" s="25" t="s">
        <v>15</v>
      </c>
      <c r="C40" s="26">
        <v>46258.0</v>
      </c>
      <c r="D40" s="27" t="s">
        <v>53</v>
      </c>
      <c r="E40" s="137"/>
      <c r="F40" s="137"/>
      <c r="G40" s="28" t="s">
        <v>473</v>
      </c>
      <c r="H40" s="28" t="s">
        <v>474</v>
      </c>
      <c r="I40" s="25" t="s">
        <v>475</v>
      </c>
      <c r="J40" s="27" t="s">
        <v>19</v>
      </c>
      <c r="K40" s="29">
        <v>41000.0</v>
      </c>
      <c r="L40" s="184" t="s">
        <v>407</v>
      </c>
      <c r="M40" s="32"/>
      <c r="N40" s="34"/>
      <c r="O40" s="32"/>
      <c r="P40" s="32"/>
      <c r="Q40" s="34"/>
    </row>
    <row r="41" ht="22.5" customHeight="1">
      <c r="B41" s="25" t="s">
        <v>15</v>
      </c>
      <c r="C41" s="26">
        <v>46258.0</v>
      </c>
      <c r="D41" s="27" t="s">
        <v>53</v>
      </c>
      <c r="E41" s="137"/>
      <c r="F41" s="137"/>
      <c r="G41" s="28" t="s">
        <v>477</v>
      </c>
      <c r="H41" s="28" t="s">
        <v>479</v>
      </c>
      <c r="I41" s="25" t="s">
        <v>80</v>
      </c>
      <c r="J41" s="27" t="s">
        <v>19</v>
      </c>
      <c r="K41" s="29">
        <v>82600.0</v>
      </c>
      <c r="L41" s="25" t="s">
        <v>407</v>
      </c>
      <c r="M41" s="32"/>
      <c r="N41" s="34"/>
      <c r="O41" s="32"/>
      <c r="P41" s="32"/>
      <c r="Q41" s="34"/>
    </row>
    <row r="42" ht="22.5" hidden="1" customHeight="1">
      <c r="B42" s="25" t="s">
        <v>15</v>
      </c>
      <c r="C42" s="26">
        <v>46259.0</v>
      </c>
      <c r="D42" s="27" t="s">
        <v>53</v>
      </c>
      <c r="E42" s="137"/>
      <c r="F42" s="137"/>
      <c r="G42" s="28" t="s">
        <v>483</v>
      </c>
      <c r="H42" s="28" t="s">
        <v>484</v>
      </c>
      <c r="I42" s="25" t="s">
        <v>485</v>
      </c>
      <c r="J42" s="27" t="s">
        <v>24</v>
      </c>
      <c r="K42" s="29">
        <v>51000.0</v>
      </c>
      <c r="L42" s="25" t="s">
        <v>407</v>
      </c>
      <c r="M42" s="32"/>
      <c r="N42" s="34"/>
      <c r="O42" s="32"/>
      <c r="P42" s="32"/>
      <c r="Q42" s="34"/>
    </row>
    <row r="43" ht="22.5" hidden="1" customHeight="1">
      <c r="B43" s="25" t="s">
        <v>15</v>
      </c>
      <c r="C43" s="26">
        <v>46260.0</v>
      </c>
      <c r="D43" s="27" t="s">
        <v>178</v>
      </c>
      <c r="E43" s="25" t="s">
        <v>488</v>
      </c>
      <c r="F43" s="25" t="s">
        <v>382</v>
      </c>
      <c r="G43" s="28" t="s">
        <v>489</v>
      </c>
      <c r="H43" s="28" t="s">
        <v>490</v>
      </c>
      <c r="I43" s="25" t="s">
        <v>89</v>
      </c>
      <c r="J43" s="27" t="s">
        <v>27</v>
      </c>
      <c r="K43" s="29">
        <v>76600.0</v>
      </c>
      <c r="L43" s="25" t="s">
        <v>407</v>
      </c>
      <c r="M43" s="32"/>
      <c r="N43" s="34"/>
      <c r="O43" s="32"/>
      <c r="P43" s="32"/>
      <c r="Q43" s="34"/>
    </row>
    <row r="44" ht="22.5" customHeight="1">
      <c r="B44" s="25" t="s">
        <v>15</v>
      </c>
      <c r="C44" s="26">
        <v>46260.0</v>
      </c>
      <c r="D44" s="27" t="s">
        <v>53</v>
      </c>
      <c r="E44" s="137"/>
      <c r="F44" s="137"/>
      <c r="G44" s="28" t="s">
        <v>494</v>
      </c>
      <c r="H44" s="28" t="s">
        <v>495</v>
      </c>
      <c r="I44" s="25" t="s">
        <v>89</v>
      </c>
      <c r="J44" s="27" t="s">
        <v>19</v>
      </c>
      <c r="K44" s="29">
        <v>70300.0</v>
      </c>
      <c r="L44" s="184" t="s">
        <v>407</v>
      </c>
      <c r="M44" s="32"/>
      <c r="N44" s="34"/>
      <c r="O44" s="32"/>
      <c r="P44" s="32"/>
      <c r="Q44" s="34"/>
    </row>
    <row r="45" ht="22.5" hidden="1" customHeight="1">
      <c r="B45" s="34"/>
      <c r="C45" s="137"/>
      <c r="D45" s="44"/>
      <c r="E45" s="137"/>
      <c r="F45" s="137"/>
      <c r="G45" s="176"/>
      <c r="H45" s="176"/>
      <c r="I45" s="34"/>
      <c r="J45" s="32"/>
      <c r="K45" s="177"/>
      <c r="L45" s="34"/>
      <c r="M45" s="32"/>
      <c r="N45" s="34"/>
      <c r="O45" s="32"/>
      <c r="P45" s="32"/>
      <c r="Q45" s="34"/>
    </row>
    <row r="46" ht="22.5" hidden="1" customHeight="1">
      <c r="B46" s="34"/>
      <c r="C46" s="137"/>
      <c r="D46" s="44"/>
      <c r="E46" s="137"/>
      <c r="F46" s="137"/>
      <c r="G46" s="176"/>
      <c r="H46" s="176"/>
      <c r="I46" s="34"/>
      <c r="J46" s="32"/>
      <c r="K46" s="177"/>
      <c r="L46" s="34"/>
      <c r="M46" s="32"/>
      <c r="N46" s="34"/>
      <c r="O46" s="32"/>
      <c r="P46" s="32"/>
      <c r="Q46" s="34"/>
    </row>
    <row r="47" ht="22.5" hidden="1" customHeight="1">
      <c r="B47" s="34"/>
      <c r="C47" s="137"/>
      <c r="D47" s="44"/>
      <c r="E47" s="137"/>
      <c r="F47" s="137"/>
      <c r="G47" s="176"/>
      <c r="H47" s="176"/>
      <c r="I47" s="34"/>
      <c r="J47" s="32"/>
      <c r="K47" s="177"/>
      <c r="L47" s="34"/>
      <c r="M47" s="32"/>
      <c r="N47" s="34"/>
      <c r="O47" s="32"/>
      <c r="P47" s="32"/>
      <c r="Q47" s="34"/>
    </row>
    <row r="48" ht="22.5" hidden="1" customHeight="1">
      <c r="B48" s="34"/>
      <c r="C48" s="137"/>
      <c r="D48" s="44"/>
      <c r="E48" s="137"/>
      <c r="F48" s="137"/>
      <c r="G48" s="176"/>
      <c r="H48" s="176"/>
      <c r="I48" s="34"/>
      <c r="J48" s="32"/>
      <c r="K48" s="177"/>
      <c r="L48" s="34"/>
      <c r="M48" s="32"/>
      <c r="N48" s="34"/>
      <c r="O48" s="32"/>
      <c r="P48" s="32"/>
      <c r="Q48" s="34"/>
    </row>
    <row r="49" ht="22.5" hidden="1" customHeight="1">
      <c r="B49" s="34"/>
      <c r="C49" s="137"/>
      <c r="D49" s="44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32"/>
      <c r="P49" s="32"/>
      <c r="Q49" s="34"/>
    </row>
    <row r="50" ht="22.5" hidden="1" customHeight="1">
      <c r="B50" s="34"/>
      <c r="C50" s="137"/>
      <c r="D50" s="44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32"/>
      <c r="P50" s="32"/>
      <c r="Q50" s="34"/>
    </row>
    <row r="51" ht="22.5" hidden="1" customHeight="1">
      <c r="B51" s="34"/>
      <c r="C51" s="137"/>
      <c r="D51" s="44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32"/>
      <c r="P51" s="32"/>
      <c r="Q51" s="34"/>
    </row>
    <row r="52" ht="22.5" hidden="1" customHeight="1">
      <c r="B52" s="34"/>
      <c r="C52" s="137"/>
      <c r="D52" s="44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120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500000.0</v>
      </c>
      <c r="F4" s="15">
        <f>SUMIFS(OPI_12[MAF NETO],OPI_12[ESTADO],"Desembolsado")</f>
        <v>1460120</v>
      </c>
      <c r="G4" s="15">
        <f>F4-E4</f>
        <v>960120</v>
      </c>
      <c r="H4" s="16">
        <f>SUMIFS(OPI_12[MAF NETO],OPI_12[ESTADO],H$3)</f>
        <v>34800</v>
      </c>
      <c r="I4" s="16">
        <f>SUMIFS(OPI_12[MAF NETO],OPI_12[ESTADO],I$3)</f>
        <v>543600</v>
      </c>
      <c r="J4" s="16">
        <f>SUMIFS(OPI_12[MAF NETO],OPI_12[ESTADO],J$3)</f>
        <v>0</v>
      </c>
      <c r="K4" s="16">
        <f>SUMIFS(OPI_12[MAF NETO],OPI_12[ESTADO],K$3)</f>
        <v>74600</v>
      </c>
      <c r="L4" s="16">
        <f>SUMIFS(OPI_12[MAF NETO],OPI_12[ESTADO],L$3)</f>
        <v>0</v>
      </c>
      <c r="M4" s="16">
        <f>SUMIFS(OPI_12[MAF NETO],OPI_12[ESTADO],M$3)</f>
        <v>0</v>
      </c>
      <c r="N4" s="16">
        <f>SUMIFS(OPI_12[MAF NETO],OPI_12[ESTADO],N$3)</f>
        <v>0</v>
      </c>
    </row>
    <row r="5" ht="26.25" customHeight="1">
      <c r="D5" s="17" t="s">
        <v>31</v>
      </c>
      <c r="E5" s="18" t="s">
        <v>32</v>
      </c>
      <c r="F5" s="19">
        <f>COUNTIFS(OPI_12[ESTADO],"Desembolsado")</f>
        <v>22</v>
      </c>
      <c r="G5" s="20">
        <f>IFERROR(F4/E4,"")</f>
        <v>2.92024</v>
      </c>
      <c r="H5" s="19">
        <f>COUNTIFS(OPI_12[ESTADO],H$3)</f>
        <v>1</v>
      </c>
      <c r="I5" s="19">
        <f>COUNTIFS(OPI_12[ESTADO],I$3)</f>
        <v>8</v>
      </c>
      <c r="J5" s="19">
        <f>COUNTIFS(OPI_12[ESTADO],J$3)</f>
        <v>0</v>
      </c>
      <c r="K5" s="19">
        <f>COUNTIFS(OPI_12[ESTADO],K$3)</f>
        <v>1</v>
      </c>
      <c r="L5" s="19">
        <f>COUNTIFS(OPI_12[ESTADO],L$3)</f>
        <v>0</v>
      </c>
      <c r="M5" s="19">
        <f>COUNTIFS(OPI_12[ESTADO],M$3)</f>
        <v>0</v>
      </c>
      <c r="N5" s="19">
        <f>COUNTIFS(OPI_12[ESTADO],N$3)</f>
        <v>0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5" t="s">
        <v>15</v>
      </c>
      <c r="C10" s="26">
        <v>46225.0</v>
      </c>
      <c r="D10" s="178" t="s">
        <v>53</v>
      </c>
      <c r="E10" s="26">
        <v>46233.0</v>
      </c>
      <c r="F10" s="26">
        <v>46239.0</v>
      </c>
      <c r="G10" s="28" t="s">
        <v>391</v>
      </c>
      <c r="H10" s="28" t="s">
        <v>392</v>
      </c>
      <c r="I10" s="25" t="s">
        <v>73</v>
      </c>
      <c r="J10" s="44" t="s">
        <v>19</v>
      </c>
      <c r="K10" s="29">
        <v>70600.0</v>
      </c>
      <c r="L10" s="25" t="s">
        <v>394</v>
      </c>
      <c r="M10" s="44"/>
      <c r="N10" s="30">
        <v>46241.0</v>
      </c>
      <c r="O10" s="27" t="s">
        <v>101</v>
      </c>
      <c r="P10" s="27" t="s">
        <v>101</v>
      </c>
      <c r="Q10" s="34"/>
    </row>
    <row r="11" ht="22.5" customHeight="1">
      <c r="B11" s="25" t="s">
        <v>51</v>
      </c>
      <c r="C11" s="26">
        <v>46233.0</v>
      </c>
      <c r="D11" s="178" t="s">
        <v>53</v>
      </c>
      <c r="E11" s="26">
        <v>46233.0</v>
      </c>
      <c r="F11" s="26">
        <v>46238.0</v>
      </c>
      <c r="G11" s="28" t="s">
        <v>395</v>
      </c>
      <c r="H11" s="28" t="s">
        <v>396</v>
      </c>
      <c r="I11" s="25" t="s">
        <v>56</v>
      </c>
      <c r="J11" s="44" t="s">
        <v>19</v>
      </c>
      <c r="K11" s="29">
        <v>79700.0</v>
      </c>
      <c r="L11" s="25" t="s">
        <v>397</v>
      </c>
      <c r="M11" s="44"/>
      <c r="N11" s="30">
        <v>46239.0</v>
      </c>
      <c r="O11" s="27" t="s">
        <v>101</v>
      </c>
      <c r="P11" s="27" t="s">
        <v>101</v>
      </c>
      <c r="Q11" s="34"/>
    </row>
    <row r="12" ht="22.5" customHeight="1">
      <c r="B12" s="25" t="s">
        <v>51</v>
      </c>
      <c r="C12" s="26">
        <v>46234.0</v>
      </c>
      <c r="D12" s="178" t="s">
        <v>53</v>
      </c>
      <c r="E12" s="26">
        <v>46241.0</v>
      </c>
      <c r="F12" s="26">
        <v>46245.0</v>
      </c>
      <c r="G12" s="28" t="s">
        <v>400</v>
      </c>
      <c r="H12" s="28" t="s">
        <v>401</v>
      </c>
      <c r="I12" s="25" t="s">
        <v>56</v>
      </c>
      <c r="J12" s="27" t="s">
        <v>19</v>
      </c>
      <c r="K12" s="29">
        <v>72420.0</v>
      </c>
      <c r="L12" s="25" t="s">
        <v>402</v>
      </c>
      <c r="M12" s="44"/>
      <c r="N12" s="30">
        <v>46246.0</v>
      </c>
      <c r="O12" s="27" t="s">
        <v>101</v>
      </c>
      <c r="P12" s="27" t="s">
        <v>203</v>
      </c>
      <c r="Q12" s="34"/>
    </row>
    <row r="13" ht="22.5" customHeight="1">
      <c r="B13" s="25" t="s">
        <v>51</v>
      </c>
      <c r="C13" s="26">
        <v>46235.0</v>
      </c>
      <c r="D13" s="178" t="s">
        <v>53</v>
      </c>
      <c r="E13" s="26">
        <v>46238.0</v>
      </c>
      <c r="F13" s="26">
        <v>46246.0</v>
      </c>
      <c r="G13" s="28" t="s">
        <v>405</v>
      </c>
      <c r="H13" s="28" t="s">
        <v>406</v>
      </c>
      <c r="I13" s="25" t="s">
        <v>56</v>
      </c>
      <c r="J13" s="27" t="s">
        <v>19</v>
      </c>
      <c r="K13" s="29">
        <v>45100.0</v>
      </c>
      <c r="L13" s="25" t="s">
        <v>394</v>
      </c>
      <c r="M13" s="44"/>
      <c r="N13" s="30">
        <v>46247.0</v>
      </c>
      <c r="O13" s="27" t="s">
        <v>101</v>
      </c>
      <c r="P13" s="27" t="s">
        <v>101</v>
      </c>
      <c r="Q13" s="34"/>
    </row>
    <row r="14" ht="22.5" customHeight="1">
      <c r="B14" s="25" t="s">
        <v>51</v>
      </c>
      <c r="C14" s="26">
        <v>46241.0</v>
      </c>
      <c r="D14" s="179" t="s">
        <v>53</v>
      </c>
      <c r="E14" s="26">
        <v>46244.0</v>
      </c>
      <c r="F14" s="26">
        <v>46251.0</v>
      </c>
      <c r="G14" s="28" t="s">
        <v>408</v>
      </c>
      <c r="H14" s="28" t="s">
        <v>409</v>
      </c>
      <c r="I14" s="25" t="s">
        <v>113</v>
      </c>
      <c r="J14" s="27" t="s">
        <v>19</v>
      </c>
      <c r="K14" s="29">
        <v>96600.0</v>
      </c>
      <c r="L14" s="25" t="s">
        <v>402</v>
      </c>
      <c r="M14" s="44"/>
      <c r="N14" s="30">
        <v>46252.0</v>
      </c>
      <c r="O14" s="27" t="s">
        <v>101</v>
      </c>
      <c r="P14" s="27" t="s">
        <v>101</v>
      </c>
      <c r="Q14" s="34"/>
    </row>
    <row r="15" ht="22.5" customHeight="1">
      <c r="B15" s="25" t="s">
        <v>51</v>
      </c>
      <c r="C15" s="26">
        <v>46244.0</v>
      </c>
      <c r="D15" s="179" t="s">
        <v>53</v>
      </c>
      <c r="E15" s="26">
        <v>46245.0</v>
      </c>
      <c r="F15" s="26">
        <v>46247.0</v>
      </c>
      <c r="G15" s="28" t="s">
        <v>414</v>
      </c>
      <c r="H15" s="182" t="s">
        <v>415</v>
      </c>
      <c r="I15" s="25" t="s">
        <v>56</v>
      </c>
      <c r="J15" s="27" t="s">
        <v>19</v>
      </c>
      <c r="K15" s="29">
        <v>41800.0</v>
      </c>
      <c r="L15" s="25" t="s">
        <v>402</v>
      </c>
      <c r="M15" s="27"/>
      <c r="N15" s="30">
        <v>46247.0</v>
      </c>
      <c r="O15" s="27" t="s">
        <v>101</v>
      </c>
      <c r="P15" s="27" t="s">
        <v>101</v>
      </c>
      <c r="Q15" s="34"/>
    </row>
    <row r="16" ht="22.5" customHeight="1">
      <c r="B16" s="25" t="s">
        <v>51</v>
      </c>
      <c r="C16" s="26">
        <v>46230.0</v>
      </c>
      <c r="D16" s="179" t="s">
        <v>53</v>
      </c>
      <c r="E16" s="26">
        <v>46232.0</v>
      </c>
      <c r="F16" s="26">
        <v>46237.0</v>
      </c>
      <c r="G16" s="28" t="s">
        <v>418</v>
      </c>
      <c r="H16" s="28" t="s">
        <v>419</v>
      </c>
      <c r="I16" s="25" t="s">
        <v>56</v>
      </c>
      <c r="J16" s="27" t="s">
        <v>19</v>
      </c>
      <c r="K16" s="29">
        <v>25000.0</v>
      </c>
      <c r="L16" s="25" t="s">
        <v>420</v>
      </c>
      <c r="M16" s="44"/>
      <c r="N16" s="34"/>
      <c r="O16" s="32"/>
      <c r="P16" s="32"/>
      <c r="Q16" s="34"/>
    </row>
    <row r="17" ht="22.5" customHeight="1">
      <c r="B17" s="25" t="s">
        <v>51</v>
      </c>
      <c r="C17" s="26">
        <v>46230.0</v>
      </c>
      <c r="D17" s="179" t="s">
        <v>53</v>
      </c>
      <c r="E17" s="26">
        <v>46233.0</v>
      </c>
      <c r="F17" s="26">
        <v>46238.0</v>
      </c>
      <c r="G17" s="28" t="s">
        <v>421</v>
      </c>
      <c r="H17" s="28" t="s">
        <v>423</v>
      </c>
      <c r="I17" s="25" t="s">
        <v>424</v>
      </c>
      <c r="J17" s="27" t="s">
        <v>19</v>
      </c>
      <c r="K17" s="29">
        <v>10000.0</v>
      </c>
      <c r="L17" s="25" t="s">
        <v>420</v>
      </c>
      <c r="M17" s="44"/>
      <c r="N17" s="34"/>
      <c r="O17" s="32"/>
      <c r="P17" s="32"/>
      <c r="Q17" s="34"/>
    </row>
    <row r="18" ht="22.5" customHeight="1">
      <c r="B18" s="25" t="s">
        <v>428</v>
      </c>
      <c r="C18" s="26">
        <v>46247.0</v>
      </c>
      <c r="D18" s="179" t="s">
        <v>53</v>
      </c>
      <c r="E18" s="26">
        <v>46251.0</v>
      </c>
      <c r="F18" s="26">
        <v>46253.0</v>
      </c>
      <c r="G18" s="28" t="s">
        <v>429</v>
      </c>
      <c r="H18" s="28" t="s">
        <v>430</v>
      </c>
      <c r="I18" s="25" t="s">
        <v>56</v>
      </c>
      <c r="J18" s="27" t="s">
        <v>19</v>
      </c>
      <c r="K18" s="29">
        <v>76000.0</v>
      </c>
      <c r="L18" s="25" t="s">
        <v>394</v>
      </c>
      <c r="M18" s="32"/>
      <c r="N18" s="30">
        <v>46258.0</v>
      </c>
      <c r="O18" s="32"/>
      <c r="P18" s="32"/>
      <c r="Q18" s="34"/>
    </row>
    <row r="19" ht="22.5" customHeight="1">
      <c r="B19" s="25" t="s">
        <v>51</v>
      </c>
      <c r="C19" s="26">
        <v>46249.0</v>
      </c>
      <c r="D19" s="179" t="s">
        <v>53</v>
      </c>
      <c r="E19" s="26">
        <v>46251.0</v>
      </c>
      <c r="F19" s="26">
        <v>46254.0</v>
      </c>
      <c r="G19" s="28" t="s">
        <v>436</v>
      </c>
      <c r="H19" s="28" t="s">
        <v>438</v>
      </c>
      <c r="I19" s="25" t="s">
        <v>56</v>
      </c>
      <c r="J19" s="27" t="s">
        <v>19</v>
      </c>
      <c r="K19" s="29">
        <v>71900.0</v>
      </c>
      <c r="L19" s="25" t="s">
        <v>420</v>
      </c>
      <c r="M19" s="32"/>
      <c r="N19" s="30">
        <v>46253.0</v>
      </c>
      <c r="O19" s="32"/>
      <c r="P19" s="32"/>
      <c r="Q19" s="34"/>
    </row>
    <row r="20" ht="22.5" customHeight="1">
      <c r="B20" s="25" t="s">
        <v>51</v>
      </c>
      <c r="C20" s="26">
        <v>46253.0</v>
      </c>
      <c r="D20" s="179" t="s">
        <v>53</v>
      </c>
      <c r="E20" s="26">
        <v>46254.0</v>
      </c>
      <c r="F20" s="26">
        <v>46259.0</v>
      </c>
      <c r="G20" s="28" t="s">
        <v>445</v>
      </c>
      <c r="H20" s="28" t="s">
        <v>446</v>
      </c>
      <c r="I20" s="25" t="s">
        <v>56</v>
      </c>
      <c r="J20" s="27" t="s">
        <v>19</v>
      </c>
      <c r="K20" s="29">
        <v>82400.0</v>
      </c>
      <c r="L20" s="25" t="s">
        <v>420</v>
      </c>
      <c r="M20" s="32"/>
      <c r="N20" s="30">
        <v>46258.0</v>
      </c>
      <c r="O20" s="32"/>
      <c r="P20" s="32"/>
      <c r="Q20" s="34"/>
    </row>
    <row r="21" ht="22.5" customHeight="1">
      <c r="B21" s="25" t="s">
        <v>51</v>
      </c>
      <c r="C21" s="26">
        <v>46249.0</v>
      </c>
      <c r="D21" s="179" t="s">
        <v>53</v>
      </c>
      <c r="E21" s="26">
        <v>46251.0</v>
      </c>
      <c r="F21" s="26">
        <v>46255.0</v>
      </c>
      <c r="G21" s="28" t="s">
        <v>450</v>
      </c>
      <c r="H21" s="28" t="s">
        <v>451</v>
      </c>
      <c r="I21" s="25" t="s">
        <v>56</v>
      </c>
      <c r="J21" s="27" t="s">
        <v>19</v>
      </c>
      <c r="K21" s="29">
        <v>77250.0</v>
      </c>
      <c r="L21" s="25" t="s">
        <v>402</v>
      </c>
      <c r="M21" s="32"/>
      <c r="N21" s="30">
        <v>46253.0</v>
      </c>
      <c r="O21" s="32"/>
      <c r="P21" s="32"/>
      <c r="Q21" s="34"/>
    </row>
    <row r="22" ht="22.5" customHeight="1">
      <c r="B22" s="25" t="s">
        <v>454</v>
      </c>
      <c r="C22" s="26">
        <v>46253.0</v>
      </c>
      <c r="D22" s="179" t="s">
        <v>53</v>
      </c>
      <c r="E22" s="26">
        <v>46254.0</v>
      </c>
      <c r="F22" s="26">
        <v>46258.0</v>
      </c>
      <c r="G22" s="28" t="s">
        <v>456</v>
      </c>
      <c r="H22" s="28" t="s">
        <v>457</v>
      </c>
      <c r="I22" s="25" t="s">
        <v>56</v>
      </c>
      <c r="J22" s="27" t="s">
        <v>19</v>
      </c>
      <c r="K22" s="29">
        <v>83550.0</v>
      </c>
      <c r="L22" s="25" t="s">
        <v>394</v>
      </c>
      <c r="M22" s="32"/>
      <c r="N22" s="30">
        <v>46266.0</v>
      </c>
      <c r="O22" s="32"/>
      <c r="P22" s="32"/>
      <c r="Q22" s="25"/>
    </row>
    <row r="23" ht="22.5" customHeight="1">
      <c r="B23" s="25" t="s">
        <v>51</v>
      </c>
      <c r="C23" s="26">
        <v>46234.0</v>
      </c>
      <c r="D23" s="179" t="s">
        <v>53</v>
      </c>
      <c r="E23" s="26">
        <v>46237.0</v>
      </c>
      <c r="F23" s="26">
        <v>46247.0</v>
      </c>
      <c r="G23" s="28" t="s">
        <v>460</v>
      </c>
      <c r="H23" s="28" t="s">
        <v>461</v>
      </c>
      <c r="I23" s="25" t="s">
        <v>56</v>
      </c>
      <c r="J23" s="27" t="s">
        <v>19</v>
      </c>
      <c r="K23" s="29">
        <v>5000.0</v>
      </c>
      <c r="L23" s="25" t="s">
        <v>402</v>
      </c>
      <c r="M23" s="32"/>
      <c r="N23" s="34"/>
      <c r="O23" s="32"/>
      <c r="P23" s="32"/>
      <c r="Q23" s="34"/>
    </row>
    <row r="24" ht="22.5" customHeight="1">
      <c r="B24" s="25" t="s">
        <v>51</v>
      </c>
      <c r="C24" s="26">
        <v>46234.0</v>
      </c>
      <c r="D24" s="179" t="s">
        <v>53</v>
      </c>
      <c r="E24" s="26">
        <v>46238.0</v>
      </c>
      <c r="F24" s="26">
        <v>46241.0</v>
      </c>
      <c r="G24" s="28" t="s">
        <v>467</v>
      </c>
      <c r="H24" s="28" t="s">
        <v>468</v>
      </c>
      <c r="I24" s="25" t="s">
        <v>73</v>
      </c>
      <c r="J24" s="27" t="s">
        <v>19</v>
      </c>
      <c r="K24" s="29">
        <v>90100.0</v>
      </c>
      <c r="L24" s="25" t="s">
        <v>402</v>
      </c>
      <c r="M24" s="32"/>
      <c r="N24" s="34"/>
      <c r="O24" s="32"/>
      <c r="P24" s="32"/>
      <c r="Q24" s="34"/>
    </row>
    <row r="25" ht="22.5" customHeight="1">
      <c r="B25" s="25" t="s">
        <v>51</v>
      </c>
      <c r="C25" s="26">
        <v>46239.0</v>
      </c>
      <c r="D25" s="179" t="s">
        <v>53</v>
      </c>
      <c r="E25" s="26">
        <v>46235.0</v>
      </c>
      <c r="F25" s="26">
        <v>46247.0</v>
      </c>
      <c r="G25" s="28" t="s">
        <v>471</v>
      </c>
      <c r="H25" s="28" t="s">
        <v>472</v>
      </c>
      <c r="I25" s="25" t="s">
        <v>56</v>
      </c>
      <c r="J25" s="27" t="s">
        <v>19</v>
      </c>
      <c r="K25" s="29">
        <v>81700.0</v>
      </c>
      <c r="L25" s="25" t="s">
        <v>402</v>
      </c>
      <c r="M25" s="32"/>
      <c r="N25" s="34"/>
      <c r="O25" s="32"/>
      <c r="P25" s="32"/>
      <c r="Q25" s="34"/>
    </row>
    <row r="26" ht="22.5" customHeight="1">
      <c r="B26" s="25" t="s">
        <v>476</v>
      </c>
      <c r="C26" s="26">
        <v>46258.0</v>
      </c>
      <c r="D26" s="179" t="s">
        <v>53</v>
      </c>
      <c r="E26" s="26">
        <v>46259.0</v>
      </c>
      <c r="F26" s="26">
        <v>46262.0</v>
      </c>
      <c r="G26" s="28" t="s">
        <v>481</v>
      </c>
      <c r="H26" s="28" t="s">
        <v>482</v>
      </c>
      <c r="I26" s="25" t="s">
        <v>113</v>
      </c>
      <c r="J26" s="27" t="s">
        <v>19</v>
      </c>
      <c r="K26" s="29">
        <v>84300.0</v>
      </c>
      <c r="L26" s="25" t="s">
        <v>394</v>
      </c>
      <c r="M26" s="32"/>
      <c r="N26" s="30">
        <v>46266.0</v>
      </c>
      <c r="O26" s="32"/>
      <c r="P26" s="32"/>
      <c r="Q26" s="34"/>
    </row>
    <row r="27" ht="22.5" customHeight="1">
      <c r="B27" s="25" t="s">
        <v>51</v>
      </c>
      <c r="C27" s="26">
        <v>46254.0</v>
      </c>
      <c r="D27" s="179" t="s">
        <v>178</v>
      </c>
      <c r="E27" s="26">
        <v>46255.0</v>
      </c>
      <c r="F27" s="26"/>
      <c r="G27" s="28" t="s">
        <v>486</v>
      </c>
      <c r="H27" s="28" t="s">
        <v>487</v>
      </c>
      <c r="I27" s="25" t="s">
        <v>73</v>
      </c>
      <c r="J27" s="27" t="s">
        <v>22</v>
      </c>
      <c r="K27" s="29">
        <v>69000.0</v>
      </c>
      <c r="L27" s="25" t="s">
        <v>420</v>
      </c>
      <c r="M27" s="32"/>
      <c r="N27" s="34"/>
      <c r="O27" s="32"/>
      <c r="P27" s="32"/>
      <c r="Q27" s="34"/>
    </row>
    <row r="28" ht="22.5" customHeight="1">
      <c r="B28" s="25" t="s">
        <v>491</v>
      </c>
      <c r="C28" s="26">
        <v>46255.0</v>
      </c>
      <c r="D28" s="179" t="s">
        <v>53</v>
      </c>
      <c r="E28" s="26">
        <v>46258.0</v>
      </c>
      <c r="F28" s="26">
        <v>46261.0</v>
      </c>
      <c r="G28" s="28" t="s">
        <v>492</v>
      </c>
      <c r="H28" s="28" t="s">
        <v>493</v>
      </c>
      <c r="I28" s="25" t="s">
        <v>113</v>
      </c>
      <c r="J28" s="27" t="s">
        <v>19</v>
      </c>
      <c r="K28" s="29">
        <v>62150.0</v>
      </c>
      <c r="L28" s="25" t="s">
        <v>394</v>
      </c>
      <c r="M28" s="32"/>
      <c r="N28" s="34"/>
      <c r="O28" s="32"/>
      <c r="P28" s="32"/>
      <c r="Q28" s="34"/>
    </row>
    <row r="29" ht="22.5" customHeight="1">
      <c r="B29" s="25" t="s">
        <v>497</v>
      </c>
      <c r="C29" s="26">
        <v>46259.0</v>
      </c>
      <c r="D29" s="179" t="s">
        <v>53</v>
      </c>
      <c r="E29" s="26">
        <v>46261.0</v>
      </c>
      <c r="F29" s="26">
        <v>46266.0</v>
      </c>
      <c r="G29" s="28" t="s">
        <v>498</v>
      </c>
      <c r="H29" s="28" t="s">
        <v>499</v>
      </c>
      <c r="I29" s="25" t="s">
        <v>56</v>
      </c>
      <c r="J29" s="27" t="s">
        <v>19</v>
      </c>
      <c r="K29" s="29">
        <v>84200.0</v>
      </c>
      <c r="L29" s="25" t="s">
        <v>394</v>
      </c>
      <c r="M29" s="32"/>
      <c r="N29" s="34"/>
      <c r="O29" s="32"/>
      <c r="P29" s="32"/>
      <c r="Q29" s="25"/>
    </row>
    <row r="30" ht="22.5" customHeight="1">
      <c r="B30" s="25" t="s">
        <v>51</v>
      </c>
      <c r="C30" s="137"/>
      <c r="D30" s="178"/>
      <c r="E30" s="137"/>
      <c r="F30" s="26"/>
      <c r="G30" s="28" t="s">
        <v>500</v>
      </c>
      <c r="H30" s="28" t="s">
        <v>501</v>
      </c>
      <c r="I30" s="25" t="s">
        <v>113</v>
      </c>
      <c r="J30" s="27" t="s">
        <v>22</v>
      </c>
      <c r="K30" s="29">
        <v>88800.0</v>
      </c>
      <c r="L30" s="25" t="s">
        <v>394</v>
      </c>
      <c r="M30" s="32"/>
      <c r="N30" s="34"/>
      <c r="O30" s="32"/>
      <c r="P30" s="32"/>
      <c r="Q30" s="34"/>
    </row>
    <row r="31" ht="22.5" customHeight="1">
      <c r="B31" s="25" t="s">
        <v>51</v>
      </c>
      <c r="C31" s="26">
        <v>46261.0</v>
      </c>
      <c r="D31" s="179" t="s">
        <v>53</v>
      </c>
      <c r="E31" s="26">
        <v>46261.0</v>
      </c>
      <c r="F31" s="26">
        <v>46265.0</v>
      </c>
      <c r="G31" s="28" t="s">
        <v>502</v>
      </c>
      <c r="H31" s="28" t="s">
        <v>503</v>
      </c>
      <c r="I31" s="25" t="s">
        <v>73</v>
      </c>
      <c r="J31" s="27" t="s">
        <v>19</v>
      </c>
      <c r="K31" s="29">
        <v>74500.0</v>
      </c>
      <c r="L31" s="25" t="s">
        <v>402</v>
      </c>
      <c r="M31" s="32"/>
      <c r="N31" s="30">
        <v>46266.0</v>
      </c>
      <c r="O31" s="32"/>
      <c r="P31" s="32"/>
      <c r="Q31" s="25"/>
    </row>
    <row r="32" ht="22.5" customHeight="1">
      <c r="B32" s="25" t="s">
        <v>51</v>
      </c>
      <c r="C32" s="26">
        <v>46261.0</v>
      </c>
      <c r="D32" s="179" t="s">
        <v>53</v>
      </c>
      <c r="E32" s="26">
        <v>46261.0</v>
      </c>
      <c r="F32" s="26">
        <v>46265.0</v>
      </c>
      <c r="G32" s="28" t="s">
        <v>506</v>
      </c>
      <c r="H32" s="28" t="s">
        <v>507</v>
      </c>
      <c r="I32" s="25" t="s">
        <v>73</v>
      </c>
      <c r="J32" s="27" t="s">
        <v>19</v>
      </c>
      <c r="K32" s="29">
        <v>79800.0</v>
      </c>
      <c r="L32" s="25" t="s">
        <v>402</v>
      </c>
      <c r="M32" s="32"/>
      <c r="N32" s="30">
        <v>46266.0</v>
      </c>
      <c r="O32" s="32"/>
      <c r="P32" s="32"/>
      <c r="Q32" s="34"/>
    </row>
    <row r="33" ht="22.5" customHeight="1">
      <c r="B33" s="25" t="s">
        <v>51</v>
      </c>
      <c r="C33" s="26">
        <v>46265.0</v>
      </c>
      <c r="D33" s="179" t="s">
        <v>149</v>
      </c>
      <c r="E33" s="137"/>
      <c r="F33" s="137"/>
      <c r="G33" s="28" t="s">
        <v>509</v>
      </c>
      <c r="H33" s="28" t="s">
        <v>510</v>
      </c>
      <c r="I33" s="25" t="s">
        <v>113</v>
      </c>
      <c r="J33" s="27" t="s">
        <v>22</v>
      </c>
      <c r="K33" s="29">
        <v>99000.0</v>
      </c>
      <c r="L33" s="25" t="s">
        <v>394</v>
      </c>
      <c r="M33" s="32"/>
      <c r="N33" s="34"/>
      <c r="O33" s="32"/>
      <c r="P33" s="32"/>
      <c r="Q33" s="34"/>
    </row>
    <row r="34" ht="22.5" customHeight="1">
      <c r="B34" s="25" t="s">
        <v>51</v>
      </c>
      <c r="C34" s="26">
        <v>46261.0</v>
      </c>
      <c r="D34" s="179" t="s">
        <v>53</v>
      </c>
      <c r="E34" s="26">
        <v>46262.0</v>
      </c>
      <c r="F34" s="137"/>
      <c r="G34" s="28" t="s">
        <v>513</v>
      </c>
      <c r="H34" s="28" t="s">
        <v>514</v>
      </c>
      <c r="I34" s="25" t="s">
        <v>56</v>
      </c>
      <c r="J34" s="27" t="s">
        <v>24</v>
      </c>
      <c r="K34" s="29">
        <v>74600.0</v>
      </c>
      <c r="L34" s="25" t="s">
        <v>402</v>
      </c>
      <c r="M34" s="32"/>
      <c r="N34" s="34"/>
      <c r="O34" s="32"/>
      <c r="P34" s="32"/>
      <c r="Q34" s="34"/>
    </row>
    <row r="35" ht="22.5" customHeight="1">
      <c r="B35" s="25" t="s">
        <v>51</v>
      </c>
      <c r="C35" s="26">
        <v>46261.0</v>
      </c>
      <c r="D35" s="179" t="s">
        <v>178</v>
      </c>
      <c r="E35" s="137"/>
      <c r="F35" s="137"/>
      <c r="G35" s="28" t="s">
        <v>515</v>
      </c>
      <c r="H35" s="28" t="s">
        <v>516</v>
      </c>
      <c r="I35" s="25" t="s">
        <v>56</v>
      </c>
      <c r="J35" s="27" t="s">
        <v>22</v>
      </c>
      <c r="K35" s="29">
        <v>78700.0</v>
      </c>
      <c r="L35" s="25" t="s">
        <v>420</v>
      </c>
      <c r="M35" s="32"/>
      <c r="N35" s="34"/>
      <c r="O35" s="32"/>
      <c r="P35" s="32"/>
      <c r="Q35" s="34"/>
    </row>
    <row r="36" ht="22.5" customHeight="1">
      <c r="B36" s="25" t="s">
        <v>51</v>
      </c>
      <c r="C36" s="26">
        <v>46262.0</v>
      </c>
      <c r="D36" s="179" t="s">
        <v>53</v>
      </c>
      <c r="E36" s="26">
        <v>46265.0</v>
      </c>
      <c r="F36" s="26">
        <v>46266.0</v>
      </c>
      <c r="G36" s="28" t="s">
        <v>517</v>
      </c>
      <c r="H36" s="28" t="s">
        <v>518</v>
      </c>
      <c r="I36" s="25" t="s">
        <v>56</v>
      </c>
      <c r="J36" s="27" t="s">
        <v>19</v>
      </c>
      <c r="K36" s="29">
        <v>66050.0</v>
      </c>
      <c r="L36" s="25" t="s">
        <v>420</v>
      </c>
      <c r="M36" s="32"/>
      <c r="N36" s="34"/>
      <c r="O36" s="32"/>
      <c r="P36" s="32"/>
      <c r="Q36" s="34"/>
    </row>
    <row r="37" ht="22.5" customHeight="1">
      <c r="B37" s="25" t="s">
        <v>131</v>
      </c>
      <c r="C37" s="26">
        <v>46266.0</v>
      </c>
      <c r="D37" s="179" t="s">
        <v>149</v>
      </c>
      <c r="E37" s="137"/>
      <c r="F37" s="137"/>
      <c r="G37" s="28" t="s">
        <v>519</v>
      </c>
      <c r="H37" s="28" t="s">
        <v>520</v>
      </c>
      <c r="I37" s="25" t="s">
        <v>56</v>
      </c>
      <c r="J37" s="27" t="s">
        <v>21</v>
      </c>
      <c r="K37" s="29">
        <v>34800.0</v>
      </c>
      <c r="L37" s="25" t="s">
        <v>394</v>
      </c>
      <c r="M37" s="32"/>
      <c r="N37" s="34"/>
      <c r="O37" s="32"/>
      <c r="P37" s="32"/>
      <c r="Q37" s="34"/>
    </row>
    <row r="38" ht="22.5" customHeight="1">
      <c r="B38" s="25" t="s">
        <v>51</v>
      </c>
      <c r="C38" s="26">
        <v>46266.0</v>
      </c>
      <c r="D38" s="179" t="s">
        <v>149</v>
      </c>
      <c r="E38" s="137"/>
      <c r="F38" s="137"/>
      <c r="G38" s="28" t="s">
        <v>522</v>
      </c>
      <c r="H38" s="28" t="s">
        <v>523</v>
      </c>
      <c r="I38" s="25" t="s">
        <v>424</v>
      </c>
      <c r="J38" s="27" t="s">
        <v>22</v>
      </c>
      <c r="K38" s="29">
        <v>54400.0</v>
      </c>
      <c r="L38" s="25" t="s">
        <v>420</v>
      </c>
      <c r="M38" s="32"/>
      <c r="N38" s="34"/>
      <c r="O38" s="32"/>
      <c r="P38" s="32"/>
      <c r="Q38" s="34"/>
    </row>
    <row r="39" ht="22.5" customHeight="1">
      <c r="B39" s="25" t="s">
        <v>51</v>
      </c>
      <c r="C39" s="26">
        <v>46266.0</v>
      </c>
      <c r="D39" s="179" t="s">
        <v>149</v>
      </c>
      <c r="E39" s="137"/>
      <c r="F39" s="137"/>
      <c r="G39" s="28" t="s">
        <v>524</v>
      </c>
      <c r="H39" s="28" t="s">
        <v>525</v>
      </c>
      <c r="I39" s="25" t="s">
        <v>73</v>
      </c>
      <c r="J39" s="27" t="s">
        <v>22</v>
      </c>
      <c r="K39" s="29">
        <v>30000.0</v>
      </c>
      <c r="L39" s="25" t="s">
        <v>394</v>
      </c>
      <c r="M39" s="32"/>
      <c r="N39" s="34"/>
      <c r="O39" s="32"/>
      <c r="P39" s="32"/>
      <c r="Q39" s="34"/>
    </row>
    <row r="40" ht="22.5" customHeight="1">
      <c r="B40" s="25" t="s">
        <v>527</v>
      </c>
      <c r="C40" s="26">
        <v>46267.0</v>
      </c>
      <c r="D40" s="178"/>
      <c r="E40" s="137"/>
      <c r="F40" s="137"/>
      <c r="G40" s="28" t="s">
        <v>528</v>
      </c>
      <c r="H40" s="28" t="s">
        <v>529</v>
      </c>
      <c r="I40" s="25" t="s">
        <v>56</v>
      </c>
      <c r="J40" s="27" t="s">
        <v>22</v>
      </c>
      <c r="K40" s="29">
        <v>76450.0</v>
      </c>
      <c r="L40" s="25" t="s">
        <v>394</v>
      </c>
      <c r="M40" s="32"/>
      <c r="N40" s="34"/>
      <c r="O40" s="32"/>
      <c r="P40" s="32"/>
      <c r="Q40" s="34"/>
    </row>
    <row r="41" ht="22.5" customHeight="1">
      <c r="B41" s="25" t="s">
        <v>530</v>
      </c>
      <c r="C41" s="137"/>
      <c r="D41" s="178"/>
      <c r="E41" s="137"/>
      <c r="F41" s="137"/>
      <c r="G41" s="28" t="s">
        <v>531</v>
      </c>
      <c r="H41" s="28" t="s">
        <v>532</v>
      </c>
      <c r="I41" s="25" t="s">
        <v>56</v>
      </c>
      <c r="J41" s="27" t="s">
        <v>22</v>
      </c>
      <c r="K41" s="29">
        <v>47250.0</v>
      </c>
      <c r="L41" s="25" t="s">
        <v>394</v>
      </c>
      <c r="M41" s="32"/>
      <c r="N41" s="34"/>
      <c r="O41" s="32"/>
      <c r="P41" s="32"/>
      <c r="Q41" s="34"/>
    </row>
    <row r="42" ht="22.5" customHeight="1">
      <c r="B42" s="25" t="s">
        <v>34</v>
      </c>
      <c r="C42" s="26">
        <v>46267.0</v>
      </c>
      <c r="D42" s="179" t="s">
        <v>149</v>
      </c>
      <c r="E42" s="137"/>
      <c r="F42" s="137"/>
      <c r="G42" s="28" t="s">
        <v>533</v>
      </c>
      <c r="H42" s="28" t="s">
        <v>534</v>
      </c>
      <c r="I42" s="25" t="s">
        <v>73</v>
      </c>
      <c r="J42" s="32"/>
      <c r="K42" s="29">
        <v>105100.0</v>
      </c>
      <c r="L42" s="25" t="s">
        <v>394</v>
      </c>
      <c r="M42" s="32"/>
      <c r="N42" s="34"/>
      <c r="O42" s="32"/>
      <c r="P42" s="32"/>
      <c r="Q42" s="34"/>
    </row>
    <row r="43" ht="22.5" customHeight="1">
      <c r="B43" s="34"/>
      <c r="C43" s="137"/>
      <c r="D43" s="178"/>
      <c r="E43" s="137"/>
      <c r="F43" s="137"/>
      <c r="G43" s="176"/>
      <c r="H43" s="176"/>
      <c r="I43" s="34"/>
      <c r="J43" s="32"/>
      <c r="K43" s="177"/>
      <c r="L43" s="34"/>
      <c r="M43" s="32"/>
      <c r="N43" s="34"/>
      <c r="O43" s="32"/>
      <c r="P43" s="32"/>
      <c r="Q43" s="34"/>
    </row>
    <row r="44" ht="22.5" customHeight="1">
      <c r="B44" s="34"/>
      <c r="C44" s="137"/>
      <c r="D44" s="178"/>
      <c r="E44" s="137"/>
      <c r="F44" s="137"/>
      <c r="G44" s="28"/>
      <c r="H44" s="28"/>
      <c r="I44" s="25"/>
      <c r="J44" s="27"/>
      <c r="K44" s="29"/>
      <c r="L44" s="25"/>
      <c r="M44" s="32"/>
      <c r="N44" s="34"/>
      <c r="O44" s="32"/>
      <c r="P44" s="32"/>
      <c r="Q44" s="34"/>
    </row>
    <row r="45" ht="22.5" customHeight="1">
      <c r="B45" s="34"/>
      <c r="C45" s="137"/>
      <c r="D45" s="178"/>
      <c r="E45" s="137"/>
      <c r="F45" s="137"/>
      <c r="G45" s="176"/>
      <c r="H45" s="176"/>
      <c r="I45" s="34"/>
      <c r="J45" s="32"/>
      <c r="K45" s="177"/>
      <c r="L45" s="34"/>
      <c r="M45" s="32"/>
      <c r="N45" s="34"/>
      <c r="O45" s="32"/>
      <c r="P45" s="32"/>
      <c r="Q45" s="34"/>
    </row>
    <row r="46" ht="22.5" customHeight="1">
      <c r="B46" s="34"/>
      <c r="C46" s="137"/>
      <c r="D46" s="178"/>
      <c r="E46" s="137"/>
      <c r="F46" s="137"/>
      <c r="G46" s="176"/>
      <c r="H46" s="176"/>
      <c r="I46" s="34"/>
      <c r="J46" s="32"/>
      <c r="K46" s="177"/>
      <c r="L46" s="34"/>
      <c r="M46" s="32"/>
      <c r="N46" s="34"/>
      <c r="O46" s="32"/>
      <c r="P46" s="32"/>
      <c r="Q46" s="34"/>
    </row>
    <row r="47" ht="22.5" customHeight="1">
      <c r="B47" s="34"/>
      <c r="C47" s="137"/>
      <c r="D47" s="178"/>
      <c r="E47" s="137"/>
      <c r="F47" s="137"/>
      <c r="G47" s="176"/>
      <c r="H47" s="176"/>
      <c r="I47" s="34"/>
      <c r="J47" s="32"/>
      <c r="K47" s="177"/>
      <c r="L47" s="34"/>
      <c r="M47" s="32"/>
      <c r="N47" s="34"/>
      <c r="O47" s="32"/>
      <c r="P47" s="32"/>
      <c r="Q47" s="34"/>
    </row>
    <row r="48" ht="22.5" customHeight="1">
      <c r="B48" s="34"/>
      <c r="C48" s="137"/>
      <c r="D48" s="178"/>
      <c r="E48" s="137"/>
      <c r="F48" s="137"/>
      <c r="G48" s="176"/>
      <c r="H48" s="176"/>
      <c r="I48" s="34"/>
      <c r="J48" s="32"/>
      <c r="K48" s="177"/>
      <c r="L48" s="34"/>
      <c r="M48" s="32"/>
      <c r="N48" s="34"/>
      <c r="O48" s="32"/>
      <c r="P48" s="32"/>
      <c r="Q48" s="34"/>
    </row>
    <row r="49" ht="22.5" customHeight="1">
      <c r="B49" s="34"/>
      <c r="C49" s="137"/>
      <c r="D49" s="178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32"/>
      <c r="P49" s="32"/>
      <c r="Q49" s="34"/>
    </row>
    <row r="50" ht="22.5" customHeight="1">
      <c r="B50" s="34"/>
      <c r="C50" s="137"/>
      <c r="D50" s="178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32"/>
      <c r="P50" s="32"/>
      <c r="Q50" s="34"/>
    </row>
    <row r="51" ht="22.5" customHeight="1">
      <c r="B51" s="34"/>
      <c r="C51" s="137"/>
      <c r="D51" s="178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32"/>
      <c r="P51" s="32"/>
      <c r="Q51" s="34"/>
    </row>
    <row r="52" ht="22.5" customHeight="1">
      <c r="B52" s="34"/>
      <c r="C52" s="137"/>
      <c r="D52" s="178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120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2000000.0</v>
      </c>
      <c r="F4" s="15">
        <f>SUMIFS(OPI_7[MAF NETO],OPI_7[ESTADO],"Desembolsado")</f>
        <v>1041850</v>
      </c>
      <c r="G4" s="15">
        <f>F4-E4</f>
        <v>-958150</v>
      </c>
      <c r="H4" s="16">
        <f>SUMIFS(OPI_7[MAF NETO],OPI_7[ESTADO],H$3)</f>
        <v>0</v>
      </c>
      <c r="I4" s="16">
        <f>SUMIFS(OPI_7[MAF NETO],OPI_7[ESTADO],I$3)</f>
        <v>84100</v>
      </c>
      <c r="J4" s="16">
        <f>SUMIFS(OPI_7[MAF NETO],OPI_7[ESTADO],J$3)</f>
        <v>0</v>
      </c>
      <c r="K4" s="16">
        <f>SUMIFS(OPI_7[MAF NETO],OPI_7[ESTADO],K$3)</f>
        <v>144900</v>
      </c>
      <c r="L4" s="16">
        <f>SUMIFS(OPI_7[MAF NETO],OPI_7[ESTADO],L$3)</f>
        <v>0</v>
      </c>
      <c r="M4" s="16">
        <f>SUMIFS(OPI_7[MAF NETO],OPI_7[ESTADO],M$3)</f>
        <v>0</v>
      </c>
      <c r="N4" s="16">
        <f>SUMIFS(OPI_7[MAF NETO],OPI_7[ESTADO],N$3)</f>
        <v>0</v>
      </c>
    </row>
    <row r="5" ht="26.25" customHeight="1">
      <c r="D5" s="17" t="s">
        <v>31</v>
      </c>
      <c r="E5" s="18" t="s">
        <v>32</v>
      </c>
      <c r="F5" s="19">
        <f>COUNTIFS(OPI_7[ESTADO],"Desembolsado")</f>
        <v>17</v>
      </c>
      <c r="G5" s="20">
        <f>IFERROR(F4/E4,"")</f>
        <v>0.520925</v>
      </c>
      <c r="H5" s="19">
        <f>COUNTIFS(OPI_7[ESTADO],H$3)</f>
        <v>0</v>
      </c>
      <c r="I5" s="19">
        <f>COUNTIFS(OPI_7[ESTADO],I$3)</f>
        <v>1</v>
      </c>
      <c r="J5" s="19">
        <f>COUNTIFS(OPI_7[ESTADO],J$3)</f>
        <v>0</v>
      </c>
      <c r="K5" s="19">
        <f>COUNTIFS(OPI_7[ESTADO],K$3)</f>
        <v>2</v>
      </c>
      <c r="L5" s="19">
        <f>COUNTIFS(OPI_7[ESTADO],L$3)</f>
        <v>0</v>
      </c>
      <c r="M5" s="19">
        <f>COUNTIFS(OPI_7[ESTADO],M$3)</f>
        <v>0</v>
      </c>
      <c r="N5" s="19">
        <f>COUNTIFS(OPI_7[ESTADO],N$3)</f>
        <v>11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hidden="1" customHeight="1">
      <c r="B10" s="25" t="s">
        <v>51</v>
      </c>
      <c r="C10" s="26">
        <v>46228.0</v>
      </c>
      <c r="D10" s="58" t="s">
        <v>53</v>
      </c>
      <c r="E10" s="26">
        <v>46236.0</v>
      </c>
      <c r="F10" s="26"/>
      <c r="G10" s="181" t="s">
        <v>412</v>
      </c>
      <c r="H10" s="28" t="s">
        <v>413</v>
      </c>
      <c r="I10" s="26" t="s">
        <v>56</v>
      </c>
      <c r="J10" s="183" t="s">
        <v>27</v>
      </c>
      <c r="K10" s="29">
        <v>0.0</v>
      </c>
      <c r="L10" s="25" t="s">
        <v>402</v>
      </c>
      <c r="M10" s="27" t="s">
        <v>101</v>
      </c>
      <c r="N10" s="25"/>
      <c r="O10" s="44"/>
      <c r="P10" s="44"/>
      <c r="Q10" s="25"/>
    </row>
    <row r="11" ht="22.5" customHeight="1">
      <c r="B11" s="25" t="s">
        <v>51</v>
      </c>
      <c r="C11" s="26">
        <v>46228.0</v>
      </c>
      <c r="D11" s="58" t="s">
        <v>53</v>
      </c>
      <c r="E11" s="26"/>
      <c r="F11" s="26"/>
      <c r="G11" s="28" t="s">
        <v>426</v>
      </c>
      <c r="H11" s="28" t="s">
        <v>427</v>
      </c>
      <c r="I11" s="26" t="s">
        <v>113</v>
      </c>
      <c r="J11" s="185" t="s">
        <v>19</v>
      </c>
      <c r="K11" s="29">
        <v>49000.0</v>
      </c>
      <c r="L11" s="25" t="s">
        <v>433</v>
      </c>
      <c r="M11" s="27" t="s">
        <v>101</v>
      </c>
      <c r="N11" s="25"/>
      <c r="O11" s="44"/>
      <c r="P11" s="44"/>
      <c r="Q11" s="25"/>
    </row>
    <row r="12" ht="22.5" hidden="1" customHeight="1">
      <c r="B12" s="25" t="s">
        <v>51</v>
      </c>
      <c r="C12" s="26">
        <v>46244.0</v>
      </c>
      <c r="D12" s="183" t="s">
        <v>53</v>
      </c>
      <c r="E12" s="26"/>
      <c r="F12" s="26"/>
      <c r="G12" s="28" t="s">
        <v>447</v>
      </c>
      <c r="H12" s="28" t="s">
        <v>448</v>
      </c>
      <c r="I12" s="26" t="s">
        <v>73</v>
      </c>
      <c r="J12" s="186" t="s">
        <v>27</v>
      </c>
      <c r="K12" s="29">
        <v>0.0</v>
      </c>
      <c r="L12" s="25" t="s">
        <v>449</v>
      </c>
      <c r="M12" s="44"/>
      <c r="N12" s="25"/>
      <c r="O12" s="44"/>
      <c r="P12" s="44"/>
      <c r="Q12" s="25"/>
    </row>
    <row r="13" ht="22.5" hidden="1" customHeight="1">
      <c r="B13" s="25" t="s">
        <v>51</v>
      </c>
      <c r="C13" s="26">
        <v>46230.0</v>
      </c>
      <c r="D13" s="58" t="s">
        <v>53</v>
      </c>
      <c r="E13" s="26"/>
      <c r="F13" s="26"/>
      <c r="G13" s="181" t="s">
        <v>418</v>
      </c>
      <c r="H13" s="28" t="s">
        <v>464</v>
      </c>
      <c r="I13" s="26" t="s">
        <v>56</v>
      </c>
      <c r="J13" s="183" t="s">
        <v>27</v>
      </c>
      <c r="K13" s="29">
        <v>0.0</v>
      </c>
      <c r="L13" s="25" t="s">
        <v>420</v>
      </c>
      <c r="M13" s="27" t="s">
        <v>101</v>
      </c>
      <c r="N13" s="25"/>
      <c r="O13" s="44"/>
      <c r="P13" s="44"/>
      <c r="Q13" s="25"/>
    </row>
    <row r="14" ht="22.5" hidden="1" customHeight="1">
      <c r="B14" s="25" t="s">
        <v>51</v>
      </c>
      <c r="C14" s="26">
        <v>46244.0</v>
      </c>
      <c r="D14" s="183" t="s">
        <v>53</v>
      </c>
      <c r="E14" s="26"/>
      <c r="F14" s="26"/>
      <c r="G14" s="28" t="s">
        <v>478</v>
      </c>
      <c r="H14" s="28" t="s">
        <v>480</v>
      </c>
      <c r="I14" s="26" t="s">
        <v>73</v>
      </c>
      <c r="J14" s="186" t="s">
        <v>27</v>
      </c>
      <c r="K14" s="187">
        <v>0.0</v>
      </c>
      <c r="L14" s="25" t="s">
        <v>449</v>
      </c>
      <c r="M14" s="44"/>
      <c r="N14" s="25"/>
      <c r="O14" s="44"/>
      <c r="P14" s="44"/>
      <c r="Q14" s="25"/>
    </row>
    <row r="15" ht="22.5" hidden="1" customHeight="1">
      <c r="B15" s="25" t="s">
        <v>51</v>
      </c>
      <c r="C15" s="26">
        <v>46230.0</v>
      </c>
      <c r="D15" s="58" t="s">
        <v>53</v>
      </c>
      <c r="E15" s="26"/>
      <c r="F15" s="26"/>
      <c r="G15" s="28" t="s">
        <v>421</v>
      </c>
      <c r="H15" s="28" t="s">
        <v>496</v>
      </c>
      <c r="I15" s="26" t="s">
        <v>424</v>
      </c>
      <c r="J15" s="188" t="s">
        <v>27</v>
      </c>
      <c r="K15" s="29">
        <v>0.0</v>
      </c>
      <c r="L15" s="25" t="s">
        <v>420</v>
      </c>
      <c r="M15" s="44"/>
      <c r="N15" s="25"/>
      <c r="O15" s="44"/>
      <c r="P15" s="44"/>
      <c r="Q15" s="25"/>
    </row>
    <row r="16" ht="22.5" hidden="1" customHeight="1">
      <c r="B16" s="25" t="s">
        <v>51</v>
      </c>
      <c r="C16" s="26">
        <v>46246.0</v>
      </c>
      <c r="D16" s="183" t="s">
        <v>53</v>
      </c>
      <c r="E16" s="26"/>
      <c r="F16" s="26"/>
      <c r="G16" s="28" t="s">
        <v>504</v>
      </c>
      <c r="H16" s="28" t="s">
        <v>505</v>
      </c>
      <c r="I16" s="26" t="s">
        <v>193</v>
      </c>
      <c r="J16" s="185" t="s">
        <v>19</v>
      </c>
      <c r="K16" s="29">
        <v>121100.0</v>
      </c>
      <c r="L16" s="25" t="s">
        <v>508</v>
      </c>
      <c r="M16" s="27" t="s">
        <v>101</v>
      </c>
      <c r="N16" s="25"/>
      <c r="O16" s="44"/>
      <c r="P16" s="44"/>
      <c r="Q16" s="25"/>
    </row>
    <row r="17" ht="22.5" customHeight="1">
      <c r="B17" s="25" t="s">
        <v>51</v>
      </c>
      <c r="C17" s="26">
        <v>46221.0</v>
      </c>
      <c r="D17" s="58" t="s">
        <v>53</v>
      </c>
      <c r="E17" s="26"/>
      <c r="F17" s="26"/>
      <c r="G17" s="28" t="s">
        <v>511</v>
      </c>
      <c r="H17" s="28" t="s">
        <v>512</v>
      </c>
      <c r="I17" s="26" t="s">
        <v>73</v>
      </c>
      <c r="J17" s="188" t="s">
        <v>19</v>
      </c>
      <c r="K17" s="29">
        <v>79600.0</v>
      </c>
      <c r="L17" s="25" t="s">
        <v>433</v>
      </c>
      <c r="M17" s="27" t="s">
        <v>101</v>
      </c>
      <c r="N17" s="25"/>
      <c r="O17" s="44"/>
      <c r="P17" s="44"/>
      <c r="Q17" s="25"/>
    </row>
    <row r="18" ht="22.5" hidden="1" customHeight="1">
      <c r="B18" s="25" t="s">
        <v>51</v>
      </c>
      <c r="C18" s="26">
        <v>46234.0</v>
      </c>
      <c r="D18" s="27" t="s">
        <v>53</v>
      </c>
      <c r="E18" s="26">
        <v>46237.0</v>
      </c>
      <c r="F18" s="132"/>
      <c r="G18" s="28" t="s">
        <v>460</v>
      </c>
      <c r="H18" s="28" t="s">
        <v>521</v>
      </c>
      <c r="I18" s="25" t="s">
        <v>56</v>
      </c>
      <c r="J18" s="27" t="s">
        <v>27</v>
      </c>
      <c r="K18" s="29">
        <v>0.0</v>
      </c>
      <c r="L18" s="25" t="s">
        <v>402</v>
      </c>
      <c r="M18" s="27"/>
      <c r="N18" s="34"/>
      <c r="O18" s="32"/>
      <c r="P18" s="32"/>
      <c r="Q18" s="34"/>
    </row>
    <row r="19" ht="22.5" hidden="1" customHeight="1">
      <c r="B19" s="25" t="s">
        <v>51</v>
      </c>
      <c r="C19" s="26">
        <v>46234.0</v>
      </c>
      <c r="D19" s="27" t="s">
        <v>53</v>
      </c>
      <c r="E19" s="26">
        <v>46238.0</v>
      </c>
      <c r="F19" s="137"/>
      <c r="G19" s="28" t="s">
        <v>467</v>
      </c>
      <c r="H19" s="28" t="s">
        <v>526</v>
      </c>
      <c r="I19" s="25" t="s">
        <v>73</v>
      </c>
      <c r="J19" s="27" t="s">
        <v>27</v>
      </c>
      <c r="K19" s="29">
        <v>0.0</v>
      </c>
      <c r="L19" s="25" t="s">
        <v>402</v>
      </c>
      <c r="M19" s="27" t="s">
        <v>101</v>
      </c>
      <c r="N19" s="25"/>
      <c r="O19" s="32"/>
      <c r="P19" s="32"/>
      <c r="Q19" s="34"/>
    </row>
    <row r="20" ht="22.5" hidden="1" customHeight="1">
      <c r="B20" s="25" t="s">
        <v>51</v>
      </c>
      <c r="C20" s="26">
        <v>46245.0</v>
      </c>
      <c r="D20" s="27" t="s">
        <v>178</v>
      </c>
      <c r="E20" s="26"/>
      <c r="F20" s="137"/>
      <c r="G20" s="28" t="s">
        <v>535</v>
      </c>
      <c r="H20" s="28" t="s">
        <v>536</v>
      </c>
      <c r="I20" s="25" t="s">
        <v>73</v>
      </c>
      <c r="J20" s="27" t="s">
        <v>27</v>
      </c>
      <c r="K20" s="29">
        <v>0.0</v>
      </c>
      <c r="L20" s="25" t="s">
        <v>537</v>
      </c>
      <c r="M20" s="27"/>
      <c r="N20" s="25"/>
      <c r="O20" s="32"/>
      <c r="P20" s="32"/>
      <c r="Q20" s="34"/>
    </row>
    <row r="21" ht="22.5" hidden="1" customHeight="1">
      <c r="B21" s="25" t="s">
        <v>51</v>
      </c>
      <c r="C21" s="26">
        <v>46239.0</v>
      </c>
      <c r="D21" s="27" t="s">
        <v>53</v>
      </c>
      <c r="E21" s="26">
        <v>46235.0</v>
      </c>
      <c r="F21" s="26"/>
      <c r="G21" s="28" t="s">
        <v>471</v>
      </c>
      <c r="H21" s="28" t="s">
        <v>542</v>
      </c>
      <c r="I21" s="25" t="s">
        <v>56</v>
      </c>
      <c r="J21" s="27" t="s">
        <v>27</v>
      </c>
      <c r="K21" s="29">
        <v>0.0</v>
      </c>
      <c r="L21" s="199" t="s">
        <v>402</v>
      </c>
      <c r="M21" s="27"/>
      <c r="N21" s="25"/>
      <c r="O21" s="32"/>
      <c r="P21" s="32"/>
      <c r="Q21" s="34"/>
    </row>
    <row r="22" ht="22.5" hidden="1" customHeight="1">
      <c r="B22" s="25" t="s">
        <v>51</v>
      </c>
      <c r="C22" s="26">
        <v>46245.0</v>
      </c>
      <c r="D22" s="27" t="s">
        <v>53</v>
      </c>
      <c r="E22" s="137"/>
      <c r="F22" s="26"/>
      <c r="G22" s="28" t="s">
        <v>553</v>
      </c>
      <c r="H22" s="28" t="s">
        <v>556</v>
      </c>
      <c r="I22" s="25" t="s">
        <v>557</v>
      </c>
      <c r="J22" s="27" t="s">
        <v>19</v>
      </c>
      <c r="K22" s="29">
        <v>108000.0</v>
      </c>
      <c r="L22" s="25" t="s">
        <v>508</v>
      </c>
      <c r="M22" s="27"/>
      <c r="N22" s="25"/>
      <c r="O22" s="32"/>
      <c r="P22" s="32"/>
      <c r="Q22" s="34"/>
    </row>
    <row r="23" ht="22.5" hidden="1" customHeight="1">
      <c r="B23" s="25" t="s">
        <v>51</v>
      </c>
      <c r="C23" s="26">
        <v>46235.0</v>
      </c>
      <c r="D23" s="27" t="s">
        <v>178</v>
      </c>
      <c r="E23" s="26"/>
      <c r="F23" s="26"/>
      <c r="G23" s="28" t="s">
        <v>562</v>
      </c>
      <c r="H23" s="28" t="s">
        <v>563</v>
      </c>
      <c r="I23" s="25" t="s">
        <v>56</v>
      </c>
      <c r="J23" s="27" t="s">
        <v>27</v>
      </c>
      <c r="K23" s="29">
        <v>0.0</v>
      </c>
      <c r="L23" s="25" t="s">
        <v>564</v>
      </c>
      <c r="M23" s="27"/>
      <c r="N23" s="34"/>
      <c r="O23" s="32"/>
      <c r="P23" s="32"/>
      <c r="Q23" s="34"/>
    </row>
    <row r="24" ht="22.5" hidden="1" customHeight="1">
      <c r="B24" s="25" t="s">
        <v>51</v>
      </c>
      <c r="C24" s="26">
        <v>46246.0</v>
      </c>
      <c r="D24" s="27" t="s">
        <v>53</v>
      </c>
      <c r="E24" s="26"/>
      <c r="F24" s="137"/>
      <c r="G24" s="28" t="s">
        <v>571</v>
      </c>
      <c r="H24" s="28" t="s">
        <v>572</v>
      </c>
      <c r="I24" s="25" t="s">
        <v>56</v>
      </c>
      <c r="J24" s="27" t="s">
        <v>19</v>
      </c>
      <c r="K24" s="29">
        <v>68100.0</v>
      </c>
      <c r="L24" s="25" t="s">
        <v>574</v>
      </c>
      <c r="M24" s="27" t="s">
        <v>101</v>
      </c>
      <c r="N24" s="25"/>
      <c r="O24" s="32"/>
      <c r="P24" s="32"/>
      <c r="Q24" s="34"/>
    </row>
    <row r="25" ht="22.5" hidden="1" customHeight="1">
      <c r="B25" s="25" t="s">
        <v>51</v>
      </c>
      <c r="C25" s="26">
        <v>46246.0</v>
      </c>
      <c r="D25" s="27" t="s">
        <v>53</v>
      </c>
      <c r="E25" s="26"/>
      <c r="F25" s="26"/>
      <c r="G25" s="28" t="s">
        <v>580</v>
      </c>
      <c r="H25" s="28" t="s">
        <v>581</v>
      </c>
      <c r="I25" s="25" t="s">
        <v>582</v>
      </c>
      <c r="J25" s="27" t="s">
        <v>19</v>
      </c>
      <c r="K25" s="29">
        <v>50000.0</v>
      </c>
      <c r="L25" s="199" t="s">
        <v>508</v>
      </c>
      <c r="M25" s="32"/>
      <c r="N25" s="25"/>
      <c r="O25" s="32"/>
      <c r="P25" s="32"/>
      <c r="Q25" s="34"/>
    </row>
    <row r="26" ht="22.5" hidden="1" customHeight="1">
      <c r="B26" s="25" t="s">
        <v>51</v>
      </c>
      <c r="C26" s="26">
        <v>46246.0</v>
      </c>
      <c r="D26" s="27" t="s">
        <v>53</v>
      </c>
      <c r="E26" s="26"/>
      <c r="F26" s="26"/>
      <c r="G26" s="28" t="s">
        <v>590</v>
      </c>
      <c r="H26" s="28" t="s">
        <v>591</v>
      </c>
      <c r="I26" s="25" t="s">
        <v>193</v>
      </c>
      <c r="J26" s="27" t="s">
        <v>19</v>
      </c>
      <c r="K26" s="29">
        <v>30000.0</v>
      </c>
      <c r="L26" s="25" t="s">
        <v>508</v>
      </c>
      <c r="M26" s="32"/>
      <c r="N26" s="25"/>
      <c r="O26" s="32"/>
      <c r="P26" s="32"/>
      <c r="Q26" s="34"/>
    </row>
    <row r="27" ht="22.5" customHeight="1">
      <c r="B27" s="25" t="s">
        <v>51</v>
      </c>
      <c r="C27" s="26">
        <v>46246.0</v>
      </c>
      <c r="D27" s="27" t="s">
        <v>53</v>
      </c>
      <c r="E27" s="26"/>
      <c r="F27" s="137"/>
      <c r="G27" s="28" t="s">
        <v>594</v>
      </c>
      <c r="H27" s="28" t="s">
        <v>595</v>
      </c>
      <c r="I27" s="25" t="s">
        <v>56</v>
      </c>
      <c r="J27" s="27" t="s">
        <v>19</v>
      </c>
      <c r="K27" s="29">
        <v>57000.0</v>
      </c>
      <c r="L27" s="25" t="s">
        <v>433</v>
      </c>
      <c r="M27" s="27" t="s">
        <v>101</v>
      </c>
      <c r="N27" s="34"/>
      <c r="O27" s="32"/>
      <c r="P27" s="32"/>
      <c r="Q27" s="34"/>
    </row>
    <row r="28" ht="22.5" customHeight="1">
      <c r="B28" s="25" t="s">
        <v>51</v>
      </c>
      <c r="C28" s="26">
        <v>46245.0</v>
      </c>
      <c r="D28" s="27" t="s">
        <v>53</v>
      </c>
      <c r="E28" s="26"/>
      <c r="F28" s="26"/>
      <c r="G28" s="202" t="s">
        <v>598</v>
      </c>
      <c r="H28" s="28" t="s">
        <v>599</v>
      </c>
      <c r="I28" s="25" t="s">
        <v>582</v>
      </c>
      <c r="J28" s="27" t="s">
        <v>19</v>
      </c>
      <c r="K28" s="29">
        <v>20000.0</v>
      </c>
      <c r="L28" s="25" t="s">
        <v>433</v>
      </c>
      <c r="M28" s="32"/>
      <c r="N28" s="34"/>
      <c r="O28" s="32"/>
      <c r="P28" s="32"/>
      <c r="Q28" s="34"/>
    </row>
    <row r="29" ht="22.5" hidden="1" customHeight="1">
      <c r="B29" s="25" t="s">
        <v>51</v>
      </c>
      <c r="C29" s="26">
        <v>46251.0</v>
      </c>
      <c r="D29" s="27" t="s">
        <v>53</v>
      </c>
      <c r="E29" s="26"/>
      <c r="F29" s="137"/>
      <c r="G29" s="28" t="s">
        <v>601</v>
      </c>
      <c r="H29" s="28" t="s">
        <v>602</v>
      </c>
      <c r="I29" s="25" t="s">
        <v>56</v>
      </c>
      <c r="J29" s="27" t="s">
        <v>19</v>
      </c>
      <c r="K29" s="29">
        <v>20000.0</v>
      </c>
      <c r="L29" s="25" t="s">
        <v>564</v>
      </c>
      <c r="M29" s="32"/>
      <c r="N29" s="34"/>
      <c r="O29" s="27" t="s">
        <v>203</v>
      </c>
      <c r="P29" s="32"/>
      <c r="Q29" s="34"/>
    </row>
    <row r="30" ht="22.5" hidden="1" customHeight="1">
      <c r="B30" s="25" t="s">
        <v>51</v>
      </c>
      <c r="C30" s="26">
        <v>46254.0</v>
      </c>
      <c r="D30" s="27" t="s">
        <v>53</v>
      </c>
      <c r="E30" s="26"/>
      <c r="F30" s="137"/>
      <c r="G30" s="28" t="s">
        <v>604</v>
      </c>
      <c r="H30" s="28" t="s">
        <v>605</v>
      </c>
      <c r="I30" s="25" t="s">
        <v>73</v>
      </c>
      <c r="J30" s="27" t="s">
        <v>19</v>
      </c>
      <c r="K30" s="29">
        <v>60000.0</v>
      </c>
      <c r="L30" s="25" t="s">
        <v>537</v>
      </c>
      <c r="M30" s="32"/>
      <c r="N30" s="34"/>
      <c r="O30" s="32"/>
      <c r="P30" s="32"/>
      <c r="Q30" s="34"/>
    </row>
    <row r="31" ht="22.5" hidden="1" customHeight="1">
      <c r="B31" s="25" t="s">
        <v>51</v>
      </c>
      <c r="C31" s="26">
        <v>46254.0</v>
      </c>
      <c r="D31" s="27" t="s">
        <v>53</v>
      </c>
      <c r="E31" s="26"/>
      <c r="F31" s="25" t="s">
        <v>609</v>
      </c>
      <c r="G31" s="28" t="s">
        <v>611</v>
      </c>
      <c r="H31" s="176" t="s">
        <v>612</v>
      </c>
      <c r="I31" s="25" t="s">
        <v>73</v>
      </c>
      <c r="J31" s="27" t="s">
        <v>24</v>
      </c>
      <c r="K31" s="29">
        <v>86400.0</v>
      </c>
      <c r="L31" s="25" t="s">
        <v>433</v>
      </c>
      <c r="M31" s="32"/>
      <c r="N31" s="34"/>
      <c r="O31" s="32"/>
      <c r="P31" s="32"/>
      <c r="Q31" s="34"/>
    </row>
    <row r="32" ht="22.5" hidden="1" customHeight="1">
      <c r="B32" s="25" t="s">
        <v>51</v>
      </c>
      <c r="C32" s="26">
        <v>46254.0</v>
      </c>
      <c r="D32" s="27" t="s">
        <v>178</v>
      </c>
      <c r="E32" s="26"/>
      <c r="F32" s="137"/>
      <c r="G32" s="28" t="s">
        <v>619</v>
      </c>
      <c r="H32" s="176" t="s">
        <v>620</v>
      </c>
      <c r="I32" s="25" t="s">
        <v>73</v>
      </c>
      <c r="J32" s="27" t="s">
        <v>27</v>
      </c>
      <c r="K32" s="29">
        <v>0.0</v>
      </c>
      <c r="L32" s="25" t="s">
        <v>449</v>
      </c>
      <c r="M32" s="32"/>
      <c r="N32" s="25"/>
      <c r="O32" s="32"/>
      <c r="P32" s="32"/>
      <c r="Q32" s="34"/>
    </row>
    <row r="33" ht="22.5" hidden="1" customHeight="1">
      <c r="B33" s="25" t="s">
        <v>51</v>
      </c>
      <c r="C33" s="26">
        <v>46254.0</v>
      </c>
      <c r="D33" s="27" t="s">
        <v>53</v>
      </c>
      <c r="E33" s="26"/>
      <c r="F33" s="26"/>
      <c r="G33" s="176" t="s">
        <v>625</v>
      </c>
      <c r="H33" s="28" t="s">
        <v>627</v>
      </c>
      <c r="I33" s="25" t="s">
        <v>193</v>
      </c>
      <c r="J33" s="27" t="s">
        <v>19</v>
      </c>
      <c r="K33" s="29">
        <v>33300.0</v>
      </c>
      <c r="L33" s="25" t="s">
        <v>508</v>
      </c>
      <c r="M33" s="32"/>
      <c r="N33" s="25"/>
      <c r="O33" s="32"/>
      <c r="P33" s="32"/>
      <c r="Q33" s="34"/>
    </row>
    <row r="34" ht="22.5" customHeight="1">
      <c r="B34" s="25" t="s">
        <v>51</v>
      </c>
      <c r="C34" s="26">
        <v>46254.0</v>
      </c>
      <c r="D34" s="27" t="s">
        <v>53</v>
      </c>
      <c r="E34" s="26"/>
      <c r="F34" s="25" t="s">
        <v>609</v>
      </c>
      <c r="G34" s="28" t="s">
        <v>632</v>
      </c>
      <c r="H34" s="28" t="s">
        <v>633</v>
      </c>
      <c r="I34" s="25" t="s">
        <v>113</v>
      </c>
      <c r="J34" s="27" t="s">
        <v>19</v>
      </c>
      <c r="K34" s="29">
        <v>60300.0</v>
      </c>
      <c r="L34" s="25" t="s">
        <v>433</v>
      </c>
      <c r="M34" s="32"/>
      <c r="N34" s="25"/>
      <c r="O34" s="32"/>
      <c r="P34" s="32"/>
      <c r="Q34" s="34"/>
    </row>
    <row r="35" ht="22.5" customHeight="1">
      <c r="B35" s="25" t="s">
        <v>51</v>
      </c>
      <c r="C35" s="26">
        <v>46259.0</v>
      </c>
      <c r="D35" s="27" t="s">
        <v>53</v>
      </c>
      <c r="E35" s="26"/>
      <c r="F35" s="137"/>
      <c r="G35" s="28" t="s">
        <v>638</v>
      </c>
      <c r="H35" s="28" t="s">
        <v>639</v>
      </c>
      <c r="I35" s="25" t="s">
        <v>73</v>
      </c>
      <c r="J35" s="27" t="s">
        <v>19</v>
      </c>
      <c r="K35" s="29">
        <v>25150.0</v>
      </c>
      <c r="L35" s="25" t="s">
        <v>433</v>
      </c>
      <c r="M35" s="32"/>
      <c r="N35" s="34"/>
      <c r="O35" s="32"/>
      <c r="P35" s="32"/>
      <c r="Q35" s="34"/>
    </row>
    <row r="36" ht="22.5" customHeight="1">
      <c r="B36" s="25" t="s">
        <v>51</v>
      </c>
      <c r="C36" s="26">
        <v>46259.0</v>
      </c>
      <c r="D36" s="27" t="s">
        <v>53</v>
      </c>
      <c r="E36" s="26"/>
      <c r="F36" s="26"/>
      <c r="G36" s="28" t="s">
        <v>642</v>
      </c>
      <c r="H36" s="28" t="s">
        <v>643</v>
      </c>
      <c r="I36" s="25" t="s">
        <v>113</v>
      </c>
      <c r="J36" s="27" t="s">
        <v>19</v>
      </c>
      <c r="K36" s="29">
        <v>86100.0</v>
      </c>
      <c r="L36" s="25" t="s">
        <v>433</v>
      </c>
      <c r="M36" s="27" t="s">
        <v>101</v>
      </c>
      <c r="N36" s="25"/>
      <c r="O36" s="32"/>
      <c r="P36" s="32"/>
      <c r="Q36" s="34"/>
    </row>
    <row r="37" ht="22.5" customHeight="1">
      <c r="B37" s="25" t="s">
        <v>51</v>
      </c>
      <c r="C37" s="26">
        <v>46259.0</v>
      </c>
      <c r="D37" s="27" t="s">
        <v>53</v>
      </c>
      <c r="E37" s="137"/>
      <c r="F37" s="25" t="s">
        <v>609</v>
      </c>
      <c r="G37" s="28" t="s">
        <v>644</v>
      </c>
      <c r="H37" s="28" t="s">
        <v>645</v>
      </c>
      <c r="I37" s="25" t="s">
        <v>113</v>
      </c>
      <c r="J37" s="27" t="s">
        <v>19</v>
      </c>
      <c r="K37" s="29">
        <v>92700.0</v>
      </c>
      <c r="L37" s="25" t="s">
        <v>433</v>
      </c>
      <c r="M37" s="32"/>
      <c r="N37" s="34"/>
      <c r="O37" s="32"/>
      <c r="P37" s="32"/>
      <c r="Q37" s="34"/>
    </row>
    <row r="38" ht="22.5" customHeight="1">
      <c r="B38" s="25" t="s">
        <v>51</v>
      </c>
      <c r="C38" s="26">
        <v>46259.0</v>
      </c>
      <c r="D38" s="27" t="s">
        <v>53</v>
      </c>
      <c r="E38" s="26"/>
      <c r="F38" s="26"/>
      <c r="G38" s="28" t="s">
        <v>648</v>
      </c>
      <c r="H38" s="28" t="s">
        <v>649</v>
      </c>
      <c r="I38" s="25" t="s">
        <v>113</v>
      </c>
      <c r="J38" s="27" t="s">
        <v>19</v>
      </c>
      <c r="K38" s="29">
        <v>81500.0</v>
      </c>
      <c r="L38" s="25" t="s">
        <v>433</v>
      </c>
      <c r="M38" s="27" t="s">
        <v>101</v>
      </c>
      <c r="N38" s="25"/>
      <c r="O38" s="32"/>
      <c r="P38" s="32"/>
      <c r="Q38" s="34"/>
    </row>
    <row r="39" ht="22.5" hidden="1" customHeight="1">
      <c r="B39" s="25" t="s">
        <v>51</v>
      </c>
      <c r="C39" s="26">
        <v>46262.0</v>
      </c>
      <c r="D39" s="27" t="s">
        <v>53</v>
      </c>
      <c r="E39" s="137"/>
      <c r="F39" s="25" t="s">
        <v>609</v>
      </c>
      <c r="G39" s="28" t="s">
        <v>650</v>
      </c>
      <c r="H39" s="28" t="s">
        <v>651</v>
      </c>
      <c r="I39" s="25" t="s">
        <v>56</v>
      </c>
      <c r="J39" s="27" t="s">
        <v>24</v>
      </c>
      <c r="K39" s="29">
        <v>58500.0</v>
      </c>
      <c r="L39" s="25" t="s">
        <v>653</v>
      </c>
      <c r="M39" s="32"/>
      <c r="N39" s="34"/>
      <c r="O39" s="32"/>
      <c r="P39" s="32"/>
      <c r="Q39" s="34"/>
    </row>
    <row r="40" ht="22.5" hidden="1" customHeight="1">
      <c r="B40" s="25" t="s">
        <v>51</v>
      </c>
      <c r="C40" s="26">
        <v>46265.0</v>
      </c>
      <c r="D40" s="27" t="s">
        <v>149</v>
      </c>
      <c r="E40" s="137"/>
      <c r="F40" s="25" t="s">
        <v>609</v>
      </c>
      <c r="G40" s="28" t="s">
        <v>655</v>
      </c>
      <c r="H40" s="28" t="s">
        <v>656</v>
      </c>
      <c r="I40" s="25" t="s">
        <v>73</v>
      </c>
      <c r="J40" s="27" t="s">
        <v>22</v>
      </c>
      <c r="K40" s="29">
        <v>84100.0</v>
      </c>
      <c r="L40" s="25" t="s">
        <v>449</v>
      </c>
      <c r="M40" s="32"/>
      <c r="N40" s="34"/>
      <c r="O40" s="32"/>
      <c r="P40" s="32"/>
      <c r="Q40" s="34"/>
    </row>
    <row r="41" ht="22.5" hidden="1" customHeight="1">
      <c r="B41" s="25" t="s">
        <v>51</v>
      </c>
      <c r="C41" s="26">
        <v>46266.0</v>
      </c>
      <c r="D41" s="27" t="s">
        <v>53</v>
      </c>
      <c r="E41" s="137"/>
      <c r="F41" s="25" t="s">
        <v>609</v>
      </c>
      <c r="G41" s="28" t="s">
        <v>657</v>
      </c>
      <c r="H41" s="28" t="s">
        <v>658</v>
      </c>
      <c r="I41" s="25"/>
      <c r="J41" s="27"/>
      <c r="K41" s="29"/>
      <c r="L41" s="25"/>
      <c r="M41" s="32"/>
      <c r="N41" s="25"/>
      <c r="O41" s="32"/>
      <c r="P41" s="32"/>
      <c r="Q41" s="34"/>
    </row>
    <row r="42" ht="22.5" hidden="1" customHeight="1">
      <c r="B42" s="25"/>
      <c r="C42" s="26"/>
      <c r="D42" s="27"/>
      <c r="E42" s="137"/>
      <c r="F42" s="26"/>
      <c r="G42" s="176"/>
      <c r="H42" s="176"/>
      <c r="I42" s="25"/>
      <c r="J42" s="27"/>
      <c r="K42" s="29"/>
      <c r="L42" s="25"/>
      <c r="M42" s="32"/>
      <c r="N42" s="34"/>
      <c r="O42" s="32"/>
      <c r="P42" s="32"/>
      <c r="Q42" s="34"/>
    </row>
    <row r="43" ht="22.5" hidden="1" customHeight="1">
      <c r="B43" s="25"/>
      <c r="C43" s="26"/>
      <c r="D43" s="27"/>
      <c r="E43" s="137"/>
      <c r="F43" s="137"/>
      <c r="G43" s="28"/>
      <c r="H43" s="28"/>
      <c r="I43" s="25"/>
      <c r="J43" s="27"/>
      <c r="K43" s="29"/>
      <c r="L43" s="25"/>
      <c r="M43" s="32"/>
      <c r="N43" s="34"/>
      <c r="O43" s="32"/>
      <c r="P43" s="32"/>
      <c r="Q43" s="34"/>
    </row>
    <row r="44" ht="22.5" hidden="1" customHeight="1">
      <c r="B44" s="25"/>
      <c r="C44" s="26"/>
      <c r="D44" s="27"/>
      <c r="E44" s="137"/>
      <c r="F44" s="137"/>
      <c r="G44" s="28"/>
      <c r="H44" s="28"/>
      <c r="I44" s="25"/>
      <c r="J44" s="27"/>
      <c r="K44" s="29"/>
      <c r="L44" s="25"/>
      <c r="M44" s="32"/>
      <c r="N44" s="25"/>
      <c r="O44" s="32"/>
      <c r="P44" s="32"/>
      <c r="Q44" s="34"/>
    </row>
    <row r="45" ht="22.5" hidden="1" customHeight="1">
      <c r="B45" s="25"/>
      <c r="C45" s="26"/>
      <c r="D45" s="27"/>
      <c r="E45" s="137"/>
      <c r="F45" s="137"/>
      <c r="G45" s="28"/>
      <c r="H45" s="28"/>
      <c r="I45" s="25"/>
      <c r="J45" s="27"/>
      <c r="K45" s="29"/>
      <c r="L45" s="25"/>
      <c r="M45" s="32"/>
      <c r="N45" s="34"/>
      <c r="O45" s="32"/>
      <c r="P45" s="32"/>
      <c r="Q45" s="34"/>
    </row>
    <row r="46" ht="22.5" hidden="1" customHeight="1">
      <c r="B46" s="25"/>
      <c r="C46" s="26"/>
      <c r="D46" s="27"/>
      <c r="E46" s="137"/>
      <c r="F46" s="137"/>
      <c r="G46" s="28"/>
      <c r="H46" s="28"/>
      <c r="I46" s="25"/>
      <c r="J46" s="27"/>
      <c r="K46" s="29"/>
      <c r="L46" s="25"/>
      <c r="M46" s="32"/>
      <c r="N46" s="25"/>
      <c r="O46" s="32"/>
      <c r="P46" s="32"/>
      <c r="Q46" s="34"/>
    </row>
    <row r="47" ht="22.5" hidden="1" customHeight="1">
      <c r="B47" s="25"/>
      <c r="C47" s="26"/>
      <c r="D47" s="27"/>
      <c r="E47" s="137"/>
      <c r="F47" s="26"/>
      <c r="G47" s="28"/>
      <c r="H47" s="28"/>
      <c r="I47" s="25"/>
      <c r="J47" s="27"/>
      <c r="K47" s="29"/>
      <c r="L47" s="25"/>
      <c r="M47" s="32"/>
      <c r="N47" s="25"/>
      <c r="O47" s="32"/>
      <c r="P47" s="32"/>
      <c r="Q47" s="34"/>
    </row>
    <row r="48" ht="22.5" hidden="1" customHeight="1">
      <c r="B48" s="25"/>
      <c r="C48" s="26"/>
      <c r="D48" s="27"/>
      <c r="E48" s="137"/>
      <c r="F48" s="26"/>
      <c r="G48" s="28"/>
      <c r="H48" s="28"/>
      <c r="I48" s="25"/>
      <c r="J48" s="27"/>
      <c r="K48" s="29"/>
      <c r="L48" s="25"/>
      <c r="M48" s="32"/>
      <c r="N48" s="25"/>
      <c r="O48" s="32"/>
      <c r="P48" s="32"/>
      <c r="Q48" s="34"/>
    </row>
    <row r="49" ht="22.5" hidden="1" customHeight="1">
      <c r="B49" s="25"/>
      <c r="C49" s="26"/>
      <c r="D49" s="27"/>
      <c r="E49" s="137"/>
      <c r="F49" s="25"/>
      <c r="G49" s="28"/>
      <c r="H49" s="28"/>
      <c r="I49" s="25"/>
      <c r="J49" s="27"/>
      <c r="K49" s="29"/>
      <c r="L49" s="25"/>
      <c r="M49" s="32"/>
      <c r="N49" s="34"/>
      <c r="O49" s="32"/>
      <c r="P49" s="32"/>
      <c r="Q49" s="34"/>
    </row>
    <row r="50" ht="22.5" hidden="1" customHeight="1">
      <c r="B50" s="25"/>
      <c r="C50" s="26"/>
      <c r="D50" s="27"/>
      <c r="E50" s="137"/>
      <c r="F50" s="137"/>
      <c r="G50" s="28"/>
      <c r="H50" s="28"/>
      <c r="I50" s="25"/>
      <c r="J50" s="27"/>
      <c r="K50" s="29"/>
      <c r="L50" s="25"/>
      <c r="M50" s="32"/>
      <c r="N50" s="25"/>
      <c r="O50" s="32"/>
      <c r="P50" s="32"/>
      <c r="Q50" s="34"/>
    </row>
    <row r="51" ht="22.5" hidden="1" customHeight="1">
      <c r="B51" s="25"/>
      <c r="C51" s="26"/>
      <c r="D51" s="27"/>
      <c r="E51" s="137"/>
      <c r="F51" s="26"/>
      <c r="G51" s="28"/>
      <c r="H51" s="28"/>
      <c r="I51" s="25"/>
      <c r="J51" s="27"/>
      <c r="K51" s="29"/>
      <c r="L51" s="25"/>
      <c r="M51" s="32"/>
      <c r="N51" s="25"/>
      <c r="O51" s="32"/>
      <c r="P51" s="32"/>
      <c r="Q51" s="34"/>
    </row>
    <row r="52" ht="22.5" hidden="1" customHeight="1">
      <c r="B52" s="25"/>
      <c r="C52" s="26"/>
      <c r="D52" s="27"/>
      <c r="E52" s="137"/>
      <c r="F52" s="137"/>
      <c r="G52" s="28"/>
      <c r="H52" s="28"/>
      <c r="I52" s="25"/>
      <c r="J52" s="27"/>
      <c r="K52" s="29"/>
      <c r="L52" s="25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16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1000000.0</v>
      </c>
      <c r="F4" s="15">
        <f>SUMIFS(OPI_20[MAF NETO],OPI_20[ESTADO],"Desembolsado")</f>
        <v>736373</v>
      </c>
      <c r="G4" s="15">
        <f>F4-E4</f>
        <v>-263627</v>
      </c>
      <c r="H4" s="16">
        <f>SUMIFS(OPI_20[MAF NETO],OPI_20[ESTADO],H$3)</f>
        <v>0</v>
      </c>
      <c r="I4" s="16">
        <f>SUMIFS(OPI_20[MAF NETO],OPI_20[ESTADO],I$3)</f>
        <v>0</v>
      </c>
      <c r="J4" s="16">
        <f>SUMIFS(OPI_20[MAF NETO],OPI_20[ESTADO],J$3)</f>
        <v>0</v>
      </c>
      <c r="K4" s="16">
        <f>SUMIFS(OPI_20[MAF NETO],OPI_20[ESTADO],K$3)</f>
        <v>0</v>
      </c>
      <c r="L4" s="16">
        <f>SUMIFS(OPI_20[MAF NETO],OPI_20[ESTADO],L$3)</f>
        <v>0</v>
      </c>
      <c r="M4" s="16">
        <f>SUMIFS(OPI_20[MAF NETO],OPI_20[ESTADO],M$3)</f>
        <v>0</v>
      </c>
      <c r="N4" s="16">
        <f>SUMIFS(OPI_20[MAF NETO],OPI_20[ESTADO],N$3)</f>
        <v>0</v>
      </c>
    </row>
    <row r="5" ht="26.25" customHeight="1">
      <c r="D5" s="17" t="s">
        <v>31</v>
      </c>
      <c r="E5" s="18" t="s">
        <v>32</v>
      </c>
      <c r="F5" s="19">
        <f>COUNTIFS(OPI_20[ESTADO],"Desembolsado")</f>
        <v>9</v>
      </c>
      <c r="G5" s="20">
        <f>IFERROR(F4/E4,"")</f>
        <v>0.736373</v>
      </c>
      <c r="H5" s="19">
        <f>COUNTIFS(OPI_20[ESTADO],H$3)</f>
        <v>0</v>
      </c>
      <c r="I5" s="19">
        <f>COUNTIFS(OPI_20[ESTADO],I$3)</f>
        <v>0</v>
      </c>
      <c r="J5" s="19">
        <f>COUNTIFS(OPI_20[ESTADO],J$3)</f>
        <v>0</v>
      </c>
      <c r="K5" s="19">
        <f>COUNTIFS(OPI_20[ESTADO],K$3)</f>
        <v>0</v>
      </c>
      <c r="L5" s="19">
        <f>COUNTIFS(OPI_20[ESTADO],L$3)</f>
        <v>0</v>
      </c>
      <c r="M5" s="19">
        <f>COUNTIFS(OPI_20[ESTADO],M$3)</f>
        <v>0</v>
      </c>
      <c r="N5" s="19">
        <f>COUNTIFS(OPI_20[ESTADO],N$3)</f>
        <v>5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189" t="s">
        <v>51</v>
      </c>
      <c r="C10" s="190">
        <v>46246.0</v>
      </c>
      <c r="D10" s="191" t="s">
        <v>53</v>
      </c>
      <c r="E10" s="190"/>
      <c r="F10" s="190"/>
      <c r="G10" s="192" t="s">
        <v>538</v>
      </c>
      <c r="H10" s="192" t="s">
        <v>539</v>
      </c>
      <c r="I10" s="193" t="s">
        <v>73</v>
      </c>
      <c r="J10" s="191" t="s">
        <v>19</v>
      </c>
      <c r="K10" s="194">
        <v>152400.0</v>
      </c>
      <c r="L10" s="193" t="s">
        <v>540</v>
      </c>
      <c r="M10" s="191"/>
      <c r="N10" s="195" t="s">
        <v>541</v>
      </c>
      <c r="O10" s="191"/>
      <c r="P10" s="196"/>
      <c r="Q10" s="197"/>
    </row>
    <row r="11" ht="22.5" customHeight="1">
      <c r="B11" s="189"/>
      <c r="C11" s="190">
        <v>46246.0</v>
      </c>
      <c r="D11" s="191" t="s">
        <v>53</v>
      </c>
      <c r="E11" s="190"/>
      <c r="F11" s="189" t="s">
        <v>278</v>
      </c>
      <c r="G11" s="192" t="s">
        <v>543</v>
      </c>
      <c r="H11" s="192" t="s">
        <v>544</v>
      </c>
      <c r="I11" s="193" t="s">
        <v>56</v>
      </c>
      <c r="J11" s="191" t="s">
        <v>27</v>
      </c>
      <c r="K11" s="194">
        <v>0.0</v>
      </c>
      <c r="L11" s="193" t="s">
        <v>540</v>
      </c>
      <c r="M11" s="198"/>
      <c r="N11" s="195"/>
      <c r="O11" s="196"/>
      <c r="P11" s="196"/>
      <c r="Q11" s="197"/>
    </row>
    <row r="12" ht="22.5" customHeight="1">
      <c r="B12" s="189"/>
      <c r="C12" s="190">
        <v>46248.0</v>
      </c>
      <c r="D12" s="191" t="s">
        <v>53</v>
      </c>
      <c r="E12" s="190"/>
      <c r="F12" s="190"/>
      <c r="G12" s="192" t="s">
        <v>545</v>
      </c>
      <c r="H12" s="192" t="s">
        <v>546</v>
      </c>
      <c r="I12" s="193" t="s">
        <v>547</v>
      </c>
      <c r="J12" s="191" t="s">
        <v>27</v>
      </c>
      <c r="K12" s="194">
        <v>0.0</v>
      </c>
      <c r="L12" s="193" t="s">
        <v>540</v>
      </c>
      <c r="M12" s="198"/>
      <c r="N12" s="195"/>
      <c r="O12" s="196"/>
      <c r="P12" s="196"/>
      <c r="Q12" s="197"/>
    </row>
    <row r="13" ht="22.5" customHeight="1">
      <c r="B13" s="189"/>
      <c r="C13" s="190">
        <v>46248.0</v>
      </c>
      <c r="D13" s="191" t="s">
        <v>53</v>
      </c>
      <c r="E13" s="190"/>
      <c r="F13" s="190"/>
      <c r="G13" s="192" t="s">
        <v>548</v>
      </c>
      <c r="H13" s="192" t="s">
        <v>549</v>
      </c>
      <c r="I13" s="193" t="s">
        <v>547</v>
      </c>
      <c r="J13" s="191" t="s">
        <v>19</v>
      </c>
      <c r="K13" s="194">
        <v>108150.0</v>
      </c>
      <c r="L13" s="193" t="s">
        <v>540</v>
      </c>
      <c r="M13" s="198"/>
      <c r="N13" s="195" t="s">
        <v>550</v>
      </c>
      <c r="O13" s="196"/>
      <c r="P13" s="196"/>
      <c r="Q13" s="197"/>
    </row>
    <row r="14" ht="22.5" customHeight="1">
      <c r="B14" s="189"/>
      <c r="C14" s="190">
        <v>46249.0</v>
      </c>
      <c r="D14" s="191" t="s">
        <v>53</v>
      </c>
      <c r="E14" s="190"/>
      <c r="F14" s="189" t="s">
        <v>278</v>
      </c>
      <c r="G14" s="192" t="s">
        <v>551</v>
      </c>
      <c r="H14" s="192" t="s">
        <v>552</v>
      </c>
      <c r="I14" s="193" t="s">
        <v>73</v>
      </c>
      <c r="J14" s="191" t="s">
        <v>19</v>
      </c>
      <c r="K14" s="194">
        <v>85600.0</v>
      </c>
      <c r="L14" s="193" t="s">
        <v>540</v>
      </c>
      <c r="M14" s="198"/>
      <c r="N14" s="195"/>
      <c r="O14" s="196"/>
      <c r="P14" s="196"/>
      <c r="Q14" s="197"/>
    </row>
    <row r="15" ht="22.5" customHeight="1">
      <c r="B15" s="189"/>
      <c r="C15" s="190">
        <v>46249.0</v>
      </c>
      <c r="D15" s="191" t="s">
        <v>53</v>
      </c>
      <c r="E15" s="190"/>
      <c r="F15" s="190"/>
      <c r="G15" s="192" t="s">
        <v>554</v>
      </c>
      <c r="H15" s="192" t="s">
        <v>555</v>
      </c>
      <c r="I15" s="193" t="s">
        <v>73</v>
      </c>
      <c r="J15" s="191" t="s">
        <v>19</v>
      </c>
      <c r="K15" s="194">
        <v>107900.0</v>
      </c>
      <c r="L15" s="193" t="s">
        <v>540</v>
      </c>
      <c r="M15" s="196"/>
      <c r="N15" s="195"/>
      <c r="O15" s="196"/>
      <c r="P15" s="196"/>
      <c r="Q15" s="197"/>
    </row>
    <row r="16" ht="22.5" customHeight="1">
      <c r="B16" s="189"/>
      <c r="C16" s="190">
        <v>46252.0</v>
      </c>
      <c r="D16" s="191" t="s">
        <v>53</v>
      </c>
      <c r="E16" s="190"/>
      <c r="F16" s="190"/>
      <c r="G16" s="192" t="s">
        <v>558</v>
      </c>
      <c r="H16" s="192" t="s">
        <v>559</v>
      </c>
      <c r="I16" s="193" t="s">
        <v>547</v>
      </c>
      <c r="J16" s="191" t="s">
        <v>19</v>
      </c>
      <c r="K16" s="194">
        <v>82800.0</v>
      </c>
      <c r="L16" s="193" t="s">
        <v>540</v>
      </c>
      <c r="M16" s="198"/>
      <c r="N16" s="195"/>
      <c r="O16" s="196"/>
      <c r="P16" s="196"/>
      <c r="Q16" s="197"/>
    </row>
    <row r="17" ht="22.5" customHeight="1">
      <c r="B17" s="189"/>
      <c r="C17" s="190">
        <v>46252.0</v>
      </c>
      <c r="D17" s="200" t="s">
        <v>53</v>
      </c>
      <c r="E17" s="190"/>
      <c r="F17" s="190"/>
      <c r="G17" s="192" t="s">
        <v>560</v>
      </c>
      <c r="H17" s="192" t="s">
        <v>561</v>
      </c>
      <c r="I17" s="193" t="s">
        <v>73</v>
      </c>
      <c r="J17" s="191" t="s">
        <v>19</v>
      </c>
      <c r="K17" s="194">
        <v>81400.0</v>
      </c>
      <c r="L17" s="193" t="s">
        <v>540</v>
      </c>
      <c r="M17" s="198"/>
      <c r="N17" s="195"/>
      <c r="O17" s="196"/>
      <c r="P17" s="196"/>
      <c r="Q17" s="197"/>
    </row>
    <row r="18" ht="22.5" customHeight="1">
      <c r="B18" s="189"/>
      <c r="C18" s="190">
        <v>46252.0</v>
      </c>
      <c r="D18" s="191" t="s">
        <v>53</v>
      </c>
      <c r="E18" s="190"/>
      <c r="F18" s="190"/>
      <c r="G18" s="192" t="s">
        <v>565</v>
      </c>
      <c r="H18" s="192" t="s">
        <v>566</v>
      </c>
      <c r="I18" s="193" t="s">
        <v>56</v>
      </c>
      <c r="J18" s="191" t="s">
        <v>19</v>
      </c>
      <c r="K18" s="194">
        <v>25051.0</v>
      </c>
      <c r="L18" s="193" t="s">
        <v>540</v>
      </c>
      <c r="M18" s="196"/>
      <c r="N18" s="195"/>
      <c r="O18" s="196"/>
      <c r="P18" s="196"/>
      <c r="Q18" s="197"/>
    </row>
    <row r="19" ht="22.5" customHeight="1">
      <c r="B19" s="189"/>
      <c r="C19" s="190">
        <v>46258.0</v>
      </c>
      <c r="D19" s="191" t="s">
        <v>53</v>
      </c>
      <c r="E19" s="190"/>
      <c r="F19" s="189" t="s">
        <v>278</v>
      </c>
      <c r="G19" s="192" t="s">
        <v>567</v>
      </c>
      <c r="H19" s="201" t="s">
        <v>568</v>
      </c>
      <c r="I19" s="193" t="s">
        <v>113</v>
      </c>
      <c r="J19" s="191" t="s">
        <v>19</v>
      </c>
      <c r="K19" s="194">
        <v>85700.0</v>
      </c>
      <c r="L19" s="193" t="s">
        <v>540</v>
      </c>
      <c r="M19" s="196"/>
      <c r="N19" s="195"/>
      <c r="O19" s="196"/>
      <c r="P19" s="196"/>
      <c r="Q19" s="197"/>
    </row>
    <row r="20" ht="22.5" customHeight="1">
      <c r="B20" s="189"/>
      <c r="C20" s="190">
        <v>46255.0</v>
      </c>
      <c r="D20" s="191" t="s">
        <v>53</v>
      </c>
      <c r="E20" s="190"/>
      <c r="F20" s="190"/>
      <c r="G20" s="192" t="s">
        <v>575</v>
      </c>
      <c r="H20" s="192" t="s">
        <v>576</v>
      </c>
      <c r="I20" s="193" t="s">
        <v>577</v>
      </c>
      <c r="J20" s="191" t="s">
        <v>27</v>
      </c>
      <c r="K20" s="194">
        <v>0.0</v>
      </c>
      <c r="L20" s="193" t="s">
        <v>540</v>
      </c>
      <c r="M20" s="196"/>
      <c r="N20" s="195"/>
      <c r="O20" s="196"/>
      <c r="P20" s="196"/>
      <c r="Q20" s="197"/>
    </row>
    <row r="21" ht="22.5" customHeight="1">
      <c r="B21" s="189"/>
      <c r="C21" s="190">
        <v>46255.0</v>
      </c>
      <c r="D21" s="191" t="s">
        <v>53</v>
      </c>
      <c r="E21" s="190"/>
      <c r="F21" s="190"/>
      <c r="G21" s="192" t="s">
        <v>578</v>
      </c>
      <c r="H21" s="192" t="s">
        <v>579</v>
      </c>
      <c r="I21" s="193" t="s">
        <v>547</v>
      </c>
      <c r="J21" s="191" t="s">
        <v>27</v>
      </c>
      <c r="K21" s="194">
        <v>0.0</v>
      </c>
      <c r="L21" s="193" t="s">
        <v>540</v>
      </c>
      <c r="M21" s="196"/>
      <c r="N21" s="195"/>
      <c r="O21" s="196"/>
      <c r="P21" s="196"/>
      <c r="Q21" s="197"/>
    </row>
    <row r="22" ht="22.5" customHeight="1">
      <c r="B22" s="189"/>
      <c r="C22" s="190">
        <v>46258.0</v>
      </c>
      <c r="D22" s="191" t="s">
        <v>53</v>
      </c>
      <c r="E22" s="190"/>
      <c r="F22" s="189"/>
      <c r="G22" s="192" t="s">
        <v>583</v>
      </c>
      <c r="H22" s="192" t="s">
        <v>584</v>
      </c>
      <c r="I22" s="193" t="s">
        <v>73</v>
      </c>
      <c r="J22" s="191" t="s">
        <v>19</v>
      </c>
      <c r="K22" s="194">
        <v>7372.0</v>
      </c>
      <c r="L22" s="193" t="s">
        <v>540</v>
      </c>
      <c r="M22" s="196"/>
      <c r="N22" s="195"/>
      <c r="O22" s="196"/>
      <c r="P22" s="196"/>
      <c r="Q22" s="193"/>
    </row>
    <row r="23" ht="22.5" customHeight="1">
      <c r="B23" s="189"/>
      <c r="C23" s="190"/>
      <c r="D23" s="191" t="s">
        <v>149</v>
      </c>
      <c r="E23" s="190"/>
      <c r="F23" s="190"/>
      <c r="G23" s="192" t="s">
        <v>588</v>
      </c>
      <c r="H23" s="192" t="s">
        <v>589</v>
      </c>
      <c r="I23" s="193" t="s">
        <v>113</v>
      </c>
      <c r="J23" s="191" t="s">
        <v>27</v>
      </c>
      <c r="K23" s="194">
        <v>0.0</v>
      </c>
      <c r="L23" s="193" t="s">
        <v>540</v>
      </c>
      <c r="M23" s="196"/>
      <c r="N23" s="195"/>
      <c r="O23" s="196"/>
      <c r="P23" s="196"/>
      <c r="Q23" s="197"/>
    </row>
    <row r="24" ht="22.5" customHeight="1">
      <c r="B24" s="189"/>
      <c r="C24" s="190"/>
      <c r="D24" s="191"/>
      <c r="E24" s="190"/>
      <c r="F24" s="190"/>
      <c r="G24" s="192"/>
      <c r="H24" s="192"/>
      <c r="I24" s="193"/>
      <c r="J24" s="191"/>
      <c r="K24" s="194"/>
      <c r="L24" s="193"/>
      <c r="M24" s="196"/>
      <c r="N24" s="195"/>
      <c r="O24" s="196"/>
      <c r="P24" s="196"/>
      <c r="Q24" s="197"/>
    </row>
    <row r="25" ht="22.5" customHeight="1">
      <c r="B25" s="189"/>
      <c r="C25" s="190"/>
      <c r="D25" s="191"/>
      <c r="E25" s="190"/>
      <c r="F25" s="190"/>
      <c r="G25" s="192"/>
      <c r="H25" s="192"/>
      <c r="I25" s="193"/>
      <c r="J25" s="191"/>
      <c r="K25" s="194"/>
      <c r="L25" s="193"/>
      <c r="M25" s="196"/>
      <c r="N25" s="195"/>
      <c r="O25" s="196"/>
      <c r="P25" s="196"/>
      <c r="Q25" s="197"/>
    </row>
    <row r="26" ht="22.5" customHeight="1">
      <c r="B26" s="189"/>
      <c r="C26" s="190"/>
      <c r="D26" s="191"/>
      <c r="E26" s="190"/>
      <c r="F26" s="190"/>
      <c r="G26" s="192"/>
      <c r="H26" s="192"/>
      <c r="I26" s="193"/>
      <c r="J26" s="191"/>
      <c r="K26" s="194"/>
      <c r="L26" s="193"/>
      <c r="M26" s="196"/>
      <c r="N26" s="195"/>
      <c r="O26" s="196"/>
      <c r="P26" s="196"/>
      <c r="Q26" s="197"/>
    </row>
    <row r="27" ht="22.5" customHeight="1">
      <c r="B27" s="189"/>
      <c r="C27" s="190"/>
      <c r="D27" s="191"/>
      <c r="E27" s="190"/>
      <c r="F27" s="190"/>
      <c r="G27" s="192"/>
      <c r="H27" s="192"/>
      <c r="I27" s="193"/>
      <c r="J27" s="191"/>
      <c r="K27" s="194"/>
      <c r="L27" s="193"/>
      <c r="M27" s="196"/>
      <c r="N27" s="195"/>
      <c r="O27" s="196"/>
      <c r="P27" s="196"/>
      <c r="Q27" s="193"/>
    </row>
    <row r="28" ht="22.5" customHeight="1">
      <c r="B28" s="189"/>
      <c r="C28" s="190"/>
      <c r="D28" s="191"/>
      <c r="E28" s="190"/>
      <c r="F28" s="190"/>
      <c r="G28" s="192"/>
      <c r="H28" s="192"/>
      <c r="I28" s="193"/>
      <c r="J28" s="191"/>
      <c r="K28" s="194"/>
      <c r="L28" s="193"/>
      <c r="M28" s="196"/>
      <c r="N28" s="195"/>
      <c r="O28" s="196"/>
      <c r="P28" s="196"/>
      <c r="Q28" s="197"/>
    </row>
    <row r="29" ht="22.5" customHeight="1">
      <c r="B29" s="189"/>
      <c r="C29" s="190"/>
      <c r="D29" s="198"/>
      <c r="E29" s="190"/>
      <c r="F29" s="190"/>
      <c r="G29" s="192"/>
      <c r="H29" s="192"/>
      <c r="I29" s="193"/>
      <c r="J29" s="198"/>
      <c r="K29" s="194"/>
      <c r="L29" s="193"/>
      <c r="M29" s="196"/>
      <c r="N29" s="195"/>
      <c r="O29" s="196"/>
      <c r="P29" s="196"/>
      <c r="Q29" s="197"/>
    </row>
    <row r="30" ht="22.5" customHeight="1">
      <c r="B30" s="189"/>
      <c r="C30" s="190"/>
      <c r="D30" s="198"/>
      <c r="E30" s="190"/>
      <c r="F30" s="190"/>
      <c r="G30" s="192"/>
      <c r="H30" s="192"/>
      <c r="I30" s="193"/>
      <c r="J30" s="198"/>
      <c r="K30" s="194"/>
      <c r="L30" s="193"/>
      <c r="M30" s="196"/>
      <c r="N30" s="195"/>
      <c r="O30" s="196"/>
      <c r="P30" s="196"/>
      <c r="Q30" s="197"/>
    </row>
    <row r="31" ht="22.5" customHeight="1">
      <c r="B31" s="189"/>
      <c r="C31" s="190"/>
      <c r="D31" s="198"/>
      <c r="E31" s="190"/>
      <c r="F31" s="190"/>
      <c r="G31" s="192"/>
      <c r="H31" s="192"/>
      <c r="I31" s="193"/>
      <c r="J31" s="198"/>
      <c r="K31" s="194"/>
      <c r="L31" s="193"/>
      <c r="M31" s="196"/>
      <c r="N31" s="195"/>
      <c r="O31" s="196"/>
      <c r="P31" s="196"/>
      <c r="Q31" s="193"/>
    </row>
    <row r="32" ht="22.5" customHeight="1">
      <c r="B32" s="189"/>
      <c r="C32" s="190"/>
      <c r="D32" s="198"/>
      <c r="E32" s="190"/>
      <c r="F32" s="190"/>
      <c r="G32" s="192"/>
      <c r="H32" s="192"/>
      <c r="I32" s="193"/>
      <c r="J32" s="198"/>
      <c r="K32" s="194"/>
      <c r="L32" s="193"/>
      <c r="M32" s="196"/>
      <c r="N32" s="195"/>
      <c r="O32" s="196"/>
      <c r="P32" s="196"/>
      <c r="Q32" s="197"/>
    </row>
    <row r="33" ht="22.5" customHeight="1">
      <c r="B33" s="189"/>
      <c r="C33" s="190"/>
      <c r="D33" s="191"/>
      <c r="E33" s="190"/>
      <c r="F33" s="190"/>
      <c r="G33" s="192"/>
      <c r="H33" s="192"/>
      <c r="I33" s="193"/>
      <c r="J33" s="191"/>
      <c r="K33" s="194"/>
      <c r="L33" s="193"/>
      <c r="M33" s="196"/>
      <c r="N33" s="195"/>
      <c r="O33" s="196"/>
      <c r="P33" s="196"/>
      <c r="Q33" s="197"/>
    </row>
    <row r="34" ht="22.5" customHeight="1">
      <c r="B34" s="189"/>
      <c r="C34" s="190"/>
      <c r="D34" s="191"/>
      <c r="E34" s="190"/>
      <c r="F34" s="190"/>
      <c r="G34" s="192"/>
      <c r="H34" s="192"/>
      <c r="I34" s="193"/>
      <c r="J34" s="191"/>
      <c r="K34" s="194"/>
      <c r="L34" s="193"/>
      <c r="M34" s="196"/>
      <c r="N34" s="195"/>
      <c r="O34" s="196"/>
      <c r="P34" s="196"/>
      <c r="Q34" s="197"/>
    </row>
    <row r="35" ht="22.5" customHeight="1">
      <c r="B35" s="189"/>
      <c r="C35" s="190"/>
      <c r="D35" s="191"/>
      <c r="E35" s="190"/>
      <c r="F35" s="190"/>
      <c r="G35" s="192"/>
      <c r="H35" s="192"/>
      <c r="I35" s="193"/>
      <c r="J35" s="191"/>
      <c r="K35" s="194"/>
      <c r="L35" s="193"/>
      <c r="M35" s="196"/>
      <c r="N35" s="195"/>
      <c r="O35" s="196"/>
      <c r="P35" s="196"/>
      <c r="Q35" s="197"/>
    </row>
    <row r="36" ht="22.5" customHeight="1">
      <c r="B36" s="189"/>
      <c r="C36" s="190"/>
      <c r="D36" s="191"/>
      <c r="E36" s="190"/>
      <c r="F36" s="190"/>
      <c r="G36" s="192"/>
      <c r="H36" s="192"/>
      <c r="I36" s="193"/>
      <c r="J36" s="191"/>
      <c r="K36" s="194"/>
      <c r="L36" s="193"/>
      <c r="M36" s="196"/>
      <c r="N36" s="195"/>
      <c r="O36" s="196"/>
      <c r="P36" s="196"/>
      <c r="Q36" s="197"/>
    </row>
    <row r="37" ht="22.5" customHeight="1">
      <c r="B37" s="189"/>
      <c r="C37" s="190"/>
      <c r="D37" s="191"/>
      <c r="E37" s="190"/>
      <c r="F37" s="190"/>
      <c r="G37" s="192"/>
      <c r="H37" s="192"/>
      <c r="I37" s="193"/>
      <c r="J37" s="191"/>
      <c r="K37" s="194"/>
      <c r="L37" s="193"/>
      <c r="M37" s="196"/>
      <c r="N37" s="195"/>
      <c r="O37" s="196"/>
      <c r="P37" s="196"/>
      <c r="Q37" s="197"/>
    </row>
    <row r="38" ht="22.5" customHeight="1">
      <c r="B38" s="189"/>
      <c r="C38" s="190"/>
      <c r="D38" s="191"/>
      <c r="E38" s="190"/>
      <c r="F38" s="190"/>
      <c r="G38" s="192"/>
      <c r="H38" s="192"/>
      <c r="I38" s="193"/>
      <c r="J38" s="191"/>
      <c r="K38" s="194"/>
      <c r="L38" s="193"/>
      <c r="M38" s="196"/>
      <c r="N38" s="195"/>
      <c r="O38" s="196"/>
      <c r="P38" s="196"/>
      <c r="Q38" s="197"/>
    </row>
    <row r="39" ht="22.5" customHeight="1">
      <c r="B39" s="204"/>
      <c r="C39" s="190"/>
      <c r="D39" s="191"/>
      <c r="E39" s="190"/>
      <c r="F39" s="190"/>
      <c r="G39" s="192"/>
      <c r="H39" s="192"/>
      <c r="I39" s="193"/>
      <c r="J39" s="191"/>
      <c r="K39" s="194"/>
      <c r="L39" s="193"/>
      <c r="M39" s="196"/>
      <c r="N39" s="195"/>
      <c r="O39" s="196"/>
      <c r="P39" s="196"/>
      <c r="Q39" s="197"/>
    </row>
    <row r="40" ht="22.5" customHeight="1">
      <c r="B40" s="204"/>
      <c r="C40" s="190"/>
      <c r="D40" s="191"/>
      <c r="E40" s="190"/>
      <c r="F40" s="190"/>
      <c r="G40" s="192"/>
      <c r="H40" s="192"/>
      <c r="I40" s="193"/>
      <c r="J40" s="191"/>
      <c r="K40" s="194"/>
      <c r="L40" s="193"/>
      <c r="M40" s="196"/>
      <c r="N40" s="195"/>
      <c r="O40" s="196"/>
      <c r="P40" s="196"/>
      <c r="Q40" s="197"/>
    </row>
    <row r="41" ht="22.5" customHeight="1">
      <c r="B41" s="204"/>
      <c r="C41" s="190"/>
      <c r="D41" s="191"/>
      <c r="E41" s="190"/>
      <c r="F41" s="190"/>
      <c r="G41" s="192"/>
      <c r="H41" s="192"/>
      <c r="I41" s="193"/>
      <c r="J41" s="191"/>
      <c r="K41" s="194"/>
      <c r="L41" s="193"/>
      <c r="M41" s="196"/>
      <c r="N41" s="195"/>
      <c r="O41" s="196"/>
      <c r="P41" s="196"/>
      <c r="Q41" s="197"/>
    </row>
    <row r="42" ht="22.5" customHeight="1">
      <c r="B42" s="204"/>
      <c r="C42" s="190"/>
      <c r="D42" s="191"/>
      <c r="E42" s="190"/>
      <c r="F42" s="190"/>
      <c r="G42" s="192"/>
      <c r="H42" s="192"/>
      <c r="I42" s="193"/>
      <c r="J42" s="191"/>
      <c r="K42" s="194"/>
      <c r="L42" s="193"/>
      <c r="M42" s="196"/>
      <c r="N42" s="195"/>
      <c r="O42" s="196"/>
      <c r="P42" s="196"/>
      <c r="Q42" s="197"/>
    </row>
    <row r="43" ht="22.5" customHeight="1">
      <c r="B43" s="204"/>
      <c r="C43" s="190"/>
      <c r="D43" s="191"/>
      <c r="E43" s="190"/>
      <c r="F43" s="190"/>
      <c r="G43" s="192"/>
      <c r="H43" s="192"/>
      <c r="I43" s="193"/>
      <c r="J43" s="191"/>
      <c r="K43" s="194"/>
      <c r="L43" s="193"/>
      <c r="M43" s="196"/>
      <c r="N43" s="195"/>
      <c r="O43" s="196"/>
      <c r="P43" s="196"/>
      <c r="Q43" s="197"/>
    </row>
    <row r="44" ht="22.5" customHeight="1">
      <c r="B44" s="189"/>
      <c r="C44" s="190"/>
      <c r="D44" s="191"/>
      <c r="E44" s="190"/>
      <c r="F44" s="190"/>
      <c r="G44" s="192"/>
      <c r="H44" s="192"/>
      <c r="I44" s="193"/>
      <c r="J44" s="191"/>
      <c r="K44" s="194"/>
      <c r="L44" s="193"/>
      <c r="M44" s="196"/>
      <c r="N44" s="195"/>
      <c r="O44" s="196"/>
      <c r="P44" s="196"/>
      <c r="Q44" s="197"/>
    </row>
    <row r="45" ht="22.5" customHeight="1">
      <c r="B45" s="189"/>
      <c r="C45" s="190"/>
      <c r="D45" s="191"/>
      <c r="E45" s="190"/>
      <c r="F45" s="190"/>
      <c r="G45" s="192"/>
      <c r="H45" s="192"/>
      <c r="I45" s="193"/>
      <c r="J45" s="191"/>
      <c r="K45" s="194"/>
      <c r="L45" s="193"/>
      <c r="M45" s="196"/>
      <c r="N45" s="195"/>
      <c r="O45" s="196"/>
      <c r="P45" s="196"/>
      <c r="Q45" s="197"/>
    </row>
    <row r="46" ht="22.5" customHeight="1">
      <c r="B46" s="204"/>
      <c r="C46" s="205"/>
      <c r="D46" s="198"/>
      <c r="E46" s="205"/>
      <c r="F46" s="205"/>
      <c r="G46" s="206"/>
      <c r="H46" s="206"/>
      <c r="I46" s="197"/>
      <c r="J46" s="196"/>
      <c r="K46" s="207"/>
      <c r="L46" s="197"/>
      <c r="M46" s="196"/>
      <c r="N46" s="195"/>
      <c r="O46" s="196"/>
      <c r="P46" s="196"/>
      <c r="Q46" s="197"/>
    </row>
    <row r="47" ht="22.5" customHeight="1">
      <c r="B47" s="204"/>
      <c r="C47" s="205"/>
      <c r="D47" s="198"/>
      <c r="E47" s="205"/>
      <c r="F47" s="205"/>
      <c r="G47" s="206"/>
      <c r="H47" s="206"/>
      <c r="I47" s="197"/>
      <c r="J47" s="196"/>
      <c r="K47" s="207"/>
      <c r="L47" s="197"/>
      <c r="M47" s="196"/>
      <c r="N47" s="195"/>
      <c r="O47" s="196"/>
      <c r="P47" s="196"/>
      <c r="Q47" s="197"/>
    </row>
    <row r="48" ht="22.5" customHeight="1">
      <c r="B48" s="204"/>
      <c r="C48" s="205"/>
      <c r="D48" s="198"/>
      <c r="E48" s="205"/>
      <c r="F48" s="205"/>
      <c r="G48" s="206"/>
      <c r="H48" s="206"/>
      <c r="I48" s="197"/>
      <c r="J48" s="196"/>
      <c r="K48" s="207"/>
      <c r="L48" s="197"/>
      <c r="M48" s="196"/>
      <c r="N48" s="195"/>
      <c r="O48" s="196"/>
      <c r="P48" s="196"/>
      <c r="Q48" s="197"/>
    </row>
    <row r="49" ht="22.5" customHeight="1">
      <c r="B49" s="204"/>
      <c r="C49" s="205"/>
      <c r="D49" s="198"/>
      <c r="E49" s="205"/>
      <c r="F49" s="205"/>
      <c r="G49" s="206"/>
      <c r="H49" s="206"/>
      <c r="I49" s="197"/>
      <c r="J49" s="196"/>
      <c r="K49" s="207"/>
      <c r="L49" s="197"/>
      <c r="M49" s="196"/>
      <c r="N49" s="195"/>
      <c r="O49" s="196"/>
      <c r="P49" s="196"/>
      <c r="Q49" s="197"/>
    </row>
    <row r="50" ht="22.5" customHeight="1">
      <c r="B50" s="204"/>
      <c r="C50" s="205"/>
      <c r="D50" s="198"/>
      <c r="E50" s="205"/>
      <c r="F50" s="205"/>
      <c r="G50" s="206"/>
      <c r="H50" s="206"/>
      <c r="I50" s="197"/>
      <c r="J50" s="196"/>
      <c r="K50" s="207"/>
      <c r="L50" s="197"/>
      <c r="M50" s="196"/>
      <c r="N50" s="195"/>
      <c r="O50" s="196"/>
      <c r="P50" s="196"/>
      <c r="Q50" s="197"/>
    </row>
    <row r="51" ht="22.5" customHeight="1">
      <c r="B51" s="204"/>
      <c r="C51" s="205"/>
      <c r="D51" s="198"/>
      <c r="E51" s="205"/>
      <c r="F51" s="205"/>
      <c r="G51" s="206"/>
      <c r="H51" s="206"/>
      <c r="I51" s="197"/>
      <c r="J51" s="196"/>
      <c r="K51" s="207"/>
      <c r="L51" s="197"/>
      <c r="M51" s="196"/>
      <c r="N51" s="195"/>
      <c r="O51" s="196"/>
      <c r="P51" s="196"/>
      <c r="Q51" s="197"/>
    </row>
    <row r="52" ht="22.5" customHeight="1">
      <c r="B52" s="204"/>
      <c r="C52" s="205"/>
      <c r="D52" s="198"/>
      <c r="E52" s="205"/>
      <c r="F52" s="205"/>
      <c r="G52" s="206"/>
      <c r="H52" s="206"/>
      <c r="I52" s="197"/>
      <c r="J52" s="196"/>
      <c r="K52" s="207"/>
      <c r="L52" s="197"/>
      <c r="M52" s="196"/>
      <c r="N52" s="195"/>
      <c r="O52" s="196"/>
      <c r="P52" s="196"/>
      <c r="Q52" s="197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 N10:N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I52 L10:L52 Q10:Q52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16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2000000.0</v>
      </c>
      <c r="F4" s="15">
        <f>SUMIFS(OPI_21[MAF NETO],OPI_21[ESTADO],"Desembolsado")</f>
        <v>1356700</v>
      </c>
      <c r="G4" s="15">
        <f>F4-E4</f>
        <v>-643300</v>
      </c>
      <c r="H4" s="16">
        <f>SUMIFS(OPI_21[MAF NETO],OPI_21[ESTADO],H$3)</f>
        <v>0</v>
      </c>
      <c r="I4" s="16">
        <f>SUMIFS(OPI_21[MAF NETO],OPI_21[ESTADO],I$3)</f>
        <v>157750</v>
      </c>
      <c r="J4" s="16">
        <f>SUMIFS(OPI_21[MAF NETO],OPI_21[ESTADO],J$3)</f>
        <v>0</v>
      </c>
      <c r="K4" s="16">
        <f>SUMIFS(OPI_21[MAF NETO],OPI_21[ESTADO],K$3)</f>
        <v>0</v>
      </c>
      <c r="L4" s="16">
        <f>SUMIFS(OPI_21[MAF NETO],OPI_21[ESTADO],L$3)</f>
        <v>0</v>
      </c>
      <c r="M4" s="16">
        <f>SUMIFS(OPI_21[MAF NETO],OPI_21[ESTADO],M$3)</f>
        <v>40300</v>
      </c>
      <c r="N4" s="16">
        <f>SUMIFS(OPI_21[MAF NETO],OPI_21[ESTADO],N$3)</f>
        <v>9000</v>
      </c>
    </row>
    <row r="5" ht="26.25" customHeight="1">
      <c r="D5" s="17" t="s">
        <v>31</v>
      </c>
      <c r="E5" s="18" t="s">
        <v>32</v>
      </c>
      <c r="F5" s="19">
        <f>COUNTIFS(OPI_21[ESTADO],"Desembolsado")</f>
        <v>16</v>
      </c>
      <c r="G5" s="20">
        <f>IFERROR(F4/E4,"")</f>
        <v>0.67835</v>
      </c>
      <c r="H5" s="19">
        <f>COUNTIFS(OPI_21[ESTADO],H$3)</f>
        <v>0</v>
      </c>
      <c r="I5" s="19">
        <f>COUNTIFS(OPI_21[ESTADO],I$3)</f>
        <v>2</v>
      </c>
      <c r="J5" s="19">
        <f>COUNTIFS(OPI_21[ESTADO],J$3)</f>
        <v>0</v>
      </c>
      <c r="K5" s="19">
        <f>COUNTIFS(OPI_21[ESTADO],K$3)</f>
        <v>0</v>
      </c>
      <c r="L5" s="19">
        <f>COUNTIFS(OPI_21[ESTADO],L$3)</f>
        <v>0</v>
      </c>
      <c r="M5" s="19">
        <f>COUNTIFS(OPI_21[ESTADO],M$3)</f>
        <v>2</v>
      </c>
      <c r="N5" s="19">
        <f>COUNTIFS(OPI_21[ESTADO],N$3)</f>
        <v>7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189" t="s">
        <v>51</v>
      </c>
      <c r="C10" s="190">
        <v>46246.0</v>
      </c>
      <c r="D10" s="191" t="s">
        <v>53</v>
      </c>
      <c r="E10" s="190">
        <v>46247.0</v>
      </c>
      <c r="F10" s="190"/>
      <c r="G10" s="192" t="s">
        <v>569</v>
      </c>
      <c r="H10" s="192" t="s">
        <v>570</v>
      </c>
      <c r="I10" s="193" t="s">
        <v>73</v>
      </c>
      <c r="J10" s="191" t="s">
        <v>19</v>
      </c>
      <c r="K10" s="194">
        <v>84900.0</v>
      </c>
      <c r="L10" s="193" t="s">
        <v>573</v>
      </c>
      <c r="M10" s="191"/>
      <c r="N10" s="195"/>
      <c r="O10" s="191"/>
      <c r="P10" s="196"/>
      <c r="Q10" s="197"/>
    </row>
    <row r="11" ht="22.5" customHeight="1">
      <c r="B11" s="189" t="s">
        <v>51</v>
      </c>
      <c r="C11" s="190">
        <v>46247.0</v>
      </c>
      <c r="D11" s="191" t="s">
        <v>53</v>
      </c>
      <c r="E11" s="190">
        <v>46249.0</v>
      </c>
      <c r="F11" s="190">
        <v>46252.0</v>
      </c>
      <c r="G11" s="192" t="s">
        <v>585</v>
      </c>
      <c r="H11" s="192" t="s">
        <v>586</v>
      </c>
      <c r="I11" s="193" t="s">
        <v>73</v>
      </c>
      <c r="J11" s="191" t="s">
        <v>19</v>
      </c>
      <c r="K11" s="194">
        <v>83900.0</v>
      </c>
      <c r="L11" s="193" t="s">
        <v>587</v>
      </c>
      <c r="M11" s="198"/>
      <c r="N11" s="195"/>
      <c r="O11" s="196"/>
      <c r="P11" s="196"/>
      <c r="Q11" s="197"/>
    </row>
    <row r="12" ht="22.5" customHeight="1">
      <c r="B12" s="189" t="s">
        <v>51</v>
      </c>
      <c r="C12" s="190">
        <v>46247.0</v>
      </c>
      <c r="D12" s="191" t="s">
        <v>53</v>
      </c>
      <c r="E12" s="190">
        <v>46247.0</v>
      </c>
      <c r="F12" s="190">
        <v>46254.0</v>
      </c>
      <c r="G12" s="192" t="s">
        <v>592</v>
      </c>
      <c r="H12" s="192" t="s">
        <v>593</v>
      </c>
      <c r="I12" s="193" t="s">
        <v>73</v>
      </c>
      <c r="J12" s="191" t="s">
        <v>19</v>
      </c>
      <c r="K12" s="194">
        <v>105000.0</v>
      </c>
      <c r="L12" s="193" t="s">
        <v>587</v>
      </c>
      <c r="M12" s="198"/>
      <c r="N12" s="195"/>
      <c r="O12" s="196"/>
      <c r="P12" s="196"/>
      <c r="Q12" s="197"/>
    </row>
    <row r="13" ht="22.5" customHeight="1">
      <c r="B13" s="189" t="s">
        <v>51</v>
      </c>
      <c r="C13" s="190">
        <v>46248.0</v>
      </c>
      <c r="D13" s="191" t="s">
        <v>53</v>
      </c>
      <c r="E13" s="190">
        <v>46249.0</v>
      </c>
      <c r="F13" s="190">
        <v>46253.0</v>
      </c>
      <c r="G13" s="192" t="s">
        <v>596</v>
      </c>
      <c r="H13" s="192" t="s">
        <v>597</v>
      </c>
      <c r="I13" s="193" t="s">
        <v>56</v>
      </c>
      <c r="J13" s="191" t="s">
        <v>19</v>
      </c>
      <c r="K13" s="194">
        <v>53000.0</v>
      </c>
      <c r="L13" s="193" t="s">
        <v>587</v>
      </c>
      <c r="M13" s="198"/>
      <c r="N13" s="195"/>
      <c r="O13" s="196"/>
      <c r="P13" s="196"/>
      <c r="Q13" s="197"/>
    </row>
    <row r="14" ht="22.5" customHeight="1">
      <c r="B14" s="189" t="s">
        <v>51</v>
      </c>
      <c r="C14" s="190">
        <v>46248.0</v>
      </c>
      <c r="D14" s="191" t="s">
        <v>53</v>
      </c>
      <c r="E14" s="189">
        <v>0.0</v>
      </c>
      <c r="F14" s="190"/>
      <c r="G14" s="192" t="s">
        <v>600</v>
      </c>
      <c r="H14" s="192" t="s">
        <v>603</v>
      </c>
      <c r="I14" s="193" t="s">
        <v>56</v>
      </c>
      <c r="J14" s="191" t="s">
        <v>27</v>
      </c>
      <c r="K14" s="194">
        <v>0.0</v>
      </c>
      <c r="L14" s="193"/>
      <c r="M14" s="198"/>
      <c r="N14" s="195"/>
      <c r="O14" s="196"/>
      <c r="P14" s="196"/>
      <c r="Q14" s="197"/>
    </row>
    <row r="15" ht="22.5" customHeight="1">
      <c r="B15" s="189" t="s">
        <v>51</v>
      </c>
      <c r="C15" s="190">
        <v>46251.0</v>
      </c>
      <c r="D15" s="191" t="s">
        <v>53</v>
      </c>
      <c r="E15" s="190"/>
      <c r="F15" s="190">
        <v>46255.0</v>
      </c>
      <c r="G15" s="192" t="s">
        <v>606</v>
      </c>
      <c r="H15" s="192" t="s">
        <v>607</v>
      </c>
      <c r="I15" s="193" t="s">
        <v>113</v>
      </c>
      <c r="J15" s="191" t="s">
        <v>19</v>
      </c>
      <c r="K15" s="194">
        <v>81700.0</v>
      </c>
      <c r="L15" s="193" t="s">
        <v>587</v>
      </c>
      <c r="M15" s="196"/>
      <c r="N15" s="195"/>
      <c r="O15" s="196"/>
      <c r="P15" s="196"/>
      <c r="Q15" s="197"/>
    </row>
    <row r="16" ht="22.5" customHeight="1">
      <c r="B16" s="189" t="s">
        <v>51</v>
      </c>
      <c r="C16" s="190">
        <v>46251.0</v>
      </c>
      <c r="D16" s="191" t="s">
        <v>53</v>
      </c>
      <c r="E16" s="190"/>
      <c r="F16" s="190"/>
      <c r="G16" s="192" t="s">
        <v>614</v>
      </c>
      <c r="H16" s="192" t="s">
        <v>615</v>
      </c>
      <c r="I16" s="193" t="s">
        <v>73</v>
      </c>
      <c r="J16" s="191" t="s">
        <v>27</v>
      </c>
      <c r="K16" s="194">
        <v>0.0</v>
      </c>
      <c r="L16" s="193"/>
      <c r="M16" s="198"/>
      <c r="N16" s="195"/>
      <c r="O16" s="196"/>
      <c r="P16" s="196"/>
      <c r="Q16" s="197"/>
    </row>
    <row r="17" ht="22.5" customHeight="1">
      <c r="B17" s="189" t="s">
        <v>51</v>
      </c>
      <c r="C17" s="190">
        <v>46252.0</v>
      </c>
      <c r="D17" s="200" t="s">
        <v>53</v>
      </c>
      <c r="E17" s="190"/>
      <c r="F17" s="190"/>
      <c r="G17" s="192" t="s">
        <v>623</v>
      </c>
      <c r="H17" s="192" t="s">
        <v>624</v>
      </c>
      <c r="I17" s="193" t="s">
        <v>73</v>
      </c>
      <c r="J17" s="191" t="s">
        <v>27</v>
      </c>
      <c r="K17" s="194">
        <v>0.0</v>
      </c>
      <c r="L17" s="193" t="s">
        <v>629</v>
      </c>
      <c r="M17" s="198"/>
      <c r="N17" s="195"/>
      <c r="O17" s="196"/>
      <c r="P17" s="196"/>
      <c r="Q17" s="197"/>
    </row>
    <row r="18" ht="22.5" customHeight="1">
      <c r="B18" s="189" t="s">
        <v>51</v>
      </c>
      <c r="C18" s="190">
        <v>46252.0</v>
      </c>
      <c r="D18" s="191" t="s">
        <v>53</v>
      </c>
      <c r="E18" s="190"/>
      <c r="F18" s="190">
        <v>46254.0</v>
      </c>
      <c r="G18" s="192" t="s">
        <v>634</v>
      </c>
      <c r="H18" s="192" t="s">
        <v>635</v>
      </c>
      <c r="I18" s="193" t="s">
        <v>73</v>
      </c>
      <c r="J18" s="191" t="s">
        <v>19</v>
      </c>
      <c r="K18" s="194">
        <v>98500.0</v>
      </c>
      <c r="L18" s="193" t="s">
        <v>573</v>
      </c>
      <c r="M18" s="196"/>
      <c r="N18" s="195"/>
      <c r="O18" s="196"/>
      <c r="P18" s="196"/>
      <c r="Q18" s="197"/>
    </row>
    <row r="19" ht="22.5" customHeight="1">
      <c r="B19" s="189" t="s">
        <v>51</v>
      </c>
      <c r="C19" s="190"/>
      <c r="D19" s="191" t="s">
        <v>53</v>
      </c>
      <c r="E19" s="190"/>
      <c r="F19" s="190"/>
      <c r="G19" s="192" t="s">
        <v>640</v>
      </c>
      <c r="H19" s="192" t="s">
        <v>641</v>
      </c>
      <c r="I19" s="193" t="s">
        <v>113</v>
      </c>
      <c r="J19" s="191" t="s">
        <v>19</v>
      </c>
      <c r="K19" s="194">
        <v>40000.0</v>
      </c>
      <c r="L19" s="193" t="s">
        <v>573</v>
      </c>
      <c r="M19" s="196"/>
      <c r="N19" s="195"/>
      <c r="O19" s="196"/>
      <c r="P19" s="196"/>
      <c r="Q19" s="197"/>
    </row>
    <row r="20" ht="22.5" customHeight="1">
      <c r="B20" s="189" t="s">
        <v>51</v>
      </c>
      <c r="C20" s="190">
        <v>46254.0</v>
      </c>
      <c r="D20" s="191" t="s">
        <v>53</v>
      </c>
      <c r="E20" s="190"/>
      <c r="F20" s="190"/>
      <c r="G20" s="192" t="s">
        <v>646</v>
      </c>
      <c r="H20" s="192" t="s">
        <v>647</v>
      </c>
      <c r="I20" s="193" t="s">
        <v>56</v>
      </c>
      <c r="J20" s="191" t="s">
        <v>19</v>
      </c>
      <c r="K20" s="194">
        <v>74100.0</v>
      </c>
      <c r="L20" s="193" t="s">
        <v>573</v>
      </c>
      <c r="M20" s="196"/>
      <c r="N20" s="195"/>
      <c r="O20" s="196"/>
      <c r="P20" s="196"/>
      <c r="Q20" s="197"/>
    </row>
    <row r="21" ht="22.5" customHeight="1">
      <c r="B21" s="189" t="s">
        <v>51</v>
      </c>
      <c r="C21" s="190"/>
      <c r="D21" s="191" t="s">
        <v>178</v>
      </c>
      <c r="E21" s="190"/>
      <c r="F21" s="190"/>
      <c r="G21" s="192" t="s">
        <v>652</v>
      </c>
      <c r="H21" s="192" t="s">
        <v>654</v>
      </c>
      <c r="I21" s="193" t="s">
        <v>73</v>
      </c>
      <c r="J21" s="191" t="s">
        <v>27</v>
      </c>
      <c r="K21" s="194">
        <v>0.0</v>
      </c>
      <c r="L21" s="193"/>
      <c r="M21" s="196"/>
      <c r="N21" s="195"/>
      <c r="O21" s="196"/>
      <c r="P21" s="196"/>
      <c r="Q21" s="197"/>
    </row>
    <row r="22" ht="22.5" customHeight="1">
      <c r="B22" s="189" t="s">
        <v>51</v>
      </c>
      <c r="C22" s="190"/>
      <c r="D22" s="191" t="s">
        <v>53</v>
      </c>
      <c r="E22" s="190"/>
      <c r="F22" s="189"/>
      <c r="G22" s="192" t="s">
        <v>659</v>
      </c>
      <c r="H22" s="192" t="s">
        <v>660</v>
      </c>
      <c r="I22" s="193" t="s">
        <v>73</v>
      </c>
      <c r="J22" s="191" t="s">
        <v>19</v>
      </c>
      <c r="K22" s="194">
        <v>112500.0</v>
      </c>
      <c r="L22" s="193" t="s">
        <v>573</v>
      </c>
      <c r="M22" s="196"/>
      <c r="N22" s="195"/>
      <c r="O22" s="196"/>
      <c r="P22" s="196"/>
      <c r="Q22" s="193"/>
    </row>
    <row r="23" ht="22.5" customHeight="1">
      <c r="B23" s="189" t="s">
        <v>51</v>
      </c>
      <c r="C23" s="190"/>
      <c r="D23" s="191" t="s">
        <v>53</v>
      </c>
      <c r="E23" s="190"/>
      <c r="F23" s="190"/>
      <c r="G23" s="192" t="s">
        <v>661</v>
      </c>
      <c r="H23" s="192" t="s">
        <v>662</v>
      </c>
      <c r="I23" s="193" t="s">
        <v>113</v>
      </c>
      <c r="J23" s="191" t="s">
        <v>26</v>
      </c>
      <c r="K23" s="194">
        <v>15300.0</v>
      </c>
      <c r="L23" s="193" t="s">
        <v>663</v>
      </c>
      <c r="M23" s="196"/>
      <c r="N23" s="195"/>
      <c r="O23" s="196"/>
      <c r="P23" s="196"/>
      <c r="Q23" s="197"/>
    </row>
    <row r="24" ht="22.5" customHeight="1">
      <c r="B24" s="189" t="s">
        <v>51</v>
      </c>
      <c r="C24" s="190"/>
      <c r="D24" s="191" t="s">
        <v>53</v>
      </c>
      <c r="E24" s="190"/>
      <c r="F24" s="190"/>
      <c r="G24" s="192" t="s">
        <v>664</v>
      </c>
      <c r="H24" s="192" t="s">
        <v>665</v>
      </c>
      <c r="I24" s="193" t="s">
        <v>56</v>
      </c>
      <c r="J24" s="191" t="s">
        <v>19</v>
      </c>
      <c r="K24" s="194">
        <v>84100.0</v>
      </c>
      <c r="L24" s="193" t="s">
        <v>587</v>
      </c>
      <c r="M24" s="196"/>
      <c r="N24" s="195"/>
      <c r="O24" s="196"/>
      <c r="P24" s="196"/>
      <c r="Q24" s="197"/>
    </row>
    <row r="25" ht="22.5" customHeight="1">
      <c r="B25" s="189" t="s">
        <v>51</v>
      </c>
      <c r="C25" s="190"/>
      <c r="D25" s="191" t="s">
        <v>53</v>
      </c>
      <c r="E25" s="190"/>
      <c r="F25" s="189" t="s">
        <v>666</v>
      </c>
      <c r="G25" s="192" t="s">
        <v>667</v>
      </c>
      <c r="H25" s="192" t="s">
        <v>668</v>
      </c>
      <c r="I25" s="193" t="s">
        <v>113</v>
      </c>
      <c r="J25" s="191" t="s">
        <v>26</v>
      </c>
      <c r="K25" s="194">
        <v>25000.0</v>
      </c>
      <c r="L25" s="193" t="s">
        <v>669</v>
      </c>
      <c r="M25" s="196"/>
      <c r="N25" s="195"/>
      <c r="O25" s="196"/>
      <c r="P25" s="196"/>
      <c r="Q25" s="197"/>
    </row>
    <row r="26" ht="22.5" customHeight="1">
      <c r="B26" s="189" t="s">
        <v>51</v>
      </c>
      <c r="C26" s="190"/>
      <c r="D26" s="191" t="s">
        <v>149</v>
      </c>
      <c r="E26" s="190"/>
      <c r="F26" s="190"/>
      <c r="G26" s="192" t="s">
        <v>670</v>
      </c>
      <c r="H26" s="192" t="s">
        <v>671</v>
      </c>
      <c r="I26" s="193" t="s">
        <v>56</v>
      </c>
      <c r="J26" s="191" t="s">
        <v>22</v>
      </c>
      <c r="K26" s="194">
        <v>78600.0</v>
      </c>
      <c r="L26" s="193" t="s">
        <v>669</v>
      </c>
      <c r="M26" s="196"/>
      <c r="N26" s="195"/>
      <c r="O26" s="196"/>
      <c r="P26" s="196"/>
      <c r="Q26" s="197"/>
    </row>
    <row r="27" ht="22.5" customHeight="1">
      <c r="B27" s="189" t="s">
        <v>51</v>
      </c>
      <c r="C27" s="190"/>
      <c r="D27" s="191" t="s">
        <v>53</v>
      </c>
      <c r="E27" s="190"/>
      <c r="F27" s="190"/>
      <c r="G27" s="192" t="s">
        <v>672</v>
      </c>
      <c r="H27" s="192" t="s">
        <v>673</v>
      </c>
      <c r="I27" s="193" t="s">
        <v>56</v>
      </c>
      <c r="J27" s="191" t="s">
        <v>19</v>
      </c>
      <c r="K27" s="194">
        <v>91800.0</v>
      </c>
      <c r="L27" s="193" t="s">
        <v>587</v>
      </c>
      <c r="M27" s="196"/>
      <c r="N27" s="195"/>
      <c r="O27" s="196"/>
      <c r="P27" s="196"/>
      <c r="Q27" s="193"/>
    </row>
    <row r="28" ht="22.5" customHeight="1">
      <c r="B28" s="189" t="s">
        <v>51</v>
      </c>
      <c r="C28" s="190"/>
      <c r="D28" s="191" t="s">
        <v>53</v>
      </c>
      <c r="E28" s="190"/>
      <c r="F28" s="190"/>
      <c r="G28" s="192" t="s">
        <v>674</v>
      </c>
      <c r="H28" s="192" t="s">
        <v>675</v>
      </c>
      <c r="I28" s="193" t="s">
        <v>193</v>
      </c>
      <c r="J28" s="191" t="s">
        <v>19</v>
      </c>
      <c r="K28" s="194">
        <v>78800.0</v>
      </c>
      <c r="L28" s="193" t="s">
        <v>587</v>
      </c>
      <c r="M28" s="196"/>
      <c r="N28" s="195"/>
      <c r="O28" s="196"/>
      <c r="P28" s="196"/>
      <c r="Q28" s="197"/>
    </row>
    <row r="29" ht="22.5" customHeight="1">
      <c r="B29" s="189"/>
      <c r="C29" s="190"/>
      <c r="D29" s="191" t="s">
        <v>178</v>
      </c>
      <c r="E29" s="190"/>
      <c r="F29" s="189" t="s">
        <v>676</v>
      </c>
      <c r="G29" s="192" t="s">
        <v>677</v>
      </c>
      <c r="H29" s="192" t="s">
        <v>678</v>
      </c>
      <c r="I29" s="193" t="s">
        <v>56</v>
      </c>
      <c r="J29" s="191" t="s">
        <v>22</v>
      </c>
      <c r="K29" s="194">
        <v>79150.0</v>
      </c>
      <c r="L29" s="193" t="s">
        <v>669</v>
      </c>
      <c r="M29" s="196"/>
      <c r="N29" s="195"/>
      <c r="O29" s="196"/>
      <c r="P29" s="196"/>
      <c r="Q29" s="197"/>
    </row>
    <row r="30" ht="22.5" customHeight="1">
      <c r="B30" s="189"/>
      <c r="C30" s="190"/>
      <c r="D30" s="191" t="s">
        <v>53</v>
      </c>
      <c r="E30" s="190"/>
      <c r="F30" s="190"/>
      <c r="G30" s="192" t="s">
        <v>679</v>
      </c>
      <c r="H30" s="192" t="s">
        <v>680</v>
      </c>
      <c r="I30" s="193" t="s">
        <v>73</v>
      </c>
      <c r="J30" s="191" t="s">
        <v>19</v>
      </c>
      <c r="K30" s="194">
        <v>62000.0</v>
      </c>
      <c r="L30" s="193" t="s">
        <v>587</v>
      </c>
      <c r="M30" s="196"/>
      <c r="N30" s="195"/>
      <c r="O30" s="196"/>
      <c r="P30" s="196"/>
      <c r="Q30" s="197"/>
    </row>
    <row r="31" ht="22.5" customHeight="1">
      <c r="B31" s="189"/>
      <c r="C31" s="190"/>
      <c r="D31" s="191" t="s">
        <v>53</v>
      </c>
      <c r="E31" s="190"/>
      <c r="F31" s="189" t="s">
        <v>692</v>
      </c>
      <c r="G31" s="192" t="s">
        <v>693</v>
      </c>
      <c r="H31" s="192" t="s">
        <v>694</v>
      </c>
      <c r="I31" s="193" t="s">
        <v>56</v>
      </c>
      <c r="J31" s="191" t="s">
        <v>27</v>
      </c>
      <c r="K31" s="194">
        <v>9000.0</v>
      </c>
      <c r="L31" s="193"/>
      <c r="M31" s="196"/>
      <c r="N31" s="195"/>
      <c r="O31" s="196"/>
      <c r="P31" s="196"/>
      <c r="Q31" s="193"/>
    </row>
    <row r="32" ht="22.5" customHeight="1">
      <c r="B32" s="189"/>
      <c r="C32" s="190"/>
      <c r="D32" s="191" t="s">
        <v>53</v>
      </c>
      <c r="E32" s="190"/>
      <c r="F32" s="190"/>
      <c r="G32" s="192" t="s">
        <v>712</v>
      </c>
      <c r="H32" s="192" t="s">
        <v>713</v>
      </c>
      <c r="I32" s="193" t="s">
        <v>73</v>
      </c>
      <c r="J32" s="191" t="s">
        <v>19</v>
      </c>
      <c r="K32" s="194">
        <v>83000.0</v>
      </c>
      <c r="L32" s="193" t="s">
        <v>587</v>
      </c>
      <c r="M32" s="196"/>
      <c r="N32" s="195"/>
      <c r="O32" s="196"/>
      <c r="P32" s="196"/>
      <c r="Q32" s="197"/>
    </row>
    <row r="33" ht="22.5" customHeight="1">
      <c r="B33" s="189"/>
      <c r="C33" s="190"/>
      <c r="D33" s="191" t="s">
        <v>53</v>
      </c>
      <c r="E33" s="190"/>
      <c r="F33" s="190"/>
      <c r="G33" s="192" t="s">
        <v>726</v>
      </c>
      <c r="H33" s="192" t="s">
        <v>727</v>
      </c>
      <c r="I33" s="193" t="s">
        <v>73</v>
      </c>
      <c r="J33" s="191" t="s">
        <v>27</v>
      </c>
      <c r="K33" s="194">
        <v>0.0</v>
      </c>
      <c r="L33" s="193"/>
      <c r="M33" s="196"/>
      <c r="N33" s="195"/>
      <c r="O33" s="196"/>
      <c r="P33" s="196"/>
      <c r="Q33" s="197"/>
    </row>
    <row r="34" ht="22.5" customHeight="1">
      <c r="B34" s="189"/>
      <c r="C34" s="190"/>
      <c r="D34" s="191" t="s">
        <v>149</v>
      </c>
      <c r="E34" s="190"/>
      <c r="F34" s="189" t="s">
        <v>738</v>
      </c>
      <c r="G34" s="192" t="s">
        <v>739</v>
      </c>
      <c r="H34" s="192" t="s">
        <v>741</v>
      </c>
      <c r="I34" s="193" t="s">
        <v>73</v>
      </c>
      <c r="J34" s="191" t="s">
        <v>19</v>
      </c>
      <c r="K34" s="194">
        <v>158400.0</v>
      </c>
      <c r="L34" s="193" t="s">
        <v>573</v>
      </c>
      <c r="M34" s="196"/>
      <c r="N34" s="195"/>
      <c r="O34" s="196"/>
      <c r="P34" s="196"/>
      <c r="Q34" s="197"/>
    </row>
    <row r="35" ht="22.5" customHeight="1">
      <c r="B35" s="189"/>
      <c r="C35" s="190"/>
      <c r="D35" s="191" t="s">
        <v>53</v>
      </c>
      <c r="E35" s="190"/>
      <c r="F35" s="190"/>
      <c r="G35" s="192" t="s">
        <v>757</v>
      </c>
      <c r="H35" s="192" t="s">
        <v>758</v>
      </c>
      <c r="I35" s="193" t="s">
        <v>56</v>
      </c>
      <c r="J35" s="191" t="s">
        <v>19</v>
      </c>
      <c r="K35" s="194">
        <v>65000.0</v>
      </c>
      <c r="L35" s="193" t="s">
        <v>573</v>
      </c>
      <c r="M35" s="196"/>
      <c r="N35" s="195"/>
      <c r="O35" s="196"/>
      <c r="P35" s="196"/>
      <c r="Q35" s="197"/>
    </row>
    <row r="36" ht="22.5" customHeight="1">
      <c r="B36" s="189"/>
      <c r="C36" s="190"/>
      <c r="D36" s="191" t="s">
        <v>53</v>
      </c>
      <c r="E36" s="190"/>
      <c r="F36" s="190"/>
      <c r="G36" s="192" t="s">
        <v>278</v>
      </c>
      <c r="H36" s="192" t="s">
        <v>738</v>
      </c>
      <c r="I36" s="193" t="s">
        <v>629</v>
      </c>
      <c r="J36" s="191" t="s">
        <v>27</v>
      </c>
      <c r="K36" s="194" t="s">
        <v>629</v>
      </c>
      <c r="L36" s="193"/>
      <c r="M36" s="196"/>
      <c r="N36" s="195"/>
      <c r="O36" s="196"/>
      <c r="P36" s="196"/>
      <c r="Q36" s="197"/>
    </row>
    <row r="37" ht="22.5" customHeight="1">
      <c r="B37" s="189"/>
      <c r="C37" s="190"/>
      <c r="D37" s="191"/>
      <c r="E37" s="190"/>
      <c r="F37" s="190"/>
      <c r="G37" s="192"/>
      <c r="H37" s="192"/>
      <c r="I37" s="193"/>
      <c r="J37" s="191"/>
      <c r="K37" s="194"/>
      <c r="L37" s="193"/>
      <c r="M37" s="196"/>
      <c r="N37" s="195"/>
      <c r="O37" s="196"/>
      <c r="P37" s="196"/>
      <c r="Q37" s="197"/>
    </row>
    <row r="38" ht="22.5" customHeight="1">
      <c r="B38" s="189"/>
      <c r="C38" s="190"/>
      <c r="D38" s="191"/>
      <c r="E38" s="190"/>
      <c r="F38" s="190"/>
      <c r="G38" s="192"/>
      <c r="H38" s="192"/>
      <c r="I38" s="193"/>
      <c r="J38" s="191"/>
      <c r="K38" s="194"/>
      <c r="L38" s="193"/>
      <c r="M38" s="196"/>
      <c r="N38" s="195"/>
      <c r="O38" s="196"/>
      <c r="P38" s="196"/>
      <c r="Q38" s="197"/>
    </row>
    <row r="39" ht="22.5" customHeight="1">
      <c r="B39" s="204"/>
      <c r="C39" s="190"/>
      <c r="D39" s="191"/>
      <c r="E39" s="190"/>
      <c r="F39" s="190"/>
      <c r="G39" s="192"/>
      <c r="H39" s="192"/>
      <c r="I39" s="193"/>
      <c r="J39" s="191"/>
      <c r="K39" s="194"/>
      <c r="L39" s="193"/>
      <c r="M39" s="196"/>
      <c r="N39" s="195"/>
      <c r="O39" s="196"/>
      <c r="P39" s="196"/>
      <c r="Q39" s="197"/>
    </row>
    <row r="40" ht="22.5" customHeight="1">
      <c r="B40" s="204"/>
      <c r="C40" s="190"/>
      <c r="D40" s="191"/>
      <c r="E40" s="190"/>
      <c r="F40" s="190"/>
      <c r="G40" s="192"/>
      <c r="H40" s="192"/>
      <c r="I40" s="193"/>
      <c r="J40" s="191"/>
      <c r="K40" s="194"/>
      <c r="L40" s="193"/>
      <c r="M40" s="196"/>
      <c r="N40" s="195"/>
      <c r="O40" s="196"/>
      <c r="P40" s="196"/>
      <c r="Q40" s="197"/>
    </row>
    <row r="41" ht="22.5" customHeight="1">
      <c r="B41" s="204"/>
      <c r="C41" s="190"/>
      <c r="D41" s="191"/>
      <c r="E41" s="190"/>
      <c r="F41" s="190"/>
      <c r="G41" s="192"/>
      <c r="H41" s="192"/>
      <c r="I41" s="193"/>
      <c r="J41" s="191"/>
      <c r="K41" s="194"/>
      <c r="L41" s="193"/>
      <c r="M41" s="196"/>
      <c r="N41" s="195"/>
      <c r="O41" s="196"/>
      <c r="P41" s="196"/>
      <c r="Q41" s="197"/>
    </row>
    <row r="42" ht="22.5" customHeight="1">
      <c r="B42" s="204"/>
      <c r="C42" s="190"/>
      <c r="D42" s="191"/>
      <c r="E42" s="190"/>
      <c r="F42" s="190"/>
      <c r="G42" s="192"/>
      <c r="H42" s="192"/>
      <c r="I42" s="193"/>
      <c r="J42" s="191"/>
      <c r="K42" s="194"/>
      <c r="L42" s="193"/>
      <c r="M42" s="196"/>
      <c r="N42" s="195"/>
      <c r="O42" s="196"/>
      <c r="P42" s="196"/>
      <c r="Q42" s="197"/>
    </row>
    <row r="43" ht="22.5" customHeight="1">
      <c r="B43" s="204"/>
      <c r="C43" s="190"/>
      <c r="D43" s="191"/>
      <c r="E43" s="190"/>
      <c r="F43" s="190"/>
      <c r="G43" s="192"/>
      <c r="H43" s="192"/>
      <c r="I43" s="193"/>
      <c r="J43" s="191"/>
      <c r="K43" s="194"/>
      <c r="L43" s="193"/>
      <c r="M43" s="196"/>
      <c r="N43" s="195"/>
      <c r="O43" s="196"/>
      <c r="P43" s="196"/>
      <c r="Q43" s="197"/>
    </row>
    <row r="44" ht="22.5" customHeight="1">
      <c r="B44" s="189"/>
      <c r="C44" s="190"/>
      <c r="D44" s="191"/>
      <c r="E44" s="190"/>
      <c r="F44" s="190"/>
      <c r="G44" s="192"/>
      <c r="H44" s="192"/>
      <c r="I44" s="193"/>
      <c r="J44" s="191"/>
      <c r="K44" s="194"/>
      <c r="L44" s="193"/>
      <c r="M44" s="196"/>
      <c r="N44" s="195"/>
      <c r="O44" s="196"/>
      <c r="P44" s="196"/>
      <c r="Q44" s="197"/>
    </row>
    <row r="45" ht="22.5" customHeight="1">
      <c r="B45" s="189"/>
      <c r="C45" s="190"/>
      <c r="D45" s="191"/>
      <c r="E45" s="190"/>
      <c r="F45" s="190"/>
      <c r="G45" s="192"/>
      <c r="H45" s="192"/>
      <c r="I45" s="193"/>
      <c r="J45" s="191"/>
      <c r="K45" s="194"/>
      <c r="L45" s="193"/>
      <c r="M45" s="196"/>
      <c r="N45" s="195"/>
      <c r="O45" s="196"/>
      <c r="P45" s="196"/>
      <c r="Q45" s="197"/>
    </row>
    <row r="46" ht="22.5" customHeight="1">
      <c r="B46" s="204"/>
      <c r="C46" s="205"/>
      <c r="D46" s="198"/>
      <c r="E46" s="205"/>
      <c r="F46" s="205"/>
      <c r="G46" s="206"/>
      <c r="H46" s="206"/>
      <c r="I46" s="197"/>
      <c r="J46" s="196"/>
      <c r="K46" s="207"/>
      <c r="L46" s="197"/>
      <c r="M46" s="196"/>
      <c r="N46" s="195"/>
      <c r="O46" s="196"/>
      <c r="P46" s="196"/>
      <c r="Q46" s="197"/>
    </row>
    <row r="47" ht="22.5" customHeight="1">
      <c r="B47" s="204"/>
      <c r="C47" s="205"/>
      <c r="D47" s="198"/>
      <c r="E47" s="205"/>
      <c r="F47" s="205"/>
      <c r="G47" s="206"/>
      <c r="H47" s="206"/>
      <c r="I47" s="197"/>
      <c r="J47" s="196"/>
      <c r="K47" s="207"/>
      <c r="L47" s="197"/>
      <c r="M47" s="196"/>
      <c r="N47" s="195"/>
      <c r="O47" s="196"/>
      <c r="P47" s="196"/>
      <c r="Q47" s="197"/>
    </row>
    <row r="48" ht="22.5" customHeight="1">
      <c r="B48" s="204"/>
      <c r="C48" s="205"/>
      <c r="D48" s="198"/>
      <c r="E48" s="205"/>
      <c r="F48" s="205"/>
      <c r="G48" s="206"/>
      <c r="H48" s="206"/>
      <c r="I48" s="197"/>
      <c r="J48" s="196"/>
      <c r="K48" s="207"/>
      <c r="L48" s="197"/>
      <c r="M48" s="196"/>
      <c r="N48" s="195"/>
      <c r="O48" s="196"/>
      <c r="P48" s="196"/>
      <c r="Q48" s="197"/>
    </row>
    <row r="49" ht="22.5" customHeight="1">
      <c r="B49" s="204"/>
      <c r="C49" s="205"/>
      <c r="D49" s="198"/>
      <c r="E49" s="205"/>
      <c r="F49" s="205"/>
      <c r="G49" s="206"/>
      <c r="H49" s="206"/>
      <c r="I49" s="197"/>
      <c r="J49" s="196"/>
      <c r="K49" s="207"/>
      <c r="L49" s="197"/>
      <c r="M49" s="196"/>
      <c r="N49" s="195"/>
      <c r="O49" s="196"/>
      <c r="P49" s="196"/>
      <c r="Q49" s="197"/>
    </row>
    <row r="50" ht="22.5" customHeight="1">
      <c r="B50" s="204"/>
      <c r="C50" s="205"/>
      <c r="D50" s="198"/>
      <c r="E50" s="205"/>
      <c r="F50" s="205"/>
      <c r="G50" s="206"/>
      <c r="H50" s="206"/>
      <c r="I50" s="197"/>
      <c r="J50" s="196"/>
      <c r="K50" s="207"/>
      <c r="L50" s="197"/>
      <c r="M50" s="196"/>
      <c r="N50" s="195"/>
      <c r="O50" s="196"/>
      <c r="P50" s="196"/>
      <c r="Q50" s="197"/>
    </row>
    <row r="51" ht="22.5" customHeight="1">
      <c r="B51" s="204"/>
      <c r="C51" s="205"/>
      <c r="D51" s="198"/>
      <c r="E51" s="205"/>
      <c r="F51" s="205"/>
      <c r="G51" s="206"/>
      <c r="H51" s="206"/>
      <c r="I51" s="197"/>
      <c r="J51" s="196"/>
      <c r="K51" s="207"/>
      <c r="L51" s="197"/>
      <c r="M51" s="196"/>
      <c r="N51" s="195"/>
      <c r="O51" s="196"/>
      <c r="P51" s="196"/>
      <c r="Q51" s="197"/>
    </row>
    <row r="52" ht="22.5" customHeight="1">
      <c r="B52" s="204"/>
      <c r="C52" s="205"/>
      <c r="D52" s="198"/>
      <c r="E52" s="205"/>
      <c r="F52" s="205"/>
      <c r="G52" s="206"/>
      <c r="H52" s="206"/>
      <c r="I52" s="197"/>
      <c r="J52" s="196"/>
      <c r="K52" s="207"/>
      <c r="L52" s="197"/>
      <c r="M52" s="196"/>
      <c r="N52" s="195"/>
      <c r="O52" s="196"/>
      <c r="P52" s="196"/>
      <c r="Q52" s="197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 N10:N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I52 L10:L52 Q10:Q52"/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1">
      <c r="A1" s="203"/>
    </row>
    <row r="3" ht="26.25" customHeight="1">
      <c r="D3" s="10" t="s">
        <v>125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800000.0</v>
      </c>
      <c r="F4" s="15">
        <f>SUMIFS(OPI_4[MAF NETO],OPI_4[ESTADO],"Desembolsado")</f>
        <v>311900</v>
      </c>
      <c r="G4" s="15">
        <f>F4-E4</f>
        <v>-488100</v>
      </c>
      <c r="H4" s="16">
        <f>SUMIFS(OPI_4[MAF NETO],OPI_4[ESTADO],H$3)</f>
        <v>0</v>
      </c>
      <c r="I4" s="16">
        <f>SUMIFS(OPI_4[MAF NETO],OPI_4[ESTADO],I$3)</f>
        <v>0</v>
      </c>
      <c r="J4" s="16">
        <f>SUMIFS(OPI_4[MAF NETO],OPI_4[ESTADO],J$3)</f>
        <v>0</v>
      </c>
      <c r="K4" s="16">
        <f>SUMIFS(OPI_4[MAF NETO],OPI_4[ESTADO],K$3)</f>
        <v>0</v>
      </c>
      <c r="L4" s="16">
        <f>SUMIFS(OPI_4[MAF NETO],OPI_4[ESTADO],L$3)</f>
        <v>0</v>
      </c>
      <c r="M4" s="16">
        <f>SUMIFS(OPI_4[MAF NETO],OPI_4[ESTADO],M$3)</f>
        <v>0</v>
      </c>
      <c r="N4" s="16">
        <f>SUMIFS(OPI_4[MAF NETO],OPI_4[ESTADO],N$3)</f>
        <v>92100</v>
      </c>
    </row>
    <row r="5" ht="26.25" customHeight="1">
      <c r="D5" s="17" t="s">
        <v>31</v>
      </c>
      <c r="E5" s="18" t="s">
        <v>32</v>
      </c>
      <c r="F5" s="19">
        <f>COUNTIFS(OPI_4[ESTADO],"Desembolsado")</f>
        <v>4</v>
      </c>
      <c r="G5" s="20">
        <f>IFERROR(F4/E4,"")</f>
        <v>0.389875</v>
      </c>
      <c r="H5" s="19">
        <f>COUNTIFS(OPI_4[ESTADO],H$3)</f>
        <v>0</v>
      </c>
      <c r="I5" s="19">
        <f>COUNTIFS(OPI_4[ESTADO],I$3)</f>
        <v>0</v>
      </c>
      <c r="J5" s="19">
        <f>COUNTIFS(OPI_4[ESTADO],J$3)</f>
        <v>0</v>
      </c>
      <c r="K5" s="19">
        <f>COUNTIFS(OPI_4[ESTADO],K$3)</f>
        <v>0</v>
      </c>
      <c r="L5" s="19">
        <f>COUNTIFS(OPI_4[ESTADO],L$3)</f>
        <v>0</v>
      </c>
      <c r="M5" s="19">
        <f>COUNTIFS(OPI_4[ESTADO],M$3)</f>
        <v>0</v>
      </c>
      <c r="N5" s="19">
        <f>COUNTIFS(OPI_4[ESTADO],N$3)</f>
        <v>2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5" t="s">
        <v>125</v>
      </c>
      <c r="C10" s="26">
        <v>46233.0</v>
      </c>
      <c r="D10" s="27" t="s">
        <v>53</v>
      </c>
      <c r="E10" s="26">
        <v>46233.0</v>
      </c>
      <c r="F10" s="26">
        <v>46237.0</v>
      </c>
      <c r="G10" s="28" t="s">
        <v>608</v>
      </c>
      <c r="H10" s="28" t="s">
        <v>610</v>
      </c>
      <c r="I10" s="25" t="s">
        <v>56</v>
      </c>
      <c r="J10" s="27" t="s">
        <v>19</v>
      </c>
      <c r="K10" s="29">
        <v>73000.0</v>
      </c>
      <c r="L10" s="25" t="s">
        <v>613</v>
      </c>
      <c r="M10" s="44"/>
      <c r="N10" s="25"/>
      <c r="O10" s="27"/>
      <c r="P10" s="32"/>
      <c r="Q10" s="34"/>
    </row>
    <row r="11" ht="22.5" customHeight="1">
      <c r="B11" s="25" t="s">
        <v>125</v>
      </c>
      <c r="C11" s="26">
        <v>46249.0</v>
      </c>
      <c r="D11" s="27" t="s">
        <v>53</v>
      </c>
      <c r="E11" s="26">
        <v>46252.0</v>
      </c>
      <c r="F11" s="26"/>
      <c r="G11" s="28" t="s">
        <v>616</v>
      </c>
      <c r="H11" s="28" t="s">
        <v>617</v>
      </c>
      <c r="I11" s="25" t="s">
        <v>56</v>
      </c>
      <c r="J11" s="27" t="s">
        <v>19</v>
      </c>
      <c r="K11" s="29">
        <v>81700.0</v>
      </c>
      <c r="L11" s="25" t="s">
        <v>618</v>
      </c>
      <c r="M11" s="32"/>
      <c r="N11" s="34"/>
      <c r="O11" s="27"/>
      <c r="P11" s="32"/>
      <c r="Q11" s="34"/>
    </row>
    <row r="12" ht="22.5" customHeight="1">
      <c r="B12" s="25" t="s">
        <v>125</v>
      </c>
      <c r="C12" s="26">
        <v>46252.0</v>
      </c>
      <c r="D12" s="27" t="s">
        <v>53</v>
      </c>
      <c r="E12" s="26">
        <v>46253.0</v>
      </c>
      <c r="F12" s="26">
        <v>46254.0</v>
      </c>
      <c r="G12" s="28" t="s">
        <v>621</v>
      </c>
      <c r="H12" s="28" t="s">
        <v>622</v>
      </c>
      <c r="I12" s="25" t="s">
        <v>56</v>
      </c>
      <c r="J12" s="27" t="s">
        <v>19</v>
      </c>
      <c r="K12" s="29">
        <v>82200.0</v>
      </c>
      <c r="L12" s="25" t="s">
        <v>613</v>
      </c>
      <c r="M12" s="32"/>
      <c r="N12" s="34"/>
      <c r="O12" s="27"/>
      <c r="P12" s="32"/>
      <c r="Q12" s="25"/>
    </row>
    <row r="13" ht="22.5" customHeight="1">
      <c r="B13" s="25" t="s">
        <v>125</v>
      </c>
      <c r="C13" s="26">
        <v>46258.0</v>
      </c>
      <c r="D13" s="27" t="s">
        <v>53</v>
      </c>
      <c r="E13" s="26">
        <v>46260.0</v>
      </c>
      <c r="F13" s="25"/>
      <c r="G13" s="28" t="s">
        <v>626</v>
      </c>
      <c r="H13" s="28" t="s">
        <v>628</v>
      </c>
      <c r="I13" s="25" t="s">
        <v>56</v>
      </c>
      <c r="J13" s="27" t="s">
        <v>27</v>
      </c>
      <c r="K13" s="29">
        <v>42000.0</v>
      </c>
      <c r="L13" s="25" t="s">
        <v>613</v>
      </c>
      <c r="M13" s="32"/>
      <c r="N13" s="34"/>
      <c r="O13" s="27"/>
      <c r="P13" s="32"/>
      <c r="Q13" s="25"/>
    </row>
    <row r="14" ht="22.5" customHeight="1">
      <c r="B14" s="25" t="s">
        <v>125</v>
      </c>
      <c r="C14" s="26">
        <v>46258.0</v>
      </c>
      <c r="D14" s="27" t="s">
        <v>53</v>
      </c>
      <c r="E14" s="26">
        <v>46263.0</v>
      </c>
      <c r="F14" s="26">
        <v>46265.0</v>
      </c>
      <c r="G14" s="28" t="s">
        <v>630</v>
      </c>
      <c r="H14" s="28" t="s">
        <v>631</v>
      </c>
      <c r="I14" s="25" t="s">
        <v>56</v>
      </c>
      <c r="J14" s="27" t="s">
        <v>19</v>
      </c>
      <c r="K14" s="29">
        <v>75000.0</v>
      </c>
      <c r="L14" s="25" t="s">
        <v>613</v>
      </c>
      <c r="M14" s="32"/>
      <c r="N14" s="34"/>
      <c r="O14" s="27"/>
      <c r="P14" s="32"/>
      <c r="Q14" s="34"/>
    </row>
    <row r="15" ht="22.5" customHeight="1">
      <c r="B15" s="25" t="s">
        <v>125</v>
      </c>
      <c r="C15" s="26">
        <v>46262.0</v>
      </c>
      <c r="D15" s="27" t="s">
        <v>149</v>
      </c>
      <c r="E15" s="26"/>
      <c r="F15" s="26"/>
      <c r="G15" s="28" t="s">
        <v>636</v>
      </c>
      <c r="H15" s="28" t="s">
        <v>637</v>
      </c>
      <c r="I15" s="25" t="s">
        <v>56</v>
      </c>
      <c r="J15" s="27" t="s">
        <v>27</v>
      </c>
      <c r="K15" s="29">
        <v>50100.0</v>
      </c>
      <c r="L15" s="25" t="s">
        <v>618</v>
      </c>
      <c r="M15" s="32"/>
      <c r="N15" s="34"/>
      <c r="O15" s="27"/>
      <c r="P15" s="32"/>
      <c r="Q15" s="34"/>
    </row>
    <row r="16" ht="22.5" customHeight="1">
      <c r="B16" s="25"/>
      <c r="C16" s="26"/>
      <c r="D16" s="27"/>
      <c r="E16" s="137"/>
      <c r="F16" s="137"/>
      <c r="G16" s="28"/>
      <c r="H16" s="28"/>
      <c r="I16" s="25"/>
      <c r="J16" s="27"/>
      <c r="K16" s="29"/>
      <c r="L16" s="25"/>
      <c r="M16" s="32"/>
      <c r="N16" s="34"/>
      <c r="O16" s="32"/>
      <c r="P16" s="32"/>
      <c r="Q16" s="34"/>
    </row>
    <row r="17" ht="22.5" customHeight="1">
      <c r="B17" s="25"/>
      <c r="C17" s="26"/>
      <c r="D17" s="27"/>
      <c r="E17" s="137"/>
      <c r="F17" s="137"/>
      <c r="G17" s="28"/>
      <c r="H17" s="28"/>
      <c r="I17" s="25"/>
      <c r="J17" s="27"/>
      <c r="K17" s="29"/>
      <c r="L17" s="25"/>
      <c r="M17" s="32"/>
      <c r="N17" s="34"/>
      <c r="O17" s="32"/>
      <c r="P17" s="32"/>
      <c r="Q17" s="34"/>
    </row>
    <row r="18" ht="22.5" customHeight="1">
      <c r="B18" s="25"/>
      <c r="C18" s="26"/>
      <c r="D18" s="27"/>
      <c r="E18" s="137"/>
      <c r="F18" s="137"/>
      <c r="G18" s="28"/>
      <c r="H18" s="28"/>
      <c r="I18" s="25"/>
      <c r="J18" s="27"/>
      <c r="K18" s="29"/>
      <c r="L18" s="25"/>
      <c r="M18" s="32"/>
      <c r="N18" s="34"/>
      <c r="O18" s="32"/>
      <c r="P18" s="32"/>
      <c r="Q18" s="34"/>
    </row>
    <row r="19" ht="22.5" customHeight="1">
      <c r="B19" s="34"/>
      <c r="C19" s="137"/>
      <c r="D19" s="44"/>
      <c r="E19" s="137"/>
      <c r="F19" s="137"/>
      <c r="G19" s="176"/>
      <c r="H19" s="176"/>
      <c r="I19" s="34"/>
      <c r="J19" s="32"/>
      <c r="K19" s="177"/>
      <c r="L19" s="34"/>
      <c r="M19" s="32"/>
      <c r="N19" s="34"/>
      <c r="O19" s="32"/>
      <c r="P19" s="32"/>
      <c r="Q19" s="34"/>
    </row>
    <row r="20" ht="22.5" customHeight="1">
      <c r="B20" s="34"/>
      <c r="C20" s="137"/>
      <c r="D20" s="44"/>
      <c r="E20" s="137"/>
      <c r="F20" s="137"/>
      <c r="G20" s="176"/>
      <c r="H20" s="176"/>
      <c r="I20" s="34"/>
      <c r="J20" s="32"/>
      <c r="K20" s="177"/>
      <c r="L20" s="34"/>
      <c r="M20" s="32"/>
      <c r="N20" s="34"/>
      <c r="O20" s="32"/>
      <c r="P20" s="32"/>
      <c r="Q20" s="34"/>
    </row>
    <row r="21" ht="22.5" customHeight="1">
      <c r="B21" s="34"/>
      <c r="C21" s="137"/>
      <c r="D21" s="44"/>
      <c r="E21" s="137"/>
      <c r="F21" s="137"/>
      <c r="G21" s="176"/>
      <c r="H21" s="176"/>
      <c r="I21" s="34"/>
      <c r="J21" s="32"/>
      <c r="K21" s="177"/>
      <c r="L21" s="34"/>
      <c r="M21" s="32"/>
      <c r="N21" s="34"/>
      <c r="O21" s="32"/>
      <c r="P21" s="32"/>
      <c r="Q21" s="34"/>
    </row>
    <row r="22" ht="22.5" customHeight="1">
      <c r="B22" s="34"/>
      <c r="C22" s="137"/>
      <c r="D22" s="44"/>
      <c r="E22" s="137"/>
      <c r="F22" s="137"/>
      <c r="G22" s="176"/>
      <c r="H22" s="176"/>
      <c r="I22" s="34"/>
      <c r="J22" s="32"/>
      <c r="K22" s="177"/>
      <c r="L22" s="34"/>
      <c r="M22" s="32"/>
      <c r="N22" s="34"/>
      <c r="O22" s="32"/>
      <c r="P22" s="32"/>
      <c r="Q22" s="34"/>
    </row>
    <row r="23" ht="22.5" customHeight="1">
      <c r="B23" s="34"/>
      <c r="C23" s="137"/>
      <c r="D23" s="44"/>
      <c r="E23" s="137"/>
      <c r="F23" s="137"/>
      <c r="G23" s="176"/>
      <c r="H23" s="176"/>
      <c r="I23" s="34"/>
      <c r="J23" s="32"/>
      <c r="K23" s="177"/>
      <c r="L23" s="34"/>
      <c r="M23" s="32"/>
      <c r="N23" s="34"/>
      <c r="O23" s="32"/>
      <c r="P23" s="32"/>
      <c r="Q23" s="34"/>
    </row>
    <row r="24" ht="22.5" customHeight="1">
      <c r="B24" s="34"/>
      <c r="C24" s="137"/>
      <c r="D24" s="44"/>
      <c r="E24" s="137"/>
      <c r="F24" s="137"/>
      <c r="G24" s="176"/>
      <c r="H24" s="176"/>
      <c r="I24" s="34"/>
      <c r="J24" s="32"/>
      <c r="K24" s="177"/>
      <c r="L24" s="34"/>
      <c r="M24" s="32"/>
      <c r="N24" s="34"/>
      <c r="O24" s="32"/>
      <c r="P24" s="32"/>
      <c r="Q24" s="34"/>
    </row>
    <row r="25" ht="22.5" customHeight="1">
      <c r="B25" s="34"/>
      <c r="C25" s="137"/>
      <c r="D25" s="44"/>
      <c r="E25" s="137"/>
      <c r="F25" s="137"/>
      <c r="G25" s="176"/>
      <c r="H25" s="176"/>
      <c r="I25" s="34"/>
      <c r="J25" s="32"/>
      <c r="K25" s="177"/>
      <c r="L25" s="34"/>
      <c r="M25" s="32"/>
      <c r="N25" s="34"/>
      <c r="O25" s="32"/>
      <c r="P25" s="32"/>
      <c r="Q25" s="34"/>
    </row>
    <row r="26" ht="22.5" customHeight="1">
      <c r="B26" s="34"/>
      <c r="C26" s="137"/>
      <c r="D26" s="44"/>
      <c r="E26" s="137"/>
      <c r="F26" s="137"/>
      <c r="G26" s="176"/>
      <c r="H26" s="176"/>
      <c r="I26" s="34"/>
      <c r="J26" s="32"/>
      <c r="K26" s="177"/>
      <c r="L26" s="34"/>
      <c r="M26" s="32"/>
      <c r="N26" s="34"/>
      <c r="O26" s="32"/>
      <c r="P26" s="32"/>
      <c r="Q26" s="34"/>
    </row>
    <row r="27" ht="22.5" customHeight="1">
      <c r="B27" s="34"/>
      <c r="C27" s="137"/>
      <c r="D27" s="44"/>
      <c r="E27" s="137"/>
      <c r="F27" s="137"/>
      <c r="G27" s="176"/>
      <c r="H27" s="176"/>
      <c r="I27" s="34"/>
      <c r="J27" s="32"/>
      <c r="K27" s="177"/>
      <c r="L27" s="34"/>
      <c r="M27" s="32"/>
      <c r="N27" s="34"/>
      <c r="O27" s="32"/>
      <c r="P27" s="32"/>
      <c r="Q27" s="34"/>
    </row>
    <row r="28" ht="22.5" customHeight="1">
      <c r="B28" s="34"/>
      <c r="C28" s="137"/>
      <c r="D28" s="44"/>
      <c r="E28" s="137"/>
      <c r="F28" s="137"/>
      <c r="G28" s="176"/>
      <c r="H28" s="176"/>
      <c r="I28" s="34"/>
      <c r="J28" s="32"/>
      <c r="K28" s="177"/>
      <c r="L28" s="34"/>
      <c r="M28" s="32"/>
      <c r="N28" s="34"/>
      <c r="O28" s="32"/>
      <c r="P28" s="32"/>
      <c r="Q28" s="34"/>
    </row>
    <row r="29" ht="22.5" customHeight="1">
      <c r="B29" s="34"/>
      <c r="C29" s="137"/>
      <c r="D29" s="44"/>
      <c r="E29" s="137"/>
      <c r="F29" s="137"/>
      <c r="G29" s="176"/>
      <c r="H29" s="176"/>
      <c r="I29" s="34"/>
      <c r="J29" s="32"/>
      <c r="K29" s="177"/>
      <c r="L29" s="34"/>
      <c r="M29" s="32"/>
      <c r="N29" s="34"/>
      <c r="O29" s="32"/>
      <c r="P29" s="32"/>
      <c r="Q29" s="34"/>
    </row>
    <row r="30" ht="22.5" customHeight="1">
      <c r="B30" s="34"/>
      <c r="C30" s="137"/>
      <c r="D30" s="44"/>
      <c r="E30" s="137"/>
      <c r="F30" s="137"/>
      <c r="G30" s="176"/>
      <c r="H30" s="176"/>
      <c r="I30" s="34"/>
      <c r="J30" s="32"/>
      <c r="K30" s="177"/>
      <c r="L30" s="34"/>
      <c r="M30" s="32"/>
      <c r="N30" s="34"/>
      <c r="O30" s="32"/>
      <c r="P30" s="32"/>
      <c r="Q30" s="34"/>
    </row>
    <row r="31" ht="22.5" customHeight="1">
      <c r="B31" s="34"/>
      <c r="C31" s="137"/>
      <c r="D31" s="44"/>
      <c r="E31" s="137"/>
      <c r="F31" s="137"/>
      <c r="G31" s="176"/>
      <c r="H31" s="176"/>
      <c r="I31" s="34"/>
      <c r="J31" s="32"/>
      <c r="K31" s="177"/>
      <c r="L31" s="34"/>
      <c r="M31" s="32"/>
      <c r="N31" s="34"/>
      <c r="O31" s="32"/>
      <c r="P31" s="32"/>
      <c r="Q31" s="34"/>
    </row>
    <row r="32" ht="22.5" customHeight="1">
      <c r="B32" s="34"/>
      <c r="C32" s="137"/>
      <c r="D32" s="44"/>
      <c r="E32" s="137"/>
      <c r="F32" s="137"/>
      <c r="G32" s="176"/>
      <c r="H32" s="176"/>
      <c r="I32" s="34"/>
      <c r="J32" s="32"/>
      <c r="K32" s="177"/>
      <c r="L32" s="34"/>
      <c r="M32" s="32"/>
      <c r="N32" s="34"/>
      <c r="O32" s="32"/>
      <c r="P32" s="32"/>
      <c r="Q32" s="34"/>
    </row>
    <row r="33" ht="22.5" customHeight="1">
      <c r="B33" s="34"/>
      <c r="C33" s="137"/>
      <c r="D33" s="44"/>
      <c r="E33" s="137"/>
      <c r="F33" s="137"/>
      <c r="G33" s="176"/>
      <c r="H33" s="176"/>
      <c r="I33" s="34"/>
      <c r="J33" s="32"/>
      <c r="K33" s="177"/>
      <c r="L33" s="34"/>
      <c r="M33" s="32"/>
      <c r="N33" s="34"/>
      <c r="O33" s="32"/>
      <c r="P33" s="32"/>
      <c r="Q33" s="34"/>
    </row>
    <row r="34" ht="22.5" customHeight="1">
      <c r="B34" s="34"/>
      <c r="C34" s="137"/>
      <c r="D34" s="44"/>
      <c r="E34" s="137"/>
      <c r="F34" s="137"/>
      <c r="G34" s="176"/>
      <c r="H34" s="176"/>
      <c r="I34" s="34"/>
      <c r="J34" s="32"/>
      <c r="K34" s="177"/>
      <c r="L34" s="34"/>
      <c r="M34" s="32"/>
      <c r="N34" s="34"/>
      <c r="O34" s="32"/>
      <c r="P34" s="32"/>
      <c r="Q34" s="34"/>
    </row>
    <row r="35" ht="22.5" customHeight="1">
      <c r="B35" s="34"/>
      <c r="C35" s="137"/>
      <c r="D35" s="44"/>
      <c r="E35" s="137"/>
      <c r="F35" s="137"/>
      <c r="G35" s="176"/>
      <c r="H35" s="176"/>
      <c r="I35" s="34"/>
      <c r="J35" s="32"/>
      <c r="K35" s="177"/>
      <c r="L35" s="34"/>
      <c r="M35" s="32"/>
      <c r="N35" s="34"/>
      <c r="O35" s="32"/>
      <c r="P35" s="32"/>
      <c r="Q35" s="34"/>
    </row>
    <row r="36" ht="22.5" customHeight="1">
      <c r="B36" s="34"/>
      <c r="C36" s="137"/>
      <c r="D36" s="44"/>
      <c r="E36" s="137"/>
      <c r="F36" s="137"/>
      <c r="G36" s="176"/>
      <c r="H36" s="176"/>
      <c r="I36" s="34"/>
      <c r="J36" s="32"/>
      <c r="K36" s="177"/>
      <c r="L36" s="34"/>
      <c r="M36" s="32"/>
      <c r="N36" s="34"/>
      <c r="O36" s="32"/>
      <c r="P36" s="32"/>
      <c r="Q36" s="34"/>
    </row>
    <row r="37" ht="22.5" customHeight="1">
      <c r="B37" s="34"/>
      <c r="C37" s="137"/>
      <c r="D37" s="44"/>
      <c r="E37" s="137"/>
      <c r="F37" s="137"/>
      <c r="G37" s="176"/>
      <c r="H37" s="176"/>
      <c r="I37" s="34"/>
      <c r="J37" s="32"/>
      <c r="K37" s="177"/>
      <c r="L37" s="34"/>
      <c r="M37" s="32"/>
      <c r="N37" s="34"/>
      <c r="O37" s="32"/>
      <c r="P37" s="32"/>
      <c r="Q37" s="34"/>
    </row>
    <row r="38" ht="22.5" customHeight="1">
      <c r="B38" s="34"/>
      <c r="C38" s="137"/>
      <c r="D38" s="44"/>
      <c r="E38" s="137"/>
      <c r="F38" s="137"/>
      <c r="G38" s="176"/>
      <c r="H38" s="176"/>
      <c r="I38" s="34"/>
      <c r="J38" s="32"/>
      <c r="K38" s="177"/>
      <c r="L38" s="34"/>
      <c r="M38" s="32"/>
      <c r="N38" s="34"/>
      <c r="O38" s="32"/>
      <c r="P38" s="32"/>
      <c r="Q38" s="34"/>
    </row>
    <row r="39" ht="22.5" customHeight="1">
      <c r="B39" s="34"/>
      <c r="C39" s="137"/>
      <c r="D39" s="44"/>
      <c r="E39" s="137"/>
      <c r="F39" s="137"/>
      <c r="G39" s="176"/>
      <c r="H39" s="176"/>
      <c r="I39" s="34"/>
      <c r="J39" s="32"/>
      <c r="K39" s="177"/>
      <c r="L39" s="34"/>
      <c r="M39" s="32"/>
      <c r="N39" s="34"/>
      <c r="O39" s="32"/>
      <c r="P39" s="32"/>
      <c r="Q39" s="34"/>
    </row>
    <row r="40" ht="22.5" customHeight="1">
      <c r="B40" s="34"/>
      <c r="C40" s="137"/>
      <c r="D40" s="44"/>
      <c r="E40" s="137"/>
      <c r="F40" s="137"/>
      <c r="G40" s="176"/>
      <c r="H40" s="176"/>
      <c r="I40" s="34"/>
      <c r="J40" s="32"/>
      <c r="K40" s="177"/>
      <c r="L40" s="34"/>
      <c r="M40" s="32"/>
      <c r="N40" s="34"/>
      <c r="O40" s="32"/>
      <c r="P40" s="32"/>
      <c r="Q40" s="34"/>
    </row>
    <row r="41" ht="22.5" customHeight="1">
      <c r="B41" s="34"/>
      <c r="C41" s="137"/>
      <c r="D41" s="44"/>
      <c r="E41" s="137"/>
      <c r="F41" s="137"/>
      <c r="G41" s="176"/>
      <c r="H41" s="176"/>
      <c r="I41" s="34"/>
      <c r="J41" s="32"/>
      <c r="K41" s="177"/>
      <c r="L41" s="34"/>
      <c r="M41" s="32"/>
      <c r="N41" s="34"/>
      <c r="O41" s="32"/>
      <c r="P41" s="32"/>
      <c r="Q41" s="34"/>
    </row>
    <row r="42" ht="22.5" customHeight="1">
      <c r="B42" s="34"/>
      <c r="C42" s="137"/>
      <c r="D42" s="44"/>
      <c r="E42" s="137"/>
      <c r="F42" s="137"/>
      <c r="G42" s="176"/>
      <c r="H42" s="176"/>
      <c r="I42" s="34"/>
      <c r="J42" s="32"/>
      <c r="K42" s="177"/>
      <c r="L42" s="34"/>
      <c r="M42" s="32"/>
      <c r="N42" s="34"/>
      <c r="O42" s="32"/>
      <c r="P42" s="32"/>
      <c r="Q42" s="34"/>
    </row>
    <row r="43" ht="22.5" customHeight="1">
      <c r="B43" s="34"/>
      <c r="C43" s="137"/>
      <c r="D43" s="44"/>
      <c r="E43" s="137"/>
      <c r="F43" s="137"/>
      <c r="G43" s="176"/>
      <c r="H43" s="176"/>
      <c r="I43" s="34"/>
      <c r="J43" s="32"/>
      <c r="K43" s="177"/>
      <c r="L43" s="34"/>
      <c r="M43" s="32"/>
      <c r="N43" s="34"/>
      <c r="O43" s="32"/>
      <c r="P43" s="32"/>
      <c r="Q43" s="34"/>
    </row>
    <row r="44" ht="22.5" customHeight="1">
      <c r="B44" s="34"/>
      <c r="C44" s="137"/>
      <c r="D44" s="44"/>
      <c r="E44" s="137"/>
      <c r="F44" s="137"/>
      <c r="G44" s="176"/>
      <c r="H44" s="176"/>
      <c r="I44" s="34"/>
      <c r="J44" s="32"/>
      <c r="K44" s="177"/>
      <c r="L44" s="34"/>
      <c r="M44" s="32"/>
      <c r="N44" s="34"/>
      <c r="O44" s="32"/>
      <c r="P44" s="32"/>
      <c r="Q44" s="34"/>
    </row>
    <row r="45" ht="22.5" customHeight="1">
      <c r="B45" s="34"/>
      <c r="C45" s="137"/>
      <c r="D45" s="44"/>
      <c r="E45" s="137"/>
      <c r="F45" s="137"/>
      <c r="G45" s="176"/>
      <c r="H45" s="176"/>
      <c r="I45" s="34"/>
      <c r="J45" s="32"/>
      <c r="K45" s="177"/>
      <c r="L45" s="34"/>
      <c r="M45" s="32"/>
      <c r="N45" s="34"/>
      <c r="O45" s="32"/>
      <c r="P45" s="32"/>
      <c r="Q45" s="34"/>
    </row>
    <row r="46" ht="22.5" customHeight="1">
      <c r="B46" s="34"/>
      <c r="C46" s="137"/>
      <c r="D46" s="44"/>
      <c r="E46" s="137"/>
      <c r="F46" s="137"/>
      <c r="G46" s="176"/>
      <c r="H46" s="176"/>
      <c r="I46" s="34"/>
      <c r="J46" s="32"/>
      <c r="K46" s="177"/>
      <c r="L46" s="34"/>
      <c r="M46" s="32"/>
      <c r="N46" s="34"/>
      <c r="O46" s="32"/>
      <c r="P46" s="32"/>
      <c r="Q46" s="34"/>
    </row>
    <row r="47" ht="22.5" customHeight="1">
      <c r="B47" s="34"/>
      <c r="C47" s="137"/>
      <c r="D47" s="44"/>
      <c r="E47" s="137"/>
      <c r="F47" s="137"/>
      <c r="G47" s="176"/>
      <c r="H47" s="176"/>
      <c r="I47" s="34"/>
      <c r="J47" s="32"/>
      <c r="K47" s="177"/>
      <c r="L47" s="34"/>
      <c r="M47" s="32"/>
      <c r="N47" s="34"/>
      <c r="O47" s="32"/>
      <c r="P47" s="32"/>
      <c r="Q47" s="34"/>
    </row>
    <row r="48" ht="22.5" customHeight="1">
      <c r="B48" s="34"/>
      <c r="C48" s="137"/>
      <c r="D48" s="44"/>
      <c r="E48" s="137"/>
      <c r="F48" s="137"/>
      <c r="G48" s="176"/>
      <c r="H48" s="176"/>
      <c r="I48" s="34"/>
      <c r="J48" s="32"/>
      <c r="K48" s="177"/>
      <c r="L48" s="34"/>
      <c r="M48" s="32"/>
      <c r="N48" s="34"/>
      <c r="O48" s="32"/>
      <c r="P48" s="32"/>
      <c r="Q48" s="34"/>
    </row>
    <row r="49" ht="22.5" customHeight="1">
      <c r="B49" s="34"/>
      <c r="C49" s="137"/>
      <c r="D49" s="44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32"/>
      <c r="P49" s="32"/>
      <c r="Q49" s="34"/>
    </row>
    <row r="50" ht="22.5" customHeight="1">
      <c r="B50" s="34"/>
      <c r="C50" s="137"/>
      <c r="D50" s="44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32"/>
      <c r="P50" s="32"/>
      <c r="Q50" s="34"/>
    </row>
    <row r="51" ht="22.5" customHeight="1">
      <c r="B51" s="34"/>
      <c r="C51" s="137"/>
      <c r="D51" s="44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32"/>
      <c r="P51" s="32"/>
      <c r="Q51" s="34"/>
    </row>
    <row r="52" ht="22.5" customHeight="1">
      <c r="B52" s="34"/>
      <c r="C52" s="137"/>
      <c r="D52" s="44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16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1000000.0</v>
      </c>
      <c r="F4" s="15">
        <f>SUMIFS(OPI_6[MAF NETO],OPI_6[ESTADO],"Desembolsado")</f>
        <v>820950</v>
      </c>
      <c r="G4" s="15">
        <f>F4-E4</f>
        <v>-179050</v>
      </c>
      <c r="H4" s="16">
        <f>SUMIFS(OPI_6[MAF NETO],OPI_6[ESTADO],H$3)</f>
        <v>0</v>
      </c>
      <c r="I4" s="16">
        <f>SUMIFS(OPI_6[MAF NETO],OPI_6[ESTADO],I$3)</f>
        <v>66600</v>
      </c>
      <c r="J4" s="16">
        <f>SUMIFS(OPI_6[MAF NETO],OPI_6[ESTADO],J$3)</f>
        <v>0</v>
      </c>
      <c r="K4" s="16">
        <f>SUMIFS(OPI_6[MAF NETO],OPI_6[ESTADO],K$3)</f>
        <v>44600</v>
      </c>
      <c r="L4" s="16">
        <f>SUMIFS(OPI_6[MAF NETO],OPI_6[ESTADO],L$3)</f>
        <v>0</v>
      </c>
      <c r="M4" s="16">
        <f>SUMIFS(OPI_6[MAF NETO],OPI_6[ESTADO],M$3)</f>
        <v>21150</v>
      </c>
      <c r="N4" s="16">
        <f>SUMIFS(OPI_6[MAF NETO],OPI_6[ESTADO],N$3)</f>
        <v>0</v>
      </c>
    </row>
    <row r="5" ht="26.25" customHeight="1">
      <c r="D5" s="17" t="s">
        <v>31</v>
      </c>
      <c r="E5" s="18" t="s">
        <v>32</v>
      </c>
      <c r="F5" s="19">
        <f>COUNTIFS(OPI_6[ESTADO],"Desembolsado")</f>
        <v>14</v>
      </c>
      <c r="G5" s="20">
        <f>IFERROR(F4/E4,"")</f>
        <v>0.82095</v>
      </c>
      <c r="H5" s="19">
        <f>COUNTIFS(OPI_6[ESTADO],H$3)</f>
        <v>0</v>
      </c>
      <c r="I5" s="19">
        <f>COUNTIFS(OPI_6[ESTADO],I$3)</f>
        <v>2</v>
      </c>
      <c r="J5" s="19">
        <f>COUNTIFS(OPI_6[ESTADO],J$3)</f>
        <v>0</v>
      </c>
      <c r="K5" s="19">
        <f>COUNTIFS(OPI_6[ESTADO],K$3)</f>
        <v>2</v>
      </c>
      <c r="L5" s="19">
        <f>COUNTIFS(OPI_6[ESTADO],L$3)</f>
        <v>0</v>
      </c>
      <c r="M5" s="19">
        <f>COUNTIFS(OPI_6[ESTADO],M$3)</f>
        <v>1</v>
      </c>
      <c r="N5" s="19">
        <f>COUNTIFS(OPI_6[ESTADO],N$3)</f>
        <v>7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5" t="s">
        <v>51</v>
      </c>
      <c r="C10" s="26">
        <v>46237.0</v>
      </c>
      <c r="D10" s="27" t="s">
        <v>53</v>
      </c>
      <c r="E10" s="26">
        <v>46237.0</v>
      </c>
      <c r="F10" s="26"/>
      <c r="G10" s="28" t="s">
        <v>681</v>
      </c>
      <c r="H10" s="28" t="s">
        <v>682</v>
      </c>
      <c r="I10" s="25" t="s">
        <v>193</v>
      </c>
      <c r="J10" s="27" t="s">
        <v>27</v>
      </c>
      <c r="K10" s="29">
        <v>0.0</v>
      </c>
      <c r="L10" s="25" t="s">
        <v>683</v>
      </c>
      <c r="M10" s="27"/>
      <c r="N10" s="25"/>
      <c r="O10" s="32"/>
      <c r="P10" s="32"/>
      <c r="Q10" s="25"/>
    </row>
    <row r="11" ht="22.5" customHeight="1">
      <c r="B11" s="25" t="s">
        <v>51</v>
      </c>
      <c r="C11" s="26">
        <v>46237.0</v>
      </c>
      <c r="D11" s="27" t="s">
        <v>53</v>
      </c>
      <c r="E11" s="26">
        <v>46237.0</v>
      </c>
      <c r="F11" s="26">
        <v>46241.0</v>
      </c>
      <c r="G11" s="28" t="s">
        <v>688</v>
      </c>
      <c r="H11" s="28" t="s">
        <v>689</v>
      </c>
      <c r="I11" s="25" t="s">
        <v>113</v>
      </c>
      <c r="J11" s="27" t="s">
        <v>19</v>
      </c>
      <c r="K11" s="29">
        <v>81200.0</v>
      </c>
      <c r="L11" s="25" t="s">
        <v>683</v>
      </c>
      <c r="M11" s="32"/>
      <c r="N11" s="34"/>
      <c r="O11" s="32"/>
      <c r="P11" s="32"/>
      <c r="Q11" s="25"/>
    </row>
    <row r="12" ht="22.5" customHeight="1">
      <c r="B12" s="25" t="s">
        <v>51</v>
      </c>
      <c r="C12" s="26">
        <v>46239.0</v>
      </c>
      <c r="D12" s="27" t="s">
        <v>53</v>
      </c>
      <c r="E12" s="26">
        <v>46239.0</v>
      </c>
      <c r="F12" s="26">
        <v>46255.0</v>
      </c>
      <c r="G12" s="28" t="s">
        <v>695</v>
      </c>
      <c r="H12" s="28" t="s">
        <v>696</v>
      </c>
      <c r="I12" s="25" t="s">
        <v>697</v>
      </c>
      <c r="J12" s="27" t="s">
        <v>19</v>
      </c>
      <c r="K12" s="29">
        <v>50800.0</v>
      </c>
      <c r="L12" s="25" t="s">
        <v>683</v>
      </c>
      <c r="M12" s="32"/>
      <c r="N12" s="34"/>
      <c r="O12" s="32"/>
      <c r="P12" s="32"/>
      <c r="Q12" s="25"/>
    </row>
    <row r="13" ht="22.5" customHeight="1">
      <c r="B13" s="25" t="s">
        <v>51</v>
      </c>
      <c r="C13" s="26">
        <v>46234.0</v>
      </c>
      <c r="D13" s="27" t="s">
        <v>53</v>
      </c>
      <c r="E13" s="26">
        <v>46234.0</v>
      </c>
      <c r="F13" s="26">
        <v>46237.0</v>
      </c>
      <c r="G13" s="28" t="s">
        <v>701</v>
      </c>
      <c r="H13" s="28" t="s">
        <v>702</v>
      </c>
      <c r="I13" s="25" t="s">
        <v>56</v>
      </c>
      <c r="J13" s="27" t="s">
        <v>19</v>
      </c>
      <c r="K13" s="29">
        <v>70400.0</v>
      </c>
      <c r="L13" s="25" t="s">
        <v>705</v>
      </c>
      <c r="M13" s="32"/>
      <c r="N13" s="34"/>
      <c r="O13" s="32"/>
      <c r="P13" s="32"/>
      <c r="Q13" s="25"/>
    </row>
    <row r="14" ht="22.5" customHeight="1">
      <c r="B14" s="25" t="s">
        <v>51</v>
      </c>
      <c r="C14" s="26">
        <v>46237.0</v>
      </c>
      <c r="D14" s="27" t="s">
        <v>53</v>
      </c>
      <c r="E14" s="26">
        <v>46237.0</v>
      </c>
      <c r="F14" s="26">
        <v>46241.0</v>
      </c>
      <c r="G14" s="28" t="s">
        <v>709</v>
      </c>
      <c r="H14" s="28" t="s">
        <v>710</v>
      </c>
      <c r="I14" s="25" t="s">
        <v>711</v>
      </c>
      <c r="J14" s="27" t="s">
        <v>19</v>
      </c>
      <c r="K14" s="29">
        <v>74600.0</v>
      </c>
      <c r="L14" s="25" t="s">
        <v>705</v>
      </c>
      <c r="M14" s="27"/>
      <c r="N14" s="34"/>
      <c r="O14" s="32"/>
      <c r="P14" s="32"/>
      <c r="Q14" s="25"/>
    </row>
    <row r="15" ht="22.5" customHeight="1">
      <c r="B15" s="25" t="s">
        <v>51</v>
      </c>
      <c r="C15" s="26">
        <v>46239.0</v>
      </c>
      <c r="D15" s="27" t="s">
        <v>53</v>
      </c>
      <c r="E15" s="26">
        <v>46145.0</v>
      </c>
      <c r="F15" s="26">
        <v>46244.0</v>
      </c>
      <c r="G15" s="28" t="s">
        <v>718</v>
      </c>
      <c r="H15" s="28" t="s">
        <v>719</v>
      </c>
      <c r="I15" s="25" t="s">
        <v>577</v>
      </c>
      <c r="J15" s="27" t="s">
        <v>19</v>
      </c>
      <c r="K15" s="29">
        <v>81100.0</v>
      </c>
      <c r="L15" s="25" t="s">
        <v>705</v>
      </c>
      <c r="M15" s="27"/>
      <c r="N15" s="34"/>
      <c r="O15" s="32"/>
      <c r="P15" s="32"/>
      <c r="Q15" s="34"/>
    </row>
    <row r="16" ht="22.5" customHeight="1">
      <c r="B16" s="25" t="s">
        <v>722</v>
      </c>
      <c r="C16" s="26">
        <v>46239.0</v>
      </c>
      <c r="D16" s="27" t="s">
        <v>53</v>
      </c>
      <c r="E16" s="26">
        <v>46239.0</v>
      </c>
      <c r="F16" s="26">
        <v>46245.0</v>
      </c>
      <c r="G16" s="28" t="s">
        <v>723</v>
      </c>
      <c r="H16" s="28" t="s">
        <v>724</v>
      </c>
      <c r="I16" s="25" t="s">
        <v>725</v>
      </c>
      <c r="J16" s="27" t="s">
        <v>19</v>
      </c>
      <c r="K16" s="29">
        <v>51000.0</v>
      </c>
      <c r="L16" s="25" t="s">
        <v>705</v>
      </c>
      <c r="M16" s="32"/>
      <c r="N16" s="34"/>
      <c r="O16" s="32"/>
      <c r="P16" s="32"/>
      <c r="Q16" s="25"/>
    </row>
    <row r="17" ht="22.5" customHeight="1">
      <c r="B17" s="25" t="s">
        <v>51</v>
      </c>
      <c r="C17" s="26">
        <v>46239.0</v>
      </c>
      <c r="D17" s="27" t="s">
        <v>53</v>
      </c>
      <c r="E17" s="26">
        <v>46238.0</v>
      </c>
      <c r="F17" s="26">
        <v>46248.0</v>
      </c>
      <c r="G17" s="28" t="s">
        <v>729</v>
      </c>
      <c r="H17" s="28" t="s">
        <v>730</v>
      </c>
      <c r="I17" s="25" t="s">
        <v>577</v>
      </c>
      <c r="J17" s="27" t="s">
        <v>19</v>
      </c>
      <c r="K17" s="29">
        <v>35000.0</v>
      </c>
      <c r="L17" s="25" t="s">
        <v>705</v>
      </c>
      <c r="M17" s="32"/>
      <c r="N17" s="34"/>
      <c r="O17" s="32"/>
      <c r="P17" s="32"/>
      <c r="Q17" s="25"/>
    </row>
    <row r="18" ht="22.5" customHeight="1">
      <c r="B18" s="25" t="s">
        <v>684</v>
      </c>
      <c r="C18" s="26">
        <v>46241.0</v>
      </c>
      <c r="D18" s="27" t="s">
        <v>53</v>
      </c>
      <c r="E18" s="26">
        <v>46241.0</v>
      </c>
      <c r="F18" s="26"/>
      <c r="G18" s="28" t="s">
        <v>733</v>
      </c>
      <c r="H18" s="28" t="s">
        <v>734</v>
      </c>
      <c r="I18" s="25" t="s">
        <v>697</v>
      </c>
      <c r="J18" s="27" t="s">
        <v>19</v>
      </c>
      <c r="K18" s="29">
        <v>66100.0</v>
      </c>
      <c r="L18" s="25" t="s">
        <v>705</v>
      </c>
      <c r="M18" s="27"/>
      <c r="N18" s="34"/>
      <c r="O18" s="32"/>
      <c r="P18" s="32"/>
      <c r="Q18" s="25" t="s">
        <v>737</v>
      </c>
    </row>
    <row r="19" ht="22.5" customHeight="1">
      <c r="B19" s="25" t="s">
        <v>51</v>
      </c>
      <c r="C19" s="26">
        <v>46244.0</v>
      </c>
      <c r="D19" s="27" t="s">
        <v>53</v>
      </c>
      <c r="E19" s="26">
        <v>46244.0</v>
      </c>
      <c r="F19" s="26">
        <v>46246.0</v>
      </c>
      <c r="G19" s="28" t="s">
        <v>740</v>
      </c>
      <c r="H19" s="28" t="s">
        <v>742</v>
      </c>
      <c r="I19" s="25" t="s">
        <v>744</v>
      </c>
      <c r="J19" s="27" t="s">
        <v>19</v>
      </c>
      <c r="K19" s="29">
        <v>65400.0</v>
      </c>
      <c r="L19" s="25" t="s">
        <v>705</v>
      </c>
      <c r="M19" s="32"/>
      <c r="N19" s="34"/>
      <c r="O19" s="32"/>
      <c r="P19" s="32"/>
      <c r="Q19" s="25"/>
    </row>
    <row r="20" ht="22.5" customHeight="1">
      <c r="B20" s="25" t="s">
        <v>51</v>
      </c>
      <c r="C20" s="26">
        <v>46244.0</v>
      </c>
      <c r="D20" s="27" t="s">
        <v>53</v>
      </c>
      <c r="E20" s="26">
        <v>46244.0</v>
      </c>
      <c r="F20" s="26">
        <v>46251.0</v>
      </c>
      <c r="G20" s="28" t="s">
        <v>746</v>
      </c>
      <c r="H20" s="28" t="s">
        <v>747</v>
      </c>
      <c r="I20" s="25" t="s">
        <v>749</v>
      </c>
      <c r="J20" s="27" t="s">
        <v>19</v>
      </c>
      <c r="K20" s="29">
        <v>13500.0</v>
      </c>
      <c r="L20" s="25" t="s">
        <v>683</v>
      </c>
      <c r="M20" s="32"/>
      <c r="N20" s="34"/>
      <c r="O20" s="32"/>
      <c r="P20" s="32"/>
      <c r="Q20" s="25"/>
    </row>
    <row r="21" ht="22.5" customHeight="1">
      <c r="B21" s="25" t="s">
        <v>51</v>
      </c>
      <c r="C21" s="26">
        <v>46245.0</v>
      </c>
      <c r="D21" s="27" t="s">
        <v>53</v>
      </c>
      <c r="E21" s="26">
        <v>46245.0</v>
      </c>
      <c r="F21" s="26">
        <v>46248.0</v>
      </c>
      <c r="G21" s="28" t="s">
        <v>753</v>
      </c>
      <c r="H21" s="28" t="s">
        <v>754</v>
      </c>
      <c r="I21" s="25" t="s">
        <v>56</v>
      </c>
      <c r="J21" s="27" t="s">
        <v>19</v>
      </c>
      <c r="K21" s="29">
        <v>14000.0</v>
      </c>
      <c r="L21" s="25" t="s">
        <v>756</v>
      </c>
      <c r="M21" s="32"/>
      <c r="N21" s="34"/>
      <c r="O21" s="32"/>
      <c r="P21" s="32"/>
      <c r="Q21" s="34"/>
    </row>
    <row r="22" ht="22.5" customHeight="1">
      <c r="B22" s="25" t="s">
        <v>51</v>
      </c>
      <c r="C22" s="26">
        <v>46247.0</v>
      </c>
      <c r="D22" s="27" t="s">
        <v>53</v>
      </c>
      <c r="E22" s="26">
        <v>46247.0</v>
      </c>
      <c r="F22" s="137"/>
      <c r="G22" s="28" t="s">
        <v>759</v>
      </c>
      <c r="H22" s="28" t="s">
        <v>760</v>
      </c>
      <c r="I22" s="25" t="s">
        <v>697</v>
      </c>
      <c r="J22" s="27" t="s">
        <v>26</v>
      </c>
      <c r="K22" s="29">
        <v>21150.0</v>
      </c>
      <c r="L22" s="25" t="s">
        <v>683</v>
      </c>
      <c r="M22" s="32"/>
      <c r="N22" s="34"/>
      <c r="O22" s="32"/>
      <c r="P22" s="32"/>
      <c r="Q22" s="25" t="s">
        <v>762</v>
      </c>
    </row>
    <row r="23" ht="22.5" customHeight="1">
      <c r="B23" s="25" t="s">
        <v>51</v>
      </c>
      <c r="C23" s="26">
        <v>46247.0</v>
      </c>
      <c r="D23" s="27" t="s">
        <v>53</v>
      </c>
      <c r="E23" s="26">
        <v>46247.0</v>
      </c>
      <c r="F23" s="137"/>
      <c r="G23" s="28" t="s">
        <v>766</v>
      </c>
      <c r="H23" s="28" t="s">
        <v>767</v>
      </c>
      <c r="I23" s="25" t="s">
        <v>744</v>
      </c>
      <c r="J23" s="27" t="s">
        <v>27</v>
      </c>
      <c r="K23" s="29">
        <v>0.0</v>
      </c>
      <c r="L23" s="25" t="s">
        <v>705</v>
      </c>
      <c r="M23" s="32"/>
      <c r="N23" s="34"/>
      <c r="O23" s="32"/>
      <c r="P23" s="32"/>
      <c r="Q23" s="25" t="s">
        <v>768</v>
      </c>
    </row>
    <row r="24" ht="22.5" customHeight="1">
      <c r="B24" s="25" t="s">
        <v>51</v>
      </c>
      <c r="C24" s="26">
        <v>46252.0</v>
      </c>
      <c r="D24" s="27" t="s">
        <v>53</v>
      </c>
      <c r="E24" s="26">
        <v>46252.0</v>
      </c>
      <c r="F24" s="26">
        <v>46261.0</v>
      </c>
      <c r="G24" s="28" t="s">
        <v>769</v>
      </c>
      <c r="H24" s="28" t="s">
        <v>770</v>
      </c>
      <c r="I24" s="25" t="s">
        <v>56</v>
      </c>
      <c r="J24" s="27" t="s">
        <v>19</v>
      </c>
      <c r="K24" s="29">
        <v>74450.0</v>
      </c>
      <c r="L24" s="25" t="s">
        <v>705</v>
      </c>
      <c r="M24" s="32"/>
      <c r="N24" s="34"/>
      <c r="O24" s="32"/>
      <c r="P24" s="32"/>
      <c r="Q24" s="25" t="s">
        <v>771</v>
      </c>
    </row>
    <row r="25" ht="22.5" customHeight="1">
      <c r="B25" s="25" t="s">
        <v>51</v>
      </c>
      <c r="C25" s="26">
        <v>46248.0</v>
      </c>
      <c r="D25" s="27" t="s">
        <v>53</v>
      </c>
      <c r="E25" s="26">
        <v>46248.0</v>
      </c>
      <c r="F25" s="26">
        <v>46253.0</v>
      </c>
      <c r="G25" s="28" t="s">
        <v>775</v>
      </c>
      <c r="H25" s="28" t="s">
        <v>776</v>
      </c>
      <c r="I25" s="25" t="s">
        <v>56</v>
      </c>
      <c r="J25" s="27" t="s">
        <v>19</v>
      </c>
      <c r="K25" s="29">
        <v>55800.0</v>
      </c>
      <c r="L25" s="25" t="s">
        <v>705</v>
      </c>
      <c r="M25" s="32"/>
      <c r="N25" s="34"/>
      <c r="O25" s="32"/>
      <c r="P25" s="32"/>
      <c r="Q25" s="34"/>
    </row>
    <row r="26" ht="22.5" customHeight="1">
      <c r="B26" s="25" t="s">
        <v>51</v>
      </c>
      <c r="C26" s="26">
        <v>46248.0</v>
      </c>
      <c r="D26" s="27" t="s">
        <v>53</v>
      </c>
      <c r="E26" s="26">
        <v>46248.0</v>
      </c>
      <c r="F26" s="26">
        <v>46261.0</v>
      </c>
      <c r="G26" s="28" t="s">
        <v>779</v>
      </c>
      <c r="H26" s="28" t="s">
        <v>780</v>
      </c>
      <c r="I26" s="25" t="s">
        <v>193</v>
      </c>
      <c r="J26" s="27" t="s">
        <v>19</v>
      </c>
      <c r="K26" s="29">
        <v>87600.0</v>
      </c>
      <c r="L26" s="25" t="s">
        <v>705</v>
      </c>
      <c r="M26" s="32"/>
      <c r="N26" s="34"/>
      <c r="O26" s="32"/>
      <c r="P26" s="32"/>
      <c r="Q26" s="34"/>
    </row>
    <row r="27" ht="22.5" customHeight="1">
      <c r="B27" s="25" t="s">
        <v>129</v>
      </c>
      <c r="C27" s="26">
        <v>46248.0</v>
      </c>
      <c r="D27" s="27" t="s">
        <v>53</v>
      </c>
      <c r="E27" s="26">
        <v>46248.0</v>
      </c>
      <c r="F27" s="137"/>
      <c r="G27" s="28" t="s">
        <v>783</v>
      </c>
      <c r="H27" s="28" t="s">
        <v>784</v>
      </c>
      <c r="I27" s="215" t="s">
        <v>697</v>
      </c>
      <c r="J27" s="27" t="s">
        <v>27</v>
      </c>
      <c r="K27" s="29">
        <v>0.0</v>
      </c>
      <c r="L27" s="25" t="s">
        <v>788</v>
      </c>
      <c r="M27" s="32"/>
      <c r="N27" s="34"/>
      <c r="O27" s="32"/>
      <c r="P27" s="32"/>
      <c r="Q27" s="34"/>
    </row>
    <row r="28" ht="22.5" customHeight="1">
      <c r="B28" s="25" t="s">
        <v>51</v>
      </c>
      <c r="C28" s="26">
        <v>46253.0</v>
      </c>
      <c r="D28" s="27" t="s">
        <v>53</v>
      </c>
      <c r="E28" s="26">
        <v>46253.0</v>
      </c>
      <c r="F28" s="137"/>
      <c r="G28" s="28" t="s">
        <v>790</v>
      </c>
      <c r="H28" s="28" t="s">
        <v>792</v>
      </c>
      <c r="I28" s="25" t="s">
        <v>744</v>
      </c>
      <c r="J28" s="27" t="s">
        <v>27</v>
      </c>
      <c r="K28" s="29">
        <v>0.0</v>
      </c>
      <c r="L28" s="25" t="s">
        <v>705</v>
      </c>
      <c r="M28" s="32"/>
      <c r="N28" s="34"/>
      <c r="O28" s="32"/>
      <c r="P28" s="32"/>
      <c r="Q28" s="34"/>
    </row>
    <row r="29" ht="22.5" customHeight="1">
      <c r="B29" s="25" t="s">
        <v>51</v>
      </c>
      <c r="C29" s="26">
        <v>46254.0</v>
      </c>
      <c r="D29" s="27" t="s">
        <v>178</v>
      </c>
      <c r="E29" s="26">
        <v>46254.0</v>
      </c>
      <c r="F29" s="137"/>
      <c r="G29" s="28" t="s">
        <v>793</v>
      </c>
      <c r="H29" s="28" t="s">
        <v>794</v>
      </c>
      <c r="I29" s="25" t="s">
        <v>193</v>
      </c>
      <c r="J29" s="27" t="s">
        <v>27</v>
      </c>
      <c r="K29" s="29">
        <v>0.0</v>
      </c>
      <c r="L29" s="25" t="s">
        <v>705</v>
      </c>
      <c r="M29" s="32"/>
      <c r="N29" s="34"/>
      <c r="O29" s="32"/>
      <c r="P29" s="32"/>
      <c r="Q29" s="34"/>
    </row>
    <row r="30" ht="22.5" customHeight="1">
      <c r="B30" s="25" t="s">
        <v>51</v>
      </c>
      <c r="C30" s="26">
        <v>46255.0</v>
      </c>
      <c r="D30" s="27" t="s">
        <v>178</v>
      </c>
      <c r="E30" s="26">
        <v>46255.0</v>
      </c>
      <c r="F30" s="137"/>
      <c r="G30" s="28" t="s">
        <v>797</v>
      </c>
      <c r="H30" s="28" t="s">
        <v>799</v>
      </c>
      <c r="I30" s="25" t="s">
        <v>697</v>
      </c>
      <c r="J30" s="27" t="s">
        <v>27</v>
      </c>
      <c r="K30" s="29">
        <v>0.0</v>
      </c>
      <c r="L30" s="25" t="s">
        <v>683</v>
      </c>
      <c r="M30" s="32"/>
      <c r="N30" s="34"/>
      <c r="O30" s="32"/>
      <c r="P30" s="32"/>
      <c r="Q30" s="34"/>
    </row>
    <row r="31" ht="22.5" customHeight="1">
      <c r="B31" s="25" t="s">
        <v>476</v>
      </c>
      <c r="C31" s="26">
        <v>46255.0</v>
      </c>
      <c r="D31" s="27" t="s">
        <v>53</v>
      </c>
      <c r="E31" s="26">
        <v>46255.0</v>
      </c>
      <c r="F31" s="137"/>
      <c r="G31" s="28" t="s">
        <v>801</v>
      </c>
      <c r="H31" s="28" t="s">
        <v>802</v>
      </c>
      <c r="I31" s="25" t="s">
        <v>56</v>
      </c>
      <c r="J31" s="27" t="s">
        <v>27</v>
      </c>
      <c r="K31" s="29">
        <v>0.0</v>
      </c>
      <c r="L31" s="25" t="s">
        <v>803</v>
      </c>
      <c r="M31" s="32"/>
      <c r="N31" s="34"/>
      <c r="O31" s="32"/>
      <c r="P31" s="32"/>
      <c r="Q31" s="25" t="s">
        <v>804</v>
      </c>
    </row>
    <row r="32" ht="22.5" customHeight="1">
      <c r="B32" s="25" t="s">
        <v>51</v>
      </c>
      <c r="C32" s="26">
        <v>46261.0</v>
      </c>
      <c r="D32" s="27" t="s">
        <v>53</v>
      </c>
      <c r="E32" s="26">
        <v>46261.0</v>
      </c>
      <c r="F32" s="137"/>
      <c r="G32" s="28" t="s">
        <v>805</v>
      </c>
      <c r="H32" s="28" t="s">
        <v>806</v>
      </c>
      <c r="I32" s="25" t="s">
        <v>56</v>
      </c>
      <c r="J32" s="27" t="s">
        <v>24</v>
      </c>
      <c r="K32" s="29">
        <v>20000.0</v>
      </c>
      <c r="L32" s="25" t="s">
        <v>803</v>
      </c>
      <c r="M32" s="32"/>
      <c r="N32" s="34"/>
      <c r="O32" s="32"/>
      <c r="P32" s="32"/>
      <c r="Q32" s="34"/>
    </row>
    <row r="33" ht="22.5" customHeight="1">
      <c r="B33" s="25" t="s">
        <v>51</v>
      </c>
      <c r="C33" s="26">
        <v>46261.0</v>
      </c>
      <c r="D33" s="27" t="s">
        <v>53</v>
      </c>
      <c r="E33" s="26">
        <v>46261.0</v>
      </c>
      <c r="F33" s="137"/>
      <c r="G33" s="28" t="s">
        <v>807</v>
      </c>
      <c r="H33" s="28" t="s">
        <v>808</v>
      </c>
      <c r="I33" s="25" t="s">
        <v>744</v>
      </c>
      <c r="J33" s="27" t="s">
        <v>24</v>
      </c>
      <c r="K33" s="29">
        <v>24600.0</v>
      </c>
      <c r="L33" s="25" t="s">
        <v>705</v>
      </c>
      <c r="M33" s="32"/>
      <c r="N33" s="34"/>
      <c r="O33" s="32"/>
      <c r="P33" s="32"/>
      <c r="Q33" s="25" t="s">
        <v>809</v>
      </c>
    </row>
    <row r="34" ht="22.5" customHeight="1">
      <c r="B34" s="25" t="s">
        <v>51</v>
      </c>
      <c r="C34" s="26">
        <v>46262.0</v>
      </c>
      <c r="D34" s="27" t="s">
        <v>149</v>
      </c>
      <c r="E34" s="26">
        <v>46261.0</v>
      </c>
      <c r="F34" s="137"/>
      <c r="G34" s="28" t="s">
        <v>810</v>
      </c>
      <c r="H34" s="28" t="s">
        <v>811</v>
      </c>
      <c r="I34" s="25" t="s">
        <v>577</v>
      </c>
      <c r="J34" s="27" t="s">
        <v>22</v>
      </c>
      <c r="K34" s="29">
        <v>63600.0</v>
      </c>
      <c r="L34" s="25" t="s">
        <v>705</v>
      </c>
      <c r="M34" s="32"/>
      <c r="N34" s="34"/>
      <c r="O34" s="32"/>
      <c r="P34" s="32"/>
      <c r="Q34" s="34"/>
    </row>
    <row r="35" ht="22.5" customHeight="1">
      <c r="B35" s="25" t="s">
        <v>812</v>
      </c>
      <c r="C35" s="26">
        <v>46262.0</v>
      </c>
      <c r="D35" s="27" t="s">
        <v>149</v>
      </c>
      <c r="E35" s="26">
        <v>46262.0</v>
      </c>
      <c r="F35" s="137"/>
      <c r="G35" s="28" t="s">
        <v>813</v>
      </c>
      <c r="H35" s="28" t="s">
        <v>814</v>
      </c>
      <c r="I35" s="25" t="s">
        <v>815</v>
      </c>
      <c r="J35" s="27" t="s">
        <v>22</v>
      </c>
      <c r="K35" s="29">
        <v>3000.0</v>
      </c>
      <c r="L35" s="25" t="s">
        <v>683</v>
      </c>
      <c r="M35" s="32"/>
      <c r="N35" s="34"/>
      <c r="O35" s="32"/>
      <c r="P35" s="32"/>
      <c r="Q35" s="34"/>
    </row>
    <row r="36" ht="22.5" customHeight="1">
      <c r="B36" s="34"/>
      <c r="C36" s="137"/>
      <c r="D36" s="44"/>
      <c r="E36" s="137"/>
      <c r="F36" s="137"/>
      <c r="G36" s="176"/>
      <c r="H36" s="176"/>
      <c r="I36" s="34"/>
      <c r="J36" s="32"/>
      <c r="K36" s="177"/>
      <c r="L36" s="34"/>
      <c r="M36" s="32"/>
      <c r="N36" s="34"/>
      <c r="O36" s="32"/>
      <c r="P36" s="32"/>
      <c r="Q36" s="34"/>
    </row>
    <row r="37" ht="22.5" customHeight="1">
      <c r="B37" s="34"/>
      <c r="C37" s="137"/>
      <c r="D37" s="44"/>
      <c r="E37" s="137"/>
      <c r="F37" s="137"/>
      <c r="G37" s="176"/>
      <c r="H37" s="176"/>
      <c r="I37" s="34"/>
      <c r="J37" s="32"/>
      <c r="K37" s="177"/>
      <c r="L37" s="34"/>
      <c r="M37" s="32"/>
      <c r="N37" s="34"/>
      <c r="O37" s="32"/>
      <c r="P37" s="32"/>
      <c r="Q37" s="34"/>
    </row>
    <row r="38" ht="22.5" customHeight="1">
      <c r="B38" s="34"/>
      <c r="C38" s="137"/>
      <c r="D38" s="44"/>
      <c r="E38" s="137"/>
      <c r="F38" s="137"/>
      <c r="G38" s="176"/>
      <c r="H38" s="176"/>
      <c r="I38" s="34"/>
      <c r="J38" s="32"/>
      <c r="K38" s="177"/>
      <c r="L38" s="34"/>
      <c r="M38" s="32"/>
      <c r="N38" s="34"/>
      <c r="O38" s="32"/>
      <c r="P38" s="32"/>
      <c r="Q38" s="34"/>
    </row>
    <row r="39" ht="22.5" customHeight="1">
      <c r="B39" s="34"/>
      <c r="C39" s="137"/>
      <c r="D39" s="44"/>
      <c r="E39" s="137"/>
      <c r="F39" s="137"/>
      <c r="G39" s="176"/>
      <c r="H39" s="176"/>
      <c r="I39" s="34"/>
      <c r="J39" s="32"/>
      <c r="K39" s="177"/>
      <c r="L39" s="34"/>
      <c r="M39" s="32"/>
      <c r="N39" s="34"/>
      <c r="O39" s="32"/>
      <c r="P39" s="32"/>
      <c r="Q39" s="34"/>
    </row>
    <row r="40" ht="22.5" customHeight="1">
      <c r="B40" s="34"/>
      <c r="C40" s="137"/>
      <c r="D40" s="44"/>
      <c r="E40" s="137"/>
      <c r="F40" s="137"/>
      <c r="G40" s="176"/>
      <c r="H40" s="176"/>
      <c r="I40" s="34"/>
      <c r="J40" s="32"/>
      <c r="K40" s="177"/>
      <c r="L40" s="34"/>
      <c r="M40" s="32"/>
      <c r="N40" s="34"/>
      <c r="O40" s="32"/>
      <c r="P40" s="32"/>
      <c r="Q40" s="34"/>
    </row>
    <row r="41" ht="22.5" customHeight="1">
      <c r="B41" s="34"/>
      <c r="C41" s="137"/>
      <c r="D41" s="44"/>
      <c r="E41" s="137"/>
      <c r="F41" s="137"/>
      <c r="G41" s="176"/>
      <c r="H41" s="176"/>
      <c r="I41" s="34"/>
      <c r="J41" s="32"/>
      <c r="K41" s="177"/>
      <c r="L41" s="34"/>
      <c r="M41" s="32"/>
      <c r="N41" s="34"/>
      <c r="O41" s="32"/>
      <c r="P41" s="32"/>
      <c r="Q41" s="34"/>
    </row>
    <row r="42" ht="22.5" customHeight="1">
      <c r="B42" s="34"/>
      <c r="C42" s="137"/>
      <c r="D42" s="44"/>
      <c r="E42" s="137"/>
      <c r="F42" s="137"/>
      <c r="G42" s="176"/>
      <c r="H42" s="176"/>
      <c r="I42" s="34"/>
      <c r="J42" s="32"/>
      <c r="K42" s="177"/>
      <c r="L42" s="34"/>
      <c r="M42" s="32"/>
      <c r="N42" s="34"/>
      <c r="O42" s="32"/>
      <c r="P42" s="32"/>
      <c r="Q42" s="34"/>
    </row>
    <row r="43" ht="22.5" customHeight="1">
      <c r="B43" s="34"/>
      <c r="C43" s="137"/>
      <c r="D43" s="44"/>
      <c r="E43" s="137"/>
      <c r="F43" s="137"/>
      <c r="G43" s="176"/>
      <c r="H43" s="176"/>
      <c r="I43" s="34"/>
      <c r="J43" s="32"/>
      <c r="K43" s="177"/>
      <c r="L43" s="34"/>
      <c r="M43" s="32"/>
      <c r="N43" s="34"/>
      <c r="O43" s="32"/>
      <c r="P43" s="32"/>
      <c r="Q43" s="34"/>
    </row>
    <row r="44" ht="22.5" customHeight="1">
      <c r="B44" s="34"/>
      <c r="C44" s="137"/>
      <c r="D44" s="44"/>
      <c r="E44" s="137"/>
      <c r="F44" s="137"/>
      <c r="G44" s="176"/>
      <c r="H44" s="176"/>
      <c r="I44" s="34"/>
      <c r="J44" s="32"/>
      <c r="K44" s="177"/>
      <c r="L44" s="34"/>
      <c r="M44" s="32"/>
      <c r="N44" s="34"/>
      <c r="O44" s="32"/>
      <c r="P44" s="32"/>
      <c r="Q44" s="34"/>
    </row>
    <row r="45" ht="22.5" customHeight="1">
      <c r="B45" s="34"/>
      <c r="C45" s="137"/>
      <c r="D45" s="44"/>
      <c r="E45" s="137"/>
      <c r="F45" s="137"/>
      <c r="G45" s="176"/>
      <c r="H45" s="176"/>
      <c r="I45" s="34"/>
      <c r="J45" s="32"/>
      <c r="K45" s="177"/>
      <c r="L45" s="34"/>
      <c r="M45" s="32"/>
      <c r="N45" s="34"/>
      <c r="O45" s="32"/>
      <c r="P45" s="32"/>
      <c r="Q45" s="34"/>
    </row>
    <row r="46" ht="22.5" customHeight="1">
      <c r="B46" s="34"/>
      <c r="C46" s="137"/>
      <c r="D46" s="44"/>
      <c r="E46" s="137"/>
      <c r="F46" s="137"/>
      <c r="G46" s="176"/>
      <c r="H46" s="176"/>
      <c r="I46" s="34"/>
      <c r="J46" s="32"/>
      <c r="K46" s="177"/>
      <c r="L46" s="34"/>
      <c r="M46" s="32"/>
      <c r="N46" s="34"/>
      <c r="O46" s="32"/>
      <c r="P46" s="32"/>
      <c r="Q46" s="34"/>
    </row>
    <row r="47" ht="22.5" customHeight="1">
      <c r="B47" s="34"/>
      <c r="C47" s="137"/>
      <c r="D47" s="44"/>
      <c r="E47" s="137"/>
      <c r="F47" s="137"/>
      <c r="G47" s="176"/>
      <c r="H47" s="176"/>
      <c r="I47" s="34"/>
      <c r="J47" s="32"/>
      <c r="K47" s="177"/>
      <c r="L47" s="34"/>
      <c r="M47" s="32"/>
      <c r="N47" s="34"/>
      <c r="O47" s="32"/>
      <c r="P47" s="32"/>
      <c r="Q47" s="34"/>
    </row>
    <row r="48" ht="22.5" customHeight="1">
      <c r="B48" s="34"/>
      <c r="C48" s="137"/>
      <c r="D48" s="44"/>
      <c r="E48" s="137"/>
      <c r="F48" s="137"/>
      <c r="G48" s="176"/>
      <c r="H48" s="176"/>
      <c r="I48" s="34"/>
      <c r="J48" s="32"/>
      <c r="K48" s="177"/>
      <c r="L48" s="34"/>
      <c r="M48" s="32"/>
      <c r="N48" s="34"/>
      <c r="O48" s="32"/>
      <c r="P48" s="32"/>
      <c r="Q48" s="34"/>
    </row>
    <row r="49" ht="22.5" customHeight="1">
      <c r="B49" s="34"/>
      <c r="C49" s="137"/>
      <c r="D49" s="44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32"/>
      <c r="P49" s="32"/>
      <c r="Q49" s="34"/>
    </row>
    <row r="50" ht="22.5" customHeight="1">
      <c r="B50" s="34"/>
      <c r="C50" s="137"/>
      <c r="D50" s="44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32"/>
      <c r="P50" s="32"/>
      <c r="Q50" s="34"/>
    </row>
    <row r="51" ht="22.5" customHeight="1">
      <c r="B51" s="34"/>
      <c r="C51" s="137"/>
      <c r="D51" s="44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32"/>
      <c r="P51" s="32"/>
      <c r="Q51" s="34"/>
    </row>
    <row r="52" ht="22.5" customHeight="1">
      <c r="B52" s="34"/>
      <c r="C52" s="137"/>
      <c r="D52" s="44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16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2000000.0</v>
      </c>
      <c r="F4" s="15">
        <f>SUMIFS(OPI_10[MAF NETO],OPI_10[ESTADO],"Desembolsado")</f>
        <v>1522360</v>
      </c>
      <c r="G4" s="15">
        <f>F4-E4</f>
        <v>-477640</v>
      </c>
      <c r="H4" s="16">
        <f>SUMIFS(OPI_10[MAF NETO],OPI_10[ESTADO],H$3)</f>
        <v>0</v>
      </c>
      <c r="I4" s="16">
        <f>SUMIFS(OPI_10[MAF NETO],OPI_10[ESTADO],I$3)</f>
        <v>0</v>
      </c>
      <c r="J4" s="16">
        <f>SUMIFS(OPI_10[MAF NETO],OPI_10[ESTADO],J$3)</f>
        <v>0</v>
      </c>
      <c r="K4" s="16">
        <f>SUMIFS(OPI_10[MAF NETO],OPI_10[ESTADO],K$3)</f>
        <v>0</v>
      </c>
      <c r="L4" s="16">
        <f>SUMIFS(OPI_10[MAF NETO],OPI_10[ESTADO],L$3)</f>
        <v>0</v>
      </c>
      <c r="M4" s="16">
        <f>SUMIFS(OPI_10[MAF NETO],OPI_10[ESTADO],M$3)</f>
        <v>17000</v>
      </c>
      <c r="N4" s="16">
        <f>SUMIFS(OPI_10[MAF NETO],OPI_10[ESTADO],N$3)</f>
        <v>0</v>
      </c>
    </row>
    <row r="5" ht="26.25" customHeight="1">
      <c r="D5" s="17" t="s">
        <v>31</v>
      </c>
      <c r="E5" s="18" t="s">
        <v>32</v>
      </c>
      <c r="F5" s="19">
        <f>COUNTIFS(OPI_10[ESTADO],"Desembolsado")</f>
        <v>21</v>
      </c>
      <c r="G5" s="20">
        <f>IFERROR(F4/E4,"")</f>
        <v>0.76118</v>
      </c>
      <c r="H5" s="19">
        <f>COUNTIFS(OPI_10[ESTADO],H$3)</f>
        <v>0</v>
      </c>
      <c r="I5" s="19">
        <f>COUNTIFS(OPI_10[ESTADO],I$3)</f>
        <v>0</v>
      </c>
      <c r="J5" s="19">
        <f>COUNTIFS(OPI_10[ESTADO],J$3)</f>
        <v>0</v>
      </c>
      <c r="K5" s="19">
        <f>COUNTIFS(OPI_10[ESTADO],K$3)</f>
        <v>0</v>
      </c>
      <c r="L5" s="19">
        <f>COUNTIFS(OPI_10[ESTADO],L$3)</f>
        <v>0</v>
      </c>
      <c r="M5" s="19">
        <f>COUNTIFS(OPI_10[ESTADO],M$3)</f>
        <v>1</v>
      </c>
      <c r="N5" s="19">
        <f>COUNTIFS(OPI_10[ESTADO],N$3)</f>
        <v>0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5" t="s">
        <v>684</v>
      </c>
      <c r="C10" s="26">
        <v>46237.0</v>
      </c>
      <c r="D10" s="27" t="s">
        <v>53</v>
      </c>
      <c r="E10" s="26">
        <v>46237.0</v>
      </c>
      <c r="F10" s="26">
        <v>46238.0</v>
      </c>
      <c r="G10" s="28" t="s">
        <v>685</v>
      </c>
      <c r="H10" s="28" t="s">
        <v>686</v>
      </c>
      <c r="I10" s="25" t="s">
        <v>80</v>
      </c>
      <c r="J10" s="27" t="s">
        <v>19</v>
      </c>
      <c r="K10" s="29">
        <v>64450.0</v>
      </c>
      <c r="L10" s="25" t="s">
        <v>687</v>
      </c>
      <c r="M10" s="27" t="s">
        <v>203</v>
      </c>
      <c r="N10" s="208"/>
      <c r="O10" s="32"/>
      <c r="P10" s="32"/>
      <c r="Q10" s="25"/>
    </row>
    <row r="11" ht="22.5" customHeight="1">
      <c r="B11" s="25"/>
      <c r="C11" s="26">
        <v>45143.0</v>
      </c>
      <c r="D11" s="27" t="s">
        <v>53</v>
      </c>
      <c r="E11" s="26">
        <v>46241.0</v>
      </c>
      <c r="F11" s="26">
        <v>46246.0</v>
      </c>
      <c r="G11" s="28" t="s">
        <v>690</v>
      </c>
      <c r="H11" s="28" t="s">
        <v>691</v>
      </c>
      <c r="I11" s="25" t="s">
        <v>80</v>
      </c>
      <c r="J11" s="27" t="s">
        <v>19</v>
      </c>
      <c r="K11" s="29">
        <v>80500.0</v>
      </c>
      <c r="L11" s="25" t="s">
        <v>687</v>
      </c>
      <c r="M11" s="27"/>
      <c r="N11" s="209"/>
      <c r="O11" s="32"/>
      <c r="P11" s="32"/>
      <c r="Q11" s="210"/>
    </row>
    <row r="12" ht="22.5" customHeight="1">
      <c r="B12" s="25"/>
      <c r="C12" s="26">
        <v>46261.0</v>
      </c>
      <c r="D12" s="27" t="s">
        <v>53</v>
      </c>
      <c r="E12" s="26">
        <v>46233.0</v>
      </c>
      <c r="F12" s="26">
        <v>46238.0</v>
      </c>
      <c r="G12" s="28" t="s">
        <v>698</v>
      </c>
      <c r="H12" s="28" t="s">
        <v>699</v>
      </c>
      <c r="I12" s="25" t="s">
        <v>80</v>
      </c>
      <c r="J12" s="27" t="s">
        <v>19</v>
      </c>
      <c r="K12" s="29">
        <v>65000.0</v>
      </c>
      <c r="L12" s="25" t="s">
        <v>700</v>
      </c>
      <c r="M12" s="27"/>
      <c r="N12" s="34"/>
      <c r="O12" s="32"/>
      <c r="P12" s="32"/>
      <c r="Q12" s="34"/>
    </row>
    <row r="13" ht="22.5" customHeight="1">
      <c r="B13" s="25"/>
      <c r="C13" s="26">
        <v>46241.0</v>
      </c>
      <c r="D13" s="27" t="s">
        <v>53</v>
      </c>
      <c r="E13" s="26">
        <v>46241.0</v>
      </c>
      <c r="F13" s="26">
        <v>46244.0</v>
      </c>
      <c r="G13" s="28" t="s">
        <v>703</v>
      </c>
      <c r="H13" s="28" t="s">
        <v>704</v>
      </c>
      <c r="I13" s="25" t="s">
        <v>80</v>
      </c>
      <c r="J13" s="27" t="s">
        <v>19</v>
      </c>
      <c r="K13" s="29">
        <v>72410.0</v>
      </c>
      <c r="L13" s="25" t="s">
        <v>706</v>
      </c>
      <c r="M13" s="27"/>
      <c r="N13" s="34"/>
      <c r="O13" s="32"/>
      <c r="P13" s="32"/>
      <c r="Q13" s="34"/>
    </row>
    <row r="14" ht="22.5" customHeight="1">
      <c r="B14" s="25"/>
      <c r="C14" s="26">
        <v>46239.0</v>
      </c>
      <c r="D14" s="27" t="s">
        <v>53</v>
      </c>
      <c r="E14" s="26">
        <v>46241.0</v>
      </c>
      <c r="F14" s="26">
        <v>46246.0</v>
      </c>
      <c r="G14" s="28" t="s">
        <v>707</v>
      </c>
      <c r="H14" s="28" t="s">
        <v>708</v>
      </c>
      <c r="I14" s="25" t="s">
        <v>80</v>
      </c>
      <c r="J14" s="27" t="s">
        <v>19</v>
      </c>
      <c r="K14" s="29">
        <v>81400.0</v>
      </c>
      <c r="L14" s="25" t="s">
        <v>687</v>
      </c>
      <c r="M14" s="27"/>
      <c r="N14" s="34"/>
      <c r="O14" s="32"/>
      <c r="P14" s="32"/>
      <c r="Q14" s="34"/>
    </row>
    <row r="15" ht="22.5" customHeight="1">
      <c r="B15" s="25"/>
      <c r="C15" s="26">
        <v>46245.0</v>
      </c>
      <c r="D15" s="27" t="s">
        <v>53</v>
      </c>
      <c r="E15" s="26">
        <v>46246.0</v>
      </c>
      <c r="F15" s="26">
        <v>46247.0</v>
      </c>
      <c r="G15" s="28" t="s">
        <v>714</v>
      </c>
      <c r="H15" s="28" t="s">
        <v>715</v>
      </c>
      <c r="I15" s="25" t="s">
        <v>716</v>
      </c>
      <c r="J15" s="27" t="s">
        <v>19</v>
      </c>
      <c r="K15" s="29">
        <v>25000.0</v>
      </c>
      <c r="L15" s="25" t="s">
        <v>717</v>
      </c>
      <c r="M15" s="27"/>
      <c r="N15" s="34"/>
      <c r="O15" s="32"/>
      <c r="P15" s="32"/>
      <c r="Q15" s="34"/>
    </row>
    <row r="16" ht="22.5" customHeight="1">
      <c r="B16" s="25"/>
      <c r="C16" s="26">
        <v>46245.0</v>
      </c>
      <c r="D16" s="27" t="s">
        <v>53</v>
      </c>
      <c r="E16" s="26">
        <v>46246.0</v>
      </c>
      <c r="F16" s="26"/>
      <c r="G16" s="28" t="s">
        <v>720</v>
      </c>
      <c r="H16" s="28" t="s">
        <v>721</v>
      </c>
      <c r="I16" s="25" t="s">
        <v>716</v>
      </c>
      <c r="J16" s="27" t="s">
        <v>19</v>
      </c>
      <c r="K16" s="29">
        <v>67000.0</v>
      </c>
      <c r="L16" s="25" t="s">
        <v>717</v>
      </c>
      <c r="M16" s="27"/>
      <c r="N16" s="34"/>
      <c r="O16" s="32"/>
      <c r="P16" s="32"/>
      <c r="Q16" s="34"/>
    </row>
    <row r="17" ht="22.5" customHeight="1">
      <c r="B17" s="25"/>
      <c r="C17" s="26">
        <v>46245.0</v>
      </c>
      <c r="D17" s="27" t="s">
        <v>53</v>
      </c>
      <c r="E17" s="26"/>
      <c r="F17" s="26"/>
      <c r="G17" s="28"/>
      <c r="H17" s="28"/>
      <c r="I17" s="25"/>
      <c r="J17" s="27"/>
      <c r="K17" s="29"/>
      <c r="L17" s="25"/>
      <c r="M17" s="27"/>
      <c r="N17" s="34"/>
      <c r="O17" s="32"/>
      <c r="P17" s="32"/>
      <c r="Q17" s="25" t="s">
        <v>728</v>
      </c>
    </row>
    <row r="18" ht="22.5" customHeight="1">
      <c r="B18" s="25"/>
      <c r="C18" s="26">
        <v>46245.0</v>
      </c>
      <c r="D18" s="27" t="s">
        <v>53</v>
      </c>
      <c r="E18" s="26">
        <v>46246.0</v>
      </c>
      <c r="F18" s="26">
        <v>46247.0</v>
      </c>
      <c r="G18" s="28" t="s">
        <v>731</v>
      </c>
      <c r="H18" s="28" t="s">
        <v>732</v>
      </c>
      <c r="I18" s="25" t="s">
        <v>80</v>
      </c>
      <c r="J18" s="27" t="s">
        <v>19</v>
      </c>
      <c r="K18" s="29">
        <v>78200.0</v>
      </c>
      <c r="L18" s="25" t="s">
        <v>687</v>
      </c>
      <c r="M18" s="27"/>
      <c r="N18" s="34"/>
      <c r="O18" s="32"/>
      <c r="P18" s="32"/>
      <c r="Q18" s="34"/>
    </row>
    <row r="19" ht="22.5" customHeight="1">
      <c r="B19" s="25"/>
      <c r="C19" s="26"/>
      <c r="D19" s="27" t="s">
        <v>53</v>
      </c>
      <c r="E19" s="26"/>
      <c r="F19" s="26"/>
      <c r="G19" s="28" t="s">
        <v>735</v>
      </c>
      <c r="H19" s="211" t="s">
        <v>736</v>
      </c>
      <c r="I19" s="25" t="s">
        <v>80</v>
      </c>
      <c r="J19" s="27" t="s">
        <v>26</v>
      </c>
      <c r="K19" s="29">
        <v>17000.0</v>
      </c>
      <c r="L19" s="25" t="s">
        <v>687</v>
      </c>
      <c r="M19" s="27"/>
      <c r="N19" s="34"/>
      <c r="O19" s="32"/>
      <c r="P19" s="32"/>
      <c r="Q19" s="34"/>
    </row>
    <row r="20" ht="22.5" customHeight="1">
      <c r="B20" s="25"/>
      <c r="C20" s="26">
        <v>46247.0</v>
      </c>
      <c r="D20" s="27" t="s">
        <v>53</v>
      </c>
      <c r="E20" s="26">
        <v>46249.0</v>
      </c>
      <c r="F20" s="26">
        <v>46191.0</v>
      </c>
      <c r="G20" s="28" t="s">
        <v>743</v>
      </c>
      <c r="H20" s="28" t="s">
        <v>745</v>
      </c>
      <c r="I20" s="25" t="s">
        <v>80</v>
      </c>
      <c r="J20" s="27" t="s">
        <v>19</v>
      </c>
      <c r="K20" s="29">
        <v>65000.0</v>
      </c>
      <c r="L20" s="25" t="s">
        <v>687</v>
      </c>
      <c r="M20" s="27"/>
      <c r="N20" s="34"/>
      <c r="O20" s="32"/>
      <c r="P20" s="32"/>
      <c r="Q20" s="34"/>
    </row>
    <row r="21" ht="22.5" customHeight="1">
      <c r="B21" s="25"/>
      <c r="C21" s="26"/>
      <c r="D21" s="27" t="s">
        <v>149</v>
      </c>
      <c r="E21" s="26">
        <v>46249.0</v>
      </c>
      <c r="F21" s="26"/>
      <c r="G21" s="28" t="s">
        <v>748</v>
      </c>
      <c r="H21" s="28" t="s">
        <v>750</v>
      </c>
      <c r="I21" s="25" t="s">
        <v>80</v>
      </c>
      <c r="J21" s="27" t="s">
        <v>19</v>
      </c>
      <c r="K21" s="29">
        <v>71100.0</v>
      </c>
      <c r="L21" s="25" t="s">
        <v>687</v>
      </c>
      <c r="M21" s="27"/>
      <c r="N21" s="34"/>
      <c r="O21" s="32"/>
      <c r="P21" s="32"/>
      <c r="Q21" s="34"/>
    </row>
    <row r="22" ht="22.5" customHeight="1">
      <c r="B22" s="25"/>
      <c r="C22" s="26">
        <v>46247.0</v>
      </c>
      <c r="D22" s="27" t="s">
        <v>53</v>
      </c>
      <c r="E22" s="26">
        <v>46249.0</v>
      </c>
      <c r="F22" s="25"/>
      <c r="G22" s="28" t="s">
        <v>751</v>
      </c>
      <c r="H22" s="28" t="s">
        <v>752</v>
      </c>
      <c r="I22" s="25" t="s">
        <v>80</v>
      </c>
      <c r="J22" s="27" t="s">
        <v>19</v>
      </c>
      <c r="K22" s="29">
        <v>64600.0</v>
      </c>
      <c r="L22" s="25" t="s">
        <v>755</v>
      </c>
      <c r="M22" s="27"/>
      <c r="N22" s="34"/>
      <c r="O22" s="32"/>
      <c r="P22" s="32"/>
      <c r="Q22" s="34"/>
    </row>
    <row r="23" ht="22.5" customHeight="1">
      <c r="B23" s="34"/>
      <c r="C23" s="26"/>
      <c r="D23" s="27" t="s">
        <v>178</v>
      </c>
      <c r="E23" s="26">
        <v>46251.0</v>
      </c>
      <c r="F23" s="26"/>
      <c r="G23" s="28"/>
      <c r="H23" s="28"/>
      <c r="I23" s="25"/>
      <c r="J23" s="27"/>
      <c r="K23" s="29"/>
      <c r="L23" s="25"/>
      <c r="M23" s="27"/>
      <c r="N23" s="34"/>
      <c r="O23" s="32"/>
      <c r="P23" s="32"/>
      <c r="Q23" s="25" t="s">
        <v>761</v>
      </c>
    </row>
    <row r="24" ht="22.5" customHeight="1">
      <c r="B24" s="34"/>
      <c r="C24" s="26"/>
      <c r="D24" s="27" t="s">
        <v>53</v>
      </c>
      <c r="E24" s="137"/>
      <c r="F24" s="137"/>
      <c r="G24" s="28" t="s">
        <v>763</v>
      </c>
      <c r="H24" s="212" t="s">
        <v>764</v>
      </c>
      <c r="I24" s="25" t="s">
        <v>765</v>
      </c>
      <c r="J24" s="27" t="s">
        <v>19</v>
      </c>
      <c r="K24" s="29">
        <v>94300.0</v>
      </c>
      <c r="L24" s="25" t="s">
        <v>755</v>
      </c>
      <c r="M24" s="27"/>
      <c r="N24" s="34"/>
      <c r="O24" s="32"/>
      <c r="P24" s="32"/>
      <c r="Q24" s="34"/>
    </row>
    <row r="25" ht="22.5" customHeight="1">
      <c r="B25" s="34"/>
      <c r="C25" s="26"/>
      <c r="D25" s="27"/>
      <c r="E25" s="26"/>
      <c r="F25" s="26"/>
      <c r="G25" s="28"/>
      <c r="H25" s="213"/>
      <c r="I25" s="25"/>
      <c r="J25" s="27"/>
      <c r="K25" s="29">
        <v>0.0</v>
      </c>
      <c r="L25" s="25"/>
      <c r="M25" s="27"/>
      <c r="N25" s="34"/>
      <c r="O25" s="32"/>
      <c r="P25" s="32"/>
      <c r="Q25" s="34"/>
    </row>
    <row r="26" ht="22.5" customHeight="1">
      <c r="B26" s="34"/>
      <c r="C26" s="26">
        <v>46247.0</v>
      </c>
      <c r="D26" s="27" t="s">
        <v>53</v>
      </c>
      <c r="E26" s="26">
        <v>46253.0</v>
      </c>
      <c r="F26" s="26"/>
      <c r="G26" s="28" t="s">
        <v>772</v>
      </c>
      <c r="H26" s="214" t="s">
        <v>773</v>
      </c>
      <c r="I26" s="25" t="s">
        <v>774</v>
      </c>
      <c r="J26" s="27" t="s">
        <v>19</v>
      </c>
      <c r="K26" s="29">
        <v>117030.0</v>
      </c>
      <c r="L26" s="25" t="s">
        <v>687</v>
      </c>
      <c r="M26" s="32"/>
      <c r="N26" s="34"/>
      <c r="O26" s="32"/>
      <c r="P26" s="32"/>
      <c r="Q26" s="34"/>
    </row>
    <row r="27" ht="22.5" customHeight="1">
      <c r="B27" s="34"/>
      <c r="C27" s="26"/>
      <c r="D27" s="27" t="s">
        <v>53</v>
      </c>
      <c r="E27" s="26">
        <v>46253.0</v>
      </c>
      <c r="F27" s="26">
        <v>46253.0</v>
      </c>
      <c r="G27" s="28" t="s">
        <v>777</v>
      </c>
      <c r="H27" s="28" t="s">
        <v>778</v>
      </c>
      <c r="I27" s="25" t="s">
        <v>80</v>
      </c>
      <c r="J27" s="27" t="s">
        <v>19</v>
      </c>
      <c r="K27" s="29">
        <v>74800.0</v>
      </c>
      <c r="L27" s="25" t="s">
        <v>687</v>
      </c>
      <c r="M27" s="32"/>
      <c r="N27" s="34"/>
      <c r="O27" s="32"/>
      <c r="P27" s="32"/>
      <c r="Q27" s="34"/>
    </row>
    <row r="28" ht="22.5" customHeight="1">
      <c r="B28" s="34"/>
      <c r="C28" s="137"/>
      <c r="D28" s="27" t="s">
        <v>53</v>
      </c>
      <c r="E28" s="26">
        <v>46249.0</v>
      </c>
      <c r="F28" s="26">
        <v>46254.0</v>
      </c>
      <c r="G28" s="28" t="s">
        <v>781</v>
      </c>
      <c r="H28" s="28" t="s">
        <v>782</v>
      </c>
      <c r="I28" s="25" t="s">
        <v>80</v>
      </c>
      <c r="J28" s="27" t="s">
        <v>19</v>
      </c>
      <c r="K28" s="29">
        <v>74400.0</v>
      </c>
      <c r="L28" s="25" t="s">
        <v>687</v>
      </c>
      <c r="M28" s="32"/>
      <c r="N28" s="34"/>
      <c r="O28" s="32"/>
      <c r="P28" s="32"/>
      <c r="Q28" s="34"/>
    </row>
    <row r="29" ht="22.5" customHeight="1">
      <c r="B29" s="34"/>
      <c r="C29" s="26">
        <v>46248.0</v>
      </c>
      <c r="D29" s="27" t="s">
        <v>53</v>
      </c>
      <c r="E29" s="26">
        <v>46249.0</v>
      </c>
      <c r="F29" s="26">
        <v>46254.0</v>
      </c>
      <c r="G29" s="28" t="s">
        <v>785</v>
      </c>
      <c r="H29" s="28" t="s">
        <v>786</v>
      </c>
      <c r="I29" s="25" t="s">
        <v>787</v>
      </c>
      <c r="J29" s="27" t="s">
        <v>19</v>
      </c>
      <c r="K29" s="29">
        <v>79100.0</v>
      </c>
      <c r="L29" s="25" t="s">
        <v>755</v>
      </c>
      <c r="M29" s="32"/>
      <c r="N29" s="34"/>
      <c r="O29" s="32"/>
      <c r="P29" s="32"/>
      <c r="Q29" s="34"/>
    </row>
    <row r="30" ht="22.5" customHeight="1">
      <c r="B30" s="34"/>
      <c r="C30" s="26">
        <v>46253.0</v>
      </c>
      <c r="D30" s="27" t="s">
        <v>53</v>
      </c>
      <c r="E30" s="137"/>
      <c r="F30" s="137"/>
      <c r="G30" s="28" t="s">
        <v>789</v>
      </c>
      <c r="H30" s="28" t="s">
        <v>791</v>
      </c>
      <c r="I30" s="25" t="s">
        <v>80</v>
      </c>
      <c r="J30" s="27" t="s">
        <v>19</v>
      </c>
      <c r="K30" s="29">
        <v>37850.0</v>
      </c>
      <c r="L30" s="25" t="s">
        <v>755</v>
      </c>
      <c r="M30" s="32"/>
      <c r="N30" s="34"/>
      <c r="O30" s="32"/>
      <c r="P30" s="32"/>
      <c r="Q30" s="34"/>
    </row>
    <row r="31" ht="22.5" customHeight="1">
      <c r="B31" s="34"/>
      <c r="C31" s="26"/>
      <c r="D31" s="27" t="s">
        <v>149</v>
      </c>
      <c r="E31" s="137"/>
      <c r="F31" s="137"/>
      <c r="G31" s="28"/>
      <c r="H31" s="202"/>
      <c r="I31" s="25" t="s">
        <v>80</v>
      </c>
      <c r="J31" s="27"/>
      <c r="K31" s="29">
        <v>0.0</v>
      </c>
      <c r="L31" s="25"/>
      <c r="M31" s="32"/>
      <c r="N31" s="34"/>
      <c r="O31" s="32"/>
      <c r="P31" s="32"/>
      <c r="Q31" s="34"/>
    </row>
    <row r="32" ht="22.5" customHeight="1">
      <c r="B32" s="34"/>
      <c r="C32" s="26"/>
      <c r="D32" s="27" t="s">
        <v>53</v>
      </c>
      <c r="E32" s="137"/>
      <c r="F32" s="25"/>
      <c r="G32" s="28" t="s">
        <v>795</v>
      </c>
      <c r="H32" s="28" t="s">
        <v>796</v>
      </c>
      <c r="I32" s="25" t="s">
        <v>80</v>
      </c>
      <c r="J32" s="27" t="s">
        <v>19</v>
      </c>
      <c r="K32" s="29">
        <v>83050.0</v>
      </c>
      <c r="L32" s="25" t="s">
        <v>687</v>
      </c>
      <c r="M32" s="32"/>
      <c r="N32" s="34"/>
      <c r="O32" s="32"/>
      <c r="P32" s="32"/>
      <c r="Q32" s="34"/>
    </row>
    <row r="33" ht="22.5" customHeight="1">
      <c r="B33" s="34"/>
      <c r="C33" s="137"/>
      <c r="D33" s="27" t="s">
        <v>53</v>
      </c>
      <c r="E33" s="137"/>
      <c r="F33" s="137"/>
      <c r="G33" s="28" t="s">
        <v>798</v>
      </c>
      <c r="H33" s="28" t="s">
        <v>800</v>
      </c>
      <c r="I33" s="25" t="s">
        <v>80</v>
      </c>
      <c r="J33" s="27" t="s">
        <v>19</v>
      </c>
      <c r="K33" s="29">
        <v>81150.0</v>
      </c>
      <c r="L33" s="25" t="s">
        <v>687</v>
      </c>
      <c r="M33" s="32"/>
      <c r="N33" s="34"/>
      <c r="O33" s="32"/>
      <c r="P33" s="32"/>
      <c r="Q33" s="34"/>
    </row>
    <row r="34" ht="22.5" customHeight="1">
      <c r="B34" s="34"/>
      <c r="C34" s="137"/>
      <c r="D34" s="27" t="s">
        <v>53</v>
      </c>
      <c r="E34" s="137"/>
      <c r="F34" s="25"/>
      <c r="G34" s="28"/>
      <c r="H34" s="202"/>
      <c r="I34" s="25"/>
      <c r="J34" s="27"/>
      <c r="K34" s="29"/>
      <c r="L34" s="25"/>
      <c r="M34" s="32"/>
      <c r="N34" s="34"/>
      <c r="O34" s="32"/>
      <c r="P34" s="32"/>
      <c r="Q34" s="34"/>
    </row>
    <row r="35" ht="22.5" customHeight="1">
      <c r="B35" s="34"/>
      <c r="C35" s="137"/>
      <c r="D35" s="27" t="s">
        <v>53</v>
      </c>
      <c r="E35" s="137"/>
      <c r="F35" s="25"/>
      <c r="G35" s="28"/>
      <c r="H35" s="28"/>
      <c r="I35" s="25"/>
      <c r="J35" s="27"/>
      <c r="K35" s="29"/>
      <c r="L35" s="25"/>
      <c r="M35" s="32"/>
      <c r="N35" s="34"/>
      <c r="O35" s="32"/>
      <c r="P35" s="32"/>
      <c r="Q35" s="34"/>
    </row>
    <row r="36" ht="22.5" customHeight="1">
      <c r="B36" s="34"/>
      <c r="C36" s="26"/>
      <c r="D36" s="27" t="s">
        <v>149</v>
      </c>
      <c r="E36" s="137"/>
      <c r="F36" s="137"/>
      <c r="G36" s="28"/>
      <c r="H36" s="28"/>
      <c r="I36" s="25"/>
      <c r="J36" s="27"/>
      <c r="K36" s="29"/>
      <c r="L36" s="25"/>
      <c r="M36" s="32"/>
      <c r="N36" s="34"/>
      <c r="O36" s="32"/>
      <c r="P36" s="32"/>
      <c r="Q36" s="34"/>
    </row>
    <row r="37" ht="22.5" customHeight="1">
      <c r="B37" s="34"/>
      <c r="C37" s="137"/>
      <c r="D37" s="27" t="s">
        <v>149</v>
      </c>
      <c r="E37" s="137"/>
      <c r="F37" s="137"/>
      <c r="G37" s="28"/>
      <c r="H37" s="28"/>
      <c r="I37" s="25"/>
      <c r="J37" s="27"/>
      <c r="K37" s="29"/>
      <c r="L37" s="25"/>
      <c r="M37" s="32"/>
      <c r="N37" s="34"/>
      <c r="O37" s="32"/>
      <c r="P37" s="32"/>
      <c r="Q37" s="34"/>
    </row>
    <row r="38" ht="22.5" customHeight="1">
      <c r="B38" s="34"/>
      <c r="C38" s="26"/>
      <c r="D38" s="27"/>
      <c r="E38" s="137"/>
      <c r="F38" s="137"/>
      <c r="G38" s="28"/>
      <c r="H38" s="28"/>
      <c r="I38" s="25"/>
      <c r="J38" s="27"/>
      <c r="K38" s="29"/>
      <c r="L38" s="25"/>
      <c r="M38" s="32"/>
      <c r="N38" s="34"/>
      <c r="O38" s="32"/>
      <c r="P38" s="32"/>
      <c r="Q38" s="34"/>
    </row>
    <row r="39" ht="22.5" customHeight="1">
      <c r="B39" s="34"/>
      <c r="C39" s="26">
        <v>46260.0</v>
      </c>
      <c r="D39" s="27" t="s">
        <v>53</v>
      </c>
      <c r="E39" s="137"/>
      <c r="F39" s="137"/>
      <c r="G39" s="28"/>
      <c r="H39" s="28"/>
      <c r="I39" s="25"/>
      <c r="J39" s="27"/>
      <c r="K39" s="29"/>
      <c r="L39" s="25"/>
      <c r="M39" s="32"/>
      <c r="N39" s="34"/>
      <c r="O39" s="32"/>
      <c r="P39" s="32"/>
      <c r="Q39" s="34"/>
    </row>
    <row r="40" ht="22.5" customHeight="1">
      <c r="B40" s="34"/>
      <c r="C40" s="26">
        <v>46261.0</v>
      </c>
      <c r="D40" s="27" t="s">
        <v>149</v>
      </c>
      <c r="E40" s="137"/>
      <c r="F40" s="137"/>
      <c r="G40" s="28"/>
      <c r="H40" s="28"/>
      <c r="I40" s="25"/>
      <c r="J40" s="27"/>
      <c r="K40" s="29"/>
      <c r="L40" s="25"/>
      <c r="M40" s="32"/>
      <c r="N40" s="34"/>
      <c r="O40" s="32"/>
      <c r="P40" s="32"/>
      <c r="Q40" s="34"/>
    </row>
    <row r="41" ht="22.5" customHeight="1">
      <c r="B41" s="34"/>
      <c r="C41" s="26">
        <v>46261.0</v>
      </c>
      <c r="D41" s="27" t="s">
        <v>149</v>
      </c>
      <c r="E41" s="137"/>
      <c r="F41" s="137"/>
      <c r="G41" s="28"/>
      <c r="H41" s="28"/>
      <c r="I41" s="25"/>
      <c r="J41" s="27"/>
      <c r="K41" s="29"/>
      <c r="L41" s="25"/>
      <c r="M41" s="32"/>
      <c r="N41" s="34"/>
      <c r="O41" s="32"/>
      <c r="P41" s="32"/>
      <c r="Q41" s="34"/>
    </row>
    <row r="42" ht="22.5" customHeight="1">
      <c r="B42" s="34"/>
      <c r="C42" s="26">
        <v>46261.0</v>
      </c>
      <c r="D42" s="27" t="s">
        <v>149</v>
      </c>
      <c r="E42" s="137"/>
      <c r="F42" s="137"/>
      <c r="G42" s="28"/>
      <c r="H42" s="28"/>
      <c r="I42" s="25"/>
      <c r="J42" s="27"/>
      <c r="K42" s="29"/>
      <c r="L42" s="25"/>
      <c r="M42" s="32"/>
      <c r="N42" s="34"/>
      <c r="O42" s="32"/>
      <c r="P42" s="32"/>
      <c r="Q42" s="34"/>
    </row>
    <row r="43" ht="22.5" customHeight="1">
      <c r="B43" s="34"/>
      <c r="C43" s="26">
        <v>46262.0</v>
      </c>
      <c r="D43" s="27" t="s">
        <v>149</v>
      </c>
      <c r="E43" s="137"/>
      <c r="F43" s="137"/>
      <c r="G43" s="28" t="s">
        <v>820</v>
      </c>
      <c r="H43" s="28" t="s">
        <v>821</v>
      </c>
      <c r="I43" s="25" t="s">
        <v>80</v>
      </c>
      <c r="J43" s="27" t="s">
        <v>19</v>
      </c>
      <c r="K43" s="29">
        <v>69200.0</v>
      </c>
      <c r="L43" s="25" t="s">
        <v>755</v>
      </c>
      <c r="M43" s="32"/>
      <c r="N43" s="34"/>
      <c r="O43" s="32"/>
      <c r="P43" s="32"/>
      <c r="Q43" s="34"/>
    </row>
    <row r="44" ht="22.5" customHeight="1">
      <c r="B44" s="34"/>
      <c r="C44" s="26">
        <v>46262.0</v>
      </c>
      <c r="D44" s="27" t="s">
        <v>149</v>
      </c>
      <c r="E44" s="137"/>
      <c r="F44" s="137"/>
      <c r="G44" s="28"/>
      <c r="H44" s="28"/>
      <c r="I44" s="25"/>
      <c r="J44" s="27"/>
      <c r="K44" s="29"/>
      <c r="L44" s="25"/>
      <c r="M44" s="32"/>
      <c r="N44" s="34"/>
      <c r="O44" s="32"/>
      <c r="P44" s="32"/>
      <c r="Q44" s="34"/>
    </row>
    <row r="45" ht="22.5" customHeight="1">
      <c r="B45" s="34"/>
      <c r="C45" s="26">
        <v>46262.0</v>
      </c>
      <c r="D45" s="27" t="s">
        <v>149</v>
      </c>
      <c r="E45" s="137"/>
      <c r="F45" s="137"/>
      <c r="G45" s="28" t="s">
        <v>825</v>
      </c>
      <c r="H45" s="28" t="s">
        <v>826</v>
      </c>
      <c r="I45" s="25" t="s">
        <v>80</v>
      </c>
      <c r="J45" s="27" t="s">
        <v>19</v>
      </c>
      <c r="K45" s="29">
        <v>76820.0</v>
      </c>
      <c r="L45" s="25" t="s">
        <v>687</v>
      </c>
      <c r="M45" s="32"/>
      <c r="N45" s="34"/>
      <c r="O45" s="32"/>
      <c r="P45" s="32"/>
      <c r="Q45" s="34"/>
    </row>
    <row r="46" ht="22.5" customHeight="1">
      <c r="B46" s="34"/>
      <c r="C46" s="137"/>
      <c r="D46" s="27"/>
      <c r="E46" s="137"/>
      <c r="F46" s="137"/>
      <c r="G46" s="28"/>
      <c r="H46" s="28"/>
      <c r="I46" s="25"/>
      <c r="J46" s="27"/>
      <c r="K46" s="29"/>
      <c r="L46" s="25"/>
      <c r="M46" s="32"/>
      <c r="N46" s="34"/>
      <c r="O46" s="32"/>
      <c r="P46" s="32"/>
      <c r="Q46" s="34"/>
    </row>
    <row r="47" ht="22.5" customHeight="1">
      <c r="B47" s="34"/>
      <c r="C47" s="137"/>
      <c r="D47" s="27"/>
      <c r="E47" s="137"/>
      <c r="F47" s="137"/>
      <c r="G47" s="28"/>
      <c r="H47" s="28"/>
      <c r="I47" s="25"/>
      <c r="J47" s="27"/>
      <c r="K47" s="29"/>
      <c r="L47" s="25"/>
      <c r="M47" s="32"/>
      <c r="N47" s="34"/>
      <c r="O47" s="32"/>
      <c r="P47" s="32"/>
      <c r="Q47" s="34"/>
    </row>
    <row r="48" ht="22.5" customHeight="1">
      <c r="B48" s="34"/>
      <c r="C48" s="137"/>
      <c r="D48" s="27"/>
      <c r="E48" s="137"/>
      <c r="F48" s="137"/>
      <c r="G48" s="28"/>
      <c r="H48" s="28"/>
      <c r="I48" s="25"/>
      <c r="J48" s="27"/>
      <c r="K48" s="29"/>
      <c r="L48" s="25"/>
      <c r="M48" s="32"/>
      <c r="N48" s="34"/>
      <c r="O48" s="32"/>
      <c r="P48" s="32"/>
      <c r="Q48" s="34"/>
    </row>
    <row r="49" ht="22.5" customHeight="1">
      <c r="B49" s="34"/>
      <c r="C49" s="137"/>
      <c r="D49" s="44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32"/>
      <c r="P49" s="32"/>
      <c r="Q49" s="34"/>
    </row>
    <row r="50" ht="22.5" customHeight="1">
      <c r="B50" s="34"/>
      <c r="C50" s="137"/>
      <c r="D50" s="44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32"/>
      <c r="P50" s="32"/>
      <c r="Q50" s="34"/>
    </row>
    <row r="51" ht="22.5" customHeight="1">
      <c r="B51" s="34"/>
      <c r="C51" s="137"/>
      <c r="D51" s="44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32"/>
      <c r="P51" s="32"/>
      <c r="Q51" s="34"/>
    </row>
    <row r="52" ht="22.5" customHeight="1">
      <c r="B52" s="34"/>
      <c r="C52" s="137"/>
      <c r="D52" s="44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128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800000.0</v>
      </c>
      <c r="F4" s="15">
        <f>SUMIFS(OPI_9[MAF NETO],OPI_9[ESTADO],"Desembolsado")</f>
        <v>611137</v>
      </c>
      <c r="G4" s="15">
        <f>F4-E4</f>
        <v>-188863</v>
      </c>
      <c r="H4" s="16">
        <f>SUMIFS(OPI_9[MAF NETO],OPI_9[ESTADO],H$3)</f>
        <v>0</v>
      </c>
      <c r="I4" s="16">
        <f>SUMIFS(OPI_9[MAF NETO],OPI_9[ESTADO],I$3)</f>
        <v>0</v>
      </c>
      <c r="J4" s="16">
        <f>SUMIFS(OPI_9[MAF NETO],OPI_9[ESTADO],J$3)</f>
        <v>0</v>
      </c>
      <c r="K4" s="16">
        <f>SUMIFS(OPI_9[MAF NETO],OPI_9[ESTADO],K$3)</f>
        <v>63700</v>
      </c>
      <c r="L4" s="16">
        <f>SUMIFS(OPI_9[MAF NETO],OPI_9[ESTADO],L$3)</f>
        <v>0</v>
      </c>
      <c r="M4" s="16">
        <f>SUMIFS(OPI_9[MAF NETO],OPI_9[ESTADO],M$3)</f>
        <v>0</v>
      </c>
      <c r="N4" s="16">
        <f>SUMIFS(OPI_9[MAF NETO],OPI_9[ESTADO],N$3)</f>
        <v>30000</v>
      </c>
    </row>
    <row r="5" ht="26.25" customHeight="1">
      <c r="D5" s="17" t="s">
        <v>31</v>
      </c>
      <c r="E5" s="18" t="s">
        <v>32</v>
      </c>
      <c r="F5" s="19">
        <f>COUNTIFS(OPI_9[ESTADO],"Desembolsado")</f>
        <v>9</v>
      </c>
      <c r="G5" s="20">
        <f>IFERROR(F4/E4,"")</f>
        <v>0.76392125</v>
      </c>
      <c r="H5" s="19">
        <f>COUNTIFS(OPI_9[ESTADO],H$3)</f>
        <v>0</v>
      </c>
      <c r="I5" s="19">
        <f>COUNTIFS(OPI_9[ESTADO],I$3)</f>
        <v>0</v>
      </c>
      <c r="J5" s="19">
        <f>COUNTIFS(OPI_9[ESTADO],J$3)</f>
        <v>0</v>
      </c>
      <c r="K5" s="19">
        <f>COUNTIFS(OPI_9[ESTADO],K$3)</f>
        <v>1</v>
      </c>
      <c r="L5" s="19">
        <f>COUNTIFS(OPI_9[ESTADO],L$3)</f>
        <v>0</v>
      </c>
      <c r="M5" s="19">
        <f>COUNTIFS(OPI_9[ESTADO],M$3)</f>
        <v>0</v>
      </c>
      <c r="N5" s="19">
        <f>COUNTIFS(OPI_9[ESTADO],N$3)</f>
        <v>2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5" t="s">
        <v>128</v>
      </c>
      <c r="C10" s="26"/>
      <c r="D10" s="27" t="s">
        <v>53</v>
      </c>
      <c r="E10" s="26"/>
      <c r="F10" s="26"/>
      <c r="G10" s="28" t="s">
        <v>816</v>
      </c>
      <c r="H10" s="28" t="s">
        <v>817</v>
      </c>
      <c r="I10" s="25" t="s">
        <v>56</v>
      </c>
      <c r="J10" s="27" t="s">
        <v>19</v>
      </c>
      <c r="K10" s="29">
        <v>61300.0</v>
      </c>
      <c r="L10" s="25" t="s">
        <v>818</v>
      </c>
      <c r="M10" s="27" t="s">
        <v>101</v>
      </c>
      <c r="N10" s="34"/>
      <c r="O10" s="27" t="s">
        <v>819</v>
      </c>
      <c r="P10" s="32"/>
      <c r="Q10" s="34"/>
    </row>
    <row r="11" ht="22.5" customHeight="1">
      <c r="B11" s="25" t="s">
        <v>128</v>
      </c>
      <c r="C11" s="26"/>
      <c r="D11" s="27" t="s">
        <v>53</v>
      </c>
      <c r="E11" s="26"/>
      <c r="F11" s="137"/>
      <c r="G11" s="28" t="s">
        <v>822</v>
      </c>
      <c r="H11" s="28" t="s">
        <v>823</v>
      </c>
      <c r="I11" s="25" t="s">
        <v>56</v>
      </c>
      <c r="J11" s="27" t="s">
        <v>19</v>
      </c>
      <c r="K11" s="29">
        <v>73000.0</v>
      </c>
      <c r="L11" s="25" t="s">
        <v>818</v>
      </c>
      <c r="M11" s="27" t="s">
        <v>101</v>
      </c>
      <c r="N11" s="34"/>
      <c r="O11" s="27" t="s">
        <v>824</v>
      </c>
      <c r="P11" s="32"/>
      <c r="Q11" s="34"/>
    </row>
    <row r="12" ht="22.5" customHeight="1">
      <c r="B12" s="25" t="s">
        <v>128</v>
      </c>
      <c r="C12" s="26"/>
      <c r="D12" s="27" t="s">
        <v>53</v>
      </c>
      <c r="E12" s="26"/>
      <c r="F12" s="26"/>
      <c r="G12" s="28" t="s">
        <v>827</v>
      </c>
      <c r="H12" s="28" t="s">
        <v>828</v>
      </c>
      <c r="I12" s="25" t="s">
        <v>56</v>
      </c>
      <c r="J12" s="27" t="s">
        <v>19</v>
      </c>
      <c r="K12" s="29">
        <v>91500.0</v>
      </c>
      <c r="L12" s="25" t="s">
        <v>818</v>
      </c>
      <c r="M12" s="27" t="s">
        <v>101</v>
      </c>
      <c r="N12" s="34"/>
      <c r="O12" s="27" t="s">
        <v>829</v>
      </c>
      <c r="P12" s="27" t="s">
        <v>101</v>
      </c>
      <c r="Q12" s="34"/>
    </row>
    <row r="13" ht="22.5" customHeight="1">
      <c r="B13" s="25" t="s">
        <v>128</v>
      </c>
      <c r="C13" s="26"/>
      <c r="D13" s="27" t="s">
        <v>53</v>
      </c>
      <c r="E13" s="26"/>
      <c r="F13" s="137"/>
      <c r="G13" s="28" t="s">
        <v>830</v>
      </c>
      <c r="H13" s="28" t="s">
        <v>831</v>
      </c>
      <c r="I13" s="25" t="s">
        <v>56</v>
      </c>
      <c r="J13" s="27" t="s">
        <v>19</v>
      </c>
      <c r="K13" s="29">
        <v>70000.0</v>
      </c>
      <c r="L13" s="25" t="s">
        <v>818</v>
      </c>
      <c r="M13" s="27" t="s">
        <v>101</v>
      </c>
      <c r="N13" s="34"/>
      <c r="O13" s="27" t="s">
        <v>829</v>
      </c>
      <c r="P13" s="27" t="s">
        <v>101</v>
      </c>
      <c r="Q13" s="34"/>
    </row>
    <row r="14" ht="22.5" customHeight="1">
      <c r="B14" s="25" t="s">
        <v>128</v>
      </c>
      <c r="C14" s="26"/>
      <c r="D14" s="27" t="s">
        <v>53</v>
      </c>
      <c r="E14" s="137"/>
      <c r="F14" s="137"/>
      <c r="G14" s="28" t="s">
        <v>832</v>
      </c>
      <c r="H14" s="28" t="s">
        <v>833</v>
      </c>
      <c r="I14" s="25" t="s">
        <v>56</v>
      </c>
      <c r="J14" s="27" t="s">
        <v>19</v>
      </c>
      <c r="K14" s="29">
        <v>82200.0</v>
      </c>
      <c r="L14" s="25" t="s">
        <v>818</v>
      </c>
      <c r="M14" s="27" t="s">
        <v>101</v>
      </c>
      <c r="N14" s="34"/>
      <c r="O14" s="27" t="s">
        <v>834</v>
      </c>
      <c r="P14" s="32"/>
      <c r="Q14" s="34"/>
    </row>
    <row r="15" ht="22.5" customHeight="1">
      <c r="B15" s="25" t="s">
        <v>835</v>
      </c>
      <c r="C15" s="26"/>
      <c r="D15" s="27" t="s">
        <v>53</v>
      </c>
      <c r="E15" s="26"/>
      <c r="F15" s="137"/>
      <c r="G15" s="28" t="s">
        <v>836</v>
      </c>
      <c r="H15" s="28" t="s">
        <v>837</v>
      </c>
      <c r="I15" s="25" t="s">
        <v>56</v>
      </c>
      <c r="J15" s="27" t="s">
        <v>19</v>
      </c>
      <c r="K15" s="29">
        <v>81500.0</v>
      </c>
      <c r="L15" s="25" t="s">
        <v>818</v>
      </c>
      <c r="M15" s="27" t="s">
        <v>101</v>
      </c>
      <c r="N15" s="34"/>
      <c r="O15" s="27" t="s">
        <v>838</v>
      </c>
      <c r="P15" s="32"/>
      <c r="Q15" s="34"/>
    </row>
    <row r="16" ht="22.5" customHeight="1">
      <c r="B16" s="25" t="s">
        <v>128</v>
      </c>
      <c r="C16" s="137"/>
      <c r="D16" s="27" t="s">
        <v>53</v>
      </c>
      <c r="E16" s="137"/>
      <c r="F16" s="137"/>
      <c r="G16" s="28" t="s">
        <v>839</v>
      </c>
      <c r="H16" s="28" t="s">
        <v>840</v>
      </c>
      <c r="I16" s="25" t="s">
        <v>56</v>
      </c>
      <c r="J16" s="27" t="s">
        <v>19</v>
      </c>
      <c r="K16" s="29">
        <v>7637.0</v>
      </c>
      <c r="L16" s="25" t="s">
        <v>841</v>
      </c>
      <c r="M16" s="27" t="s">
        <v>101</v>
      </c>
      <c r="N16" s="34"/>
      <c r="O16" s="32"/>
      <c r="P16" s="32"/>
      <c r="Q16" s="34"/>
    </row>
    <row r="17" ht="22.5" customHeight="1">
      <c r="B17" s="34"/>
      <c r="C17" s="137"/>
      <c r="D17" s="27" t="s">
        <v>53</v>
      </c>
      <c r="E17" s="137"/>
      <c r="F17" s="137"/>
      <c r="G17" s="28" t="s">
        <v>842</v>
      </c>
      <c r="H17" s="28" t="s">
        <v>843</v>
      </c>
      <c r="I17" s="25" t="s">
        <v>744</v>
      </c>
      <c r="J17" s="27" t="s">
        <v>24</v>
      </c>
      <c r="K17" s="29">
        <v>63700.0</v>
      </c>
      <c r="L17" s="25" t="s">
        <v>818</v>
      </c>
      <c r="M17" s="32"/>
      <c r="N17" s="25" t="s">
        <v>844</v>
      </c>
      <c r="O17" s="32"/>
      <c r="P17" s="32"/>
      <c r="Q17" s="34"/>
    </row>
    <row r="18" ht="22.5" customHeight="1">
      <c r="B18" s="34"/>
      <c r="C18" s="137"/>
      <c r="D18" s="27" t="s">
        <v>53</v>
      </c>
      <c r="E18" s="137"/>
      <c r="F18" s="137"/>
      <c r="G18" s="28" t="s">
        <v>845</v>
      </c>
      <c r="H18" s="28" t="s">
        <v>846</v>
      </c>
      <c r="I18" s="25" t="s">
        <v>56</v>
      </c>
      <c r="J18" s="27" t="s">
        <v>19</v>
      </c>
      <c r="K18" s="29">
        <v>61000.0</v>
      </c>
      <c r="L18" s="25" t="s">
        <v>818</v>
      </c>
      <c r="M18" s="32"/>
      <c r="N18" s="34"/>
      <c r="O18" s="32"/>
      <c r="P18" s="32"/>
      <c r="Q18" s="34"/>
    </row>
    <row r="19" ht="22.5" customHeight="1">
      <c r="B19" s="34"/>
      <c r="C19" s="137"/>
      <c r="D19" s="27" t="s">
        <v>53</v>
      </c>
      <c r="E19" s="137"/>
      <c r="F19" s="25"/>
      <c r="G19" s="28"/>
      <c r="H19" s="28" t="s">
        <v>847</v>
      </c>
      <c r="I19" s="25" t="s">
        <v>56</v>
      </c>
      <c r="J19" s="27" t="s">
        <v>27</v>
      </c>
      <c r="K19" s="29">
        <v>0.0</v>
      </c>
      <c r="L19" s="25" t="s">
        <v>818</v>
      </c>
      <c r="M19" s="32"/>
      <c r="N19" s="34"/>
      <c r="O19" s="32"/>
      <c r="P19" s="32"/>
      <c r="Q19" s="34"/>
    </row>
    <row r="20" ht="22.5" customHeight="1">
      <c r="B20" s="34"/>
      <c r="C20" s="137"/>
      <c r="D20" s="27" t="s">
        <v>53</v>
      </c>
      <c r="E20" s="137"/>
      <c r="F20" s="137"/>
      <c r="G20" s="28" t="s">
        <v>848</v>
      </c>
      <c r="H20" s="28" t="s">
        <v>849</v>
      </c>
      <c r="I20" s="25" t="s">
        <v>193</v>
      </c>
      <c r="J20" s="27" t="s">
        <v>27</v>
      </c>
      <c r="K20" s="29">
        <v>30000.0</v>
      </c>
      <c r="L20" s="25" t="s">
        <v>818</v>
      </c>
      <c r="M20" s="32"/>
      <c r="N20" s="25" t="s">
        <v>850</v>
      </c>
      <c r="O20" s="32"/>
      <c r="P20" s="32"/>
      <c r="Q20" s="34"/>
    </row>
    <row r="21" ht="22.5" customHeight="1">
      <c r="B21" s="34"/>
      <c r="C21" s="26"/>
      <c r="D21" s="27" t="s">
        <v>53</v>
      </c>
      <c r="E21" s="137"/>
      <c r="F21" s="137"/>
      <c r="G21" s="28" t="s">
        <v>851</v>
      </c>
      <c r="H21" s="28" t="s">
        <v>852</v>
      </c>
      <c r="I21" s="25" t="s">
        <v>56</v>
      </c>
      <c r="J21" s="27" t="s">
        <v>19</v>
      </c>
      <c r="K21" s="29">
        <v>83000.0</v>
      </c>
      <c r="L21" s="25" t="s">
        <v>818</v>
      </c>
      <c r="M21" s="32"/>
      <c r="N21" s="34"/>
      <c r="O21" s="32"/>
      <c r="P21" s="32"/>
      <c r="Q21" s="34"/>
    </row>
    <row r="22" ht="22.5" customHeight="1">
      <c r="B22" s="34"/>
      <c r="C22" s="137"/>
      <c r="D22" s="27"/>
      <c r="E22" s="137"/>
      <c r="F22" s="137"/>
      <c r="G22" s="28"/>
      <c r="H22" s="28"/>
      <c r="I22" s="25"/>
      <c r="J22" s="27"/>
      <c r="K22" s="29"/>
      <c r="L22" s="25"/>
      <c r="M22" s="32"/>
      <c r="N22" s="34"/>
      <c r="O22" s="32"/>
      <c r="P22" s="32"/>
      <c r="Q22" s="34"/>
    </row>
    <row r="23" ht="22.5" customHeight="1">
      <c r="B23" s="34"/>
      <c r="C23" s="26"/>
      <c r="D23" s="27"/>
      <c r="E23" s="137"/>
      <c r="F23" s="25"/>
      <c r="G23" s="28"/>
      <c r="H23" s="28"/>
      <c r="I23" s="25"/>
      <c r="J23" s="27"/>
      <c r="K23" s="29"/>
      <c r="L23" s="25"/>
      <c r="M23" s="32"/>
      <c r="N23" s="34"/>
      <c r="O23" s="32"/>
      <c r="P23" s="32"/>
      <c r="Q23" s="34"/>
    </row>
    <row r="24" ht="22.5" customHeight="1">
      <c r="B24" s="34"/>
      <c r="C24" s="26"/>
      <c r="D24" s="27"/>
      <c r="E24" s="137"/>
      <c r="F24" s="25"/>
      <c r="G24" s="28"/>
      <c r="H24" s="28"/>
      <c r="I24" s="25"/>
      <c r="J24" s="27"/>
      <c r="K24" s="29"/>
      <c r="L24" s="25"/>
      <c r="M24" s="32"/>
      <c r="N24" s="34"/>
      <c r="O24" s="32"/>
      <c r="P24" s="32"/>
      <c r="Q24" s="34"/>
    </row>
    <row r="25" ht="22.5" customHeight="1">
      <c r="B25" s="34"/>
      <c r="C25" s="137"/>
      <c r="D25" s="27"/>
      <c r="E25" s="137"/>
      <c r="F25" s="137"/>
      <c r="G25" s="28"/>
      <c r="H25" s="28"/>
      <c r="I25" s="25"/>
      <c r="J25" s="27"/>
      <c r="K25" s="29"/>
      <c r="L25" s="25"/>
      <c r="M25" s="32"/>
      <c r="N25" s="34"/>
      <c r="O25" s="32"/>
      <c r="P25" s="32"/>
      <c r="Q25" s="34"/>
    </row>
    <row r="26" ht="22.5" customHeight="1">
      <c r="B26" s="34"/>
      <c r="C26" s="137"/>
      <c r="D26" s="27"/>
      <c r="E26" s="137"/>
      <c r="F26" s="137"/>
      <c r="G26" s="28"/>
      <c r="H26" s="28"/>
      <c r="I26" s="25"/>
      <c r="J26" s="27"/>
      <c r="K26" s="29"/>
      <c r="L26" s="25"/>
      <c r="M26" s="32"/>
      <c r="N26" s="34"/>
      <c r="O26" s="32"/>
      <c r="P26" s="32"/>
      <c r="Q26" s="34"/>
    </row>
    <row r="27" ht="22.5" customHeight="1">
      <c r="B27" s="34"/>
      <c r="C27" s="137"/>
      <c r="D27" s="27"/>
      <c r="E27" s="137"/>
      <c r="F27" s="137"/>
      <c r="G27" s="28"/>
      <c r="H27" s="28"/>
      <c r="I27" s="25"/>
      <c r="J27" s="27"/>
      <c r="K27" s="29"/>
      <c r="L27" s="25"/>
      <c r="M27" s="32"/>
      <c r="N27" s="34"/>
      <c r="O27" s="32"/>
      <c r="P27" s="32"/>
      <c r="Q27" s="34"/>
    </row>
    <row r="28" ht="22.5" customHeight="1">
      <c r="B28" s="34"/>
      <c r="C28" s="137"/>
      <c r="D28" s="27"/>
      <c r="E28" s="137"/>
      <c r="F28" s="137"/>
      <c r="G28" s="28"/>
      <c r="H28" s="28"/>
      <c r="I28" s="25"/>
      <c r="J28" s="27"/>
      <c r="K28" s="29"/>
      <c r="L28" s="25"/>
      <c r="M28" s="32"/>
      <c r="N28" s="34"/>
      <c r="O28" s="32"/>
      <c r="P28" s="32"/>
      <c r="Q28" s="34"/>
    </row>
    <row r="29" ht="22.5" customHeight="1">
      <c r="B29" s="34"/>
      <c r="C29" s="137"/>
      <c r="D29" s="27"/>
      <c r="E29" s="137"/>
      <c r="F29" s="137"/>
      <c r="G29" s="28"/>
      <c r="H29" s="28"/>
      <c r="I29" s="25"/>
      <c r="J29" s="27"/>
      <c r="K29" s="29"/>
      <c r="L29" s="25"/>
      <c r="M29" s="32"/>
      <c r="N29" s="34"/>
      <c r="O29" s="32"/>
      <c r="P29" s="32"/>
      <c r="Q29" s="34"/>
    </row>
    <row r="30" ht="22.5" customHeight="1">
      <c r="B30" s="34"/>
      <c r="C30" s="137"/>
      <c r="D30" s="44"/>
      <c r="E30" s="137"/>
      <c r="F30" s="137"/>
      <c r="G30" s="176"/>
      <c r="H30" s="176"/>
      <c r="I30" s="34"/>
      <c r="J30" s="32"/>
      <c r="K30" s="177"/>
      <c r="L30" s="34"/>
      <c r="M30" s="32"/>
      <c r="N30" s="34"/>
      <c r="O30" s="32"/>
      <c r="P30" s="32"/>
      <c r="Q30" s="34"/>
    </row>
    <row r="31" ht="22.5" customHeight="1">
      <c r="B31" s="34"/>
      <c r="C31" s="137"/>
      <c r="D31" s="44"/>
      <c r="E31" s="137"/>
      <c r="F31" s="137"/>
      <c r="G31" s="176"/>
      <c r="H31" s="176"/>
      <c r="I31" s="34"/>
      <c r="J31" s="32"/>
      <c r="K31" s="177"/>
      <c r="L31" s="34"/>
      <c r="M31" s="32"/>
      <c r="N31" s="34"/>
      <c r="O31" s="32"/>
      <c r="P31" s="32"/>
      <c r="Q31" s="34"/>
    </row>
    <row r="32" ht="22.5" customHeight="1">
      <c r="B32" s="34"/>
      <c r="C32" s="137"/>
      <c r="D32" s="44"/>
      <c r="E32" s="137"/>
      <c r="F32" s="137"/>
      <c r="G32" s="176"/>
      <c r="H32" s="176"/>
      <c r="I32" s="34"/>
      <c r="J32" s="32"/>
      <c r="K32" s="177"/>
      <c r="L32" s="34"/>
      <c r="M32" s="32"/>
      <c r="N32" s="34"/>
      <c r="O32" s="32"/>
      <c r="P32" s="32"/>
      <c r="Q32" s="34"/>
    </row>
    <row r="33" ht="22.5" customHeight="1">
      <c r="B33" s="34"/>
      <c r="C33" s="137"/>
      <c r="D33" s="44"/>
      <c r="E33" s="137"/>
      <c r="F33" s="137"/>
      <c r="G33" s="176"/>
      <c r="H33" s="176"/>
      <c r="I33" s="34"/>
      <c r="J33" s="32"/>
      <c r="K33" s="177"/>
      <c r="L33" s="34"/>
      <c r="M33" s="32"/>
      <c r="N33" s="34"/>
      <c r="O33" s="32"/>
      <c r="P33" s="32"/>
      <c r="Q33" s="34"/>
    </row>
    <row r="34" ht="22.5" customHeight="1">
      <c r="B34" s="34"/>
      <c r="C34" s="137"/>
      <c r="D34" s="44"/>
      <c r="E34" s="137"/>
      <c r="F34" s="137"/>
      <c r="G34" s="176"/>
      <c r="H34" s="176"/>
      <c r="I34" s="34"/>
      <c r="J34" s="32"/>
      <c r="K34" s="177"/>
      <c r="L34" s="34"/>
      <c r="M34" s="32"/>
      <c r="N34" s="34"/>
      <c r="O34" s="32"/>
      <c r="P34" s="32"/>
      <c r="Q34" s="34"/>
    </row>
    <row r="35" ht="22.5" customHeight="1">
      <c r="B35" s="34"/>
      <c r="C35" s="137"/>
      <c r="D35" s="44"/>
      <c r="E35" s="137"/>
      <c r="F35" s="137"/>
      <c r="G35" s="176"/>
      <c r="H35" s="176"/>
      <c r="I35" s="34"/>
      <c r="J35" s="32"/>
      <c r="K35" s="177"/>
      <c r="L35" s="34"/>
      <c r="M35" s="32"/>
      <c r="N35" s="34"/>
      <c r="O35" s="32"/>
      <c r="P35" s="32"/>
      <c r="Q35" s="34"/>
    </row>
    <row r="36" ht="22.5" customHeight="1">
      <c r="B36" s="34"/>
      <c r="C36" s="137"/>
      <c r="D36" s="44"/>
      <c r="E36" s="137"/>
      <c r="F36" s="137"/>
      <c r="G36" s="176"/>
      <c r="H36" s="176"/>
      <c r="I36" s="34"/>
      <c r="J36" s="32"/>
      <c r="K36" s="177"/>
      <c r="L36" s="34"/>
      <c r="M36" s="32"/>
      <c r="N36" s="34"/>
      <c r="O36" s="32"/>
      <c r="P36" s="32"/>
      <c r="Q36" s="34"/>
    </row>
    <row r="37" ht="22.5" customHeight="1">
      <c r="B37" s="34"/>
      <c r="C37" s="137"/>
      <c r="D37" s="44"/>
      <c r="E37" s="137"/>
      <c r="F37" s="137"/>
      <c r="G37" s="176"/>
      <c r="H37" s="176"/>
      <c r="I37" s="34"/>
      <c r="J37" s="32"/>
      <c r="K37" s="177"/>
      <c r="L37" s="34"/>
      <c r="M37" s="32"/>
      <c r="N37" s="34"/>
      <c r="O37" s="32"/>
      <c r="P37" s="32"/>
      <c r="Q37" s="34"/>
    </row>
    <row r="38" ht="22.5" customHeight="1">
      <c r="B38" s="34"/>
      <c r="C38" s="137"/>
      <c r="D38" s="44"/>
      <c r="E38" s="137"/>
      <c r="F38" s="137"/>
      <c r="G38" s="176"/>
      <c r="H38" s="176"/>
      <c r="I38" s="34"/>
      <c r="J38" s="32"/>
      <c r="K38" s="177"/>
      <c r="L38" s="34"/>
      <c r="M38" s="32"/>
      <c r="N38" s="34"/>
      <c r="O38" s="32"/>
      <c r="P38" s="32"/>
      <c r="Q38" s="34"/>
    </row>
    <row r="39" ht="22.5" customHeight="1">
      <c r="B39" s="34"/>
      <c r="C39" s="137"/>
      <c r="D39" s="44"/>
      <c r="E39" s="137"/>
      <c r="F39" s="137"/>
      <c r="G39" s="176"/>
      <c r="H39" s="176"/>
      <c r="I39" s="34"/>
      <c r="J39" s="32"/>
      <c r="K39" s="177"/>
      <c r="L39" s="34"/>
      <c r="M39" s="32"/>
      <c r="N39" s="34"/>
      <c r="O39" s="32"/>
      <c r="P39" s="32"/>
      <c r="Q39" s="34"/>
    </row>
    <row r="40" ht="22.5" customHeight="1">
      <c r="B40" s="34"/>
      <c r="C40" s="137"/>
      <c r="D40" s="44"/>
      <c r="E40" s="137"/>
      <c r="F40" s="137"/>
      <c r="G40" s="176"/>
      <c r="H40" s="176"/>
      <c r="I40" s="34"/>
      <c r="J40" s="32"/>
      <c r="K40" s="177"/>
      <c r="L40" s="34"/>
      <c r="M40" s="32"/>
      <c r="N40" s="34"/>
      <c r="O40" s="32"/>
      <c r="P40" s="32"/>
      <c r="Q40" s="34"/>
    </row>
    <row r="41" ht="22.5" customHeight="1">
      <c r="B41" s="34"/>
      <c r="C41" s="137"/>
      <c r="D41" s="44"/>
      <c r="E41" s="137"/>
      <c r="F41" s="137"/>
      <c r="G41" s="176"/>
      <c r="H41" s="176"/>
      <c r="I41" s="34"/>
      <c r="J41" s="32"/>
      <c r="K41" s="177"/>
      <c r="L41" s="34"/>
      <c r="M41" s="32"/>
      <c r="N41" s="34"/>
      <c r="O41" s="32"/>
      <c r="P41" s="32"/>
      <c r="Q41" s="34"/>
    </row>
    <row r="42" ht="22.5" customHeight="1">
      <c r="B42" s="34"/>
      <c r="C42" s="137"/>
      <c r="D42" s="44"/>
      <c r="E42" s="137"/>
      <c r="F42" s="137"/>
      <c r="G42" s="176"/>
      <c r="H42" s="176"/>
      <c r="I42" s="34"/>
      <c r="J42" s="32"/>
      <c r="K42" s="177"/>
      <c r="L42" s="34"/>
      <c r="M42" s="32"/>
      <c r="N42" s="34"/>
      <c r="O42" s="32"/>
      <c r="P42" s="32"/>
      <c r="Q42" s="34"/>
    </row>
    <row r="43" ht="22.5" customHeight="1">
      <c r="B43" s="34"/>
      <c r="C43" s="137"/>
      <c r="D43" s="44"/>
      <c r="E43" s="137"/>
      <c r="F43" s="137"/>
      <c r="G43" s="176"/>
      <c r="H43" s="176"/>
      <c r="I43" s="34"/>
      <c r="J43" s="32"/>
      <c r="K43" s="177"/>
      <c r="L43" s="34"/>
      <c r="M43" s="32"/>
      <c r="N43" s="34"/>
      <c r="O43" s="32"/>
      <c r="P43" s="32"/>
      <c r="Q43" s="34"/>
    </row>
    <row r="44" ht="22.5" customHeight="1">
      <c r="B44" s="34"/>
      <c r="C44" s="137"/>
      <c r="D44" s="44"/>
      <c r="E44" s="137"/>
      <c r="F44" s="137"/>
      <c r="G44" s="176"/>
      <c r="H44" s="176"/>
      <c r="I44" s="34"/>
      <c r="J44" s="32"/>
      <c r="K44" s="177"/>
      <c r="L44" s="34"/>
      <c r="M44" s="32"/>
      <c r="N44" s="34"/>
      <c r="O44" s="32"/>
      <c r="P44" s="32"/>
      <c r="Q44" s="34"/>
    </row>
    <row r="45" ht="22.5" customHeight="1">
      <c r="B45" s="34"/>
      <c r="C45" s="137"/>
      <c r="D45" s="44"/>
      <c r="E45" s="137"/>
      <c r="F45" s="137"/>
      <c r="G45" s="176"/>
      <c r="H45" s="176"/>
      <c r="I45" s="34"/>
      <c r="J45" s="32"/>
      <c r="K45" s="177"/>
      <c r="L45" s="34"/>
      <c r="M45" s="32"/>
      <c r="N45" s="34"/>
      <c r="O45" s="32"/>
      <c r="P45" s="32"/>
      <c r="Q45" s="34"/>
    </row>
    <row r="46" ht="22.5" customHeight="1">
      <c r="B46" s="34"/>
      <c r="C46" s="137"/>
      <c r="D46" s="44"/>
      <c r="E46" s="137"/>
      <c r="F46" s="137"/>
      <c r="G46" s="176"/>
      <c r="H46" s="176"/>
      <c r="I46" s="34"/>
      <c r="J46" s="32"/>
      <c r="K46" s="177"/>
      <c r="L46" s="34"/>
      <c r="M46" s="32"/>
      <c r="N46" s="34"/>
      <c r="O46" s="32"/>
      <c r="P46" s="32"/>
      <c r="Q46" s="34"/>
    </row>
    <row r="47" ht="22.5" customHeight="1">
      <c r="B47" s="34"/>
      <c r="C47" s="137"/>
      <c r="D47" s="44"/>
      <c r="E47" s="137"/>
      <c r="F47" s="137"/>
      <c r="G47" s="176"/>
      <c r="H47" s="176"/>
      <c r="I47" s="34"/>
      <c r="J47" s="32"/>
      <c r="K47" s="177"/>
      <c r="L47" s="34"/>
      <c r="M47" s="32"/>
      <c r="N47" s="34"/>
      <c r="O47" s="32"/>
      <c r="P47" s="32"/>
      <c r="Q47" s="34"/>
    </row>
    <row r="48" ht="22.5" customHeight="1">
      <c r="B48" s="34"/>
      <c r="C48" s="137"/>
      <c r="D48" s="44"/>
      <c r="E48" s="137"/>
      <c r="F48" s="137"/>
      <c r="G48" s="176"/>
      <c r="H48" s="176"/>
      <c r="I48" s="34"/>
      <c r="J48" s="32"/>
      <c r="K48" s="177"/>
      <c r="L48" s="34"/>
      <c r="M48" s="32"/>
      <c r="N48" s="34"/>
      <c r="O48" s="32"/>
      <c r="P48" s="32"/>
      <c r="Q48" s="34"/>
    </row>
    <row r="49" ht="22.5" customHeight="1">
      <c r="B49" s="34"/>
      <c r="C49" s="137"/>
      <c r="D49" s="44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32"/>
      <c r="P49" s="32"/>
      <c r="Q49" s="34"/>
    </row>
    <row r="50" ht="22.5" customHeight="1">
      <c r="B50" s="34"/>
      <c r="C50" s="137"/>
      <c r="D50" s="44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32"/>
      <c r="P50" s="32"/>
      <c r="Q50" s="34"/>
    </row>
    <row r="51" ht="22.5" customHeight="1">
      <c r="B51" s="34"/>
      <c r="C51" s="137"/>
      <c r="D51" s="44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32"/>
      <c r="P51" s="32"/>
      <c r="Q51" s="34"/>
    </row>
    <row r="52" ht="22.5" customHeight="1">
      <c r="B52" s="34"/>
      <c r="C52" s="137"/>
      <c r="D52" s="44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16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1000000.0</v>
      </c>
      <c r="F4" s="15">
        <f>SUMIFS(OPI_8[MAF NETO],OPI_8[ESTADO],"Desembolsado")</f>
        <v>1078750</v>
      </c>
      <c r="G4" s="15">
        <f>F4-E4</f>
        <v>78750</v>
      </c>
      <c r="H4" s="16">
        <f>SUMIFS(OPI_8[MAF NETO],OPI_8[ESTADO],H$3)</f>
        <v>56800</v>
      </c>
      <c r="I4" s="16">
        <f>SUMIFS(OPI_8[MAF NETO],OPI_8[ESTADO],I$3)</f>
        <v>77250</v>
      </c>
      <c r="J4" s="16">
        <f>SUMIFS(OPI_8[MAF NETO],OPI_8[ESTADO],J$3)</f>
        <v>0</v>
      </c>
      <c r="K4" s="16">
        <f>SUMIFS(OPI_8[MAF NETO],OPI_8[ESTADO],K$3)</f>
        <v>52000</v>
      </c>
      <c r="L4" s="16">
        <f>SUMIFS(OPI_8[MAF NETO],OPI_8[ESTADO],L$3)</f>
        <v>88500</v>
      </c>
      <c r="M4" s="16">
        <f>SUMIFS(OPI_8[MAF NETO],OPI_8[ESTADO],M$3)</f>
        <v>0</v>
      </c>
      <c r="N4" s="16">
        <f>SUMIFS(OPI_8[MAF NETO],OPI_8[ESTADO],N$3)</f>
        <v>0</v>
      </c>
    </row>
    <row r="5" ht="26.25" customHeight="1">
      <c r="D5" s="17" t="s">
        <v>31</v>
      </c>
      <c r="E5" s="18" t="s">
        <v>32</v>
      </c>
      <c r="F5" s="19">
        <f>COUNTIFS(OPI_8[ESTADO],"Desembolsado")</f>
        <v>13</v>
      </c>
      <c r="G5" s="20">
        <f>IFERROR(F4/E4,"")</f>
        <v>1.07875</v>
      </c>
      <c r="H5" s="19">
        <f>COUNTIFS(OPI_8[ESTADO],H$3)</f>
        <v>1</v>
      </c>
      <c r="I5" s="19">
        <f>COUNTIFS(OPI_8[ESTADO],I$3)</f>
        <v>1</v>
      </c>
      <c r="J5" s="19">
        <f>COUNTIFS(OPI_8[ESTADO],J$3)</f>
        <v>0</v>
      </c>
      <c r="K5" s="19">
        <f>COUNTIFS(OPI_8[ESTADO],K$3)</f>
        <v>1</v>
      </c>
      <c r="L5" s="19">
        <f>COUNTIFS(OPI_8[ESTADO],L$3)</f>
        <v>1</v>
      </c>
      <c r="M5" s="19">
        <f>COUNTIFS(OPI_8[ESTADO],M$3)</f>
        <v>0</v>
      </c>
      <c r="N5" s="19">
        <f>COUNTIFS(OPI_8[ESTADO],N$3)</f>
        <v>4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16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5" t="s">
        <v>129</v>
      </c>
      <c r="C10" s="26">
        <v>46241.0</v>
      </c>
      <c r="D10" s="27" t="s">
        <v>53</v>
      </c>
      <c r="E10" s="26"/>
      <c r="F10" s="26"/>
      <c r="G10" s="28" t="s">
        <v>853</v>
      </c>
      <c r="H10" s="28" t="s">
        <v>854</v>
      </c>
      <c r="I10" s="28" t="s">
        <v>697</v>
      </c>
      <c r="J10" s="27" t="s">
        <v>27</v>
      </c>
      <c r="K10" s="29">
        <v>0.0</v>
      </c>
      <c r="L10" s="25" t="s">
        <v>855</v>
      </c>
      <c r="M10" s="32"/>
      <c r="N10" s="34"/>
      <c r="O10" s="32"/>
      <c r="P10" s="32"/>
      <c r="Q10" s="34"/>
    </row>
    <row r="11" ht="22.5" customHeight="1">
      <c r="B11" s="25" t="s">
        <v>131</v>
      </c>
      <c r="C11" s="26">
        <v>46238.0</v>
      </c>
      <c r="D11" s="27" t="s">
        <v>53</v>
      </c>
      <c r="E11" s="25"/>
      <c r="F11" s="137"/>
      <c r="G11" s="28" t="s">
        <v>856</v>
      </c>
      <c r="H11" s="28" t="s">
        <v>857</v>
      </c>
      <c r="I11" s="28" t="s">
        <v>73</v>
      </c>
      <c r="J11" s="27" t="s">
        <v>19</v>
      </c>
      <c r="K11" s="29">
        <v>72250.0</v>
      </c>
      <c r="L11" s="25" t="s">
        <v>858</v>
      </c>
      <c r="M11" s="32"/>
      <c r="N11" s="34"/>
      <c r="O11" s="32"/>
      <c r="P11" s="32"/>
      <c r="Q11" s="34"/>
    </row>
    <row r="12" ht="22.5" customHeight="1">
      <c r="B12" s="25" t="s">
        <v>51</v>
      </c>
      <c r="C12" s="26"/>
      <c r="D12" s="27" t="s">
        <v>53</v>
      </c>
      <c r="E12" s="137"/>
      <c r="F12" s="137"/>
      <c r="G12" s="28" t="s">
        <v>859</v>
      </c>
      <c r="H12" s="28" t="s">
        <v>860</v>
      </c>
      <c r="I12" s="28" t="s">
        <v>861</v>
      </c>
      <c r="J12" s="27" t="s">
        <v>19</v>
      </c>
      <c r="K12" s="29">
        <v>50000.0</v>
      </c>
      <c r="L12" s="25" t="s">
        <v>862</v>
      </c>
      <c r="M12" s="32"/>
      <c r="N12" s="34"/>
      <c r="O12" s="32"/>
      <c r="P12" s="32"/>
      <c r="Q12" s="34"/>
    </row>
    <row r="13" ht="22.5" customHeight="1">
      <c r="B13" s="25" t="s">
        <v>51</v>
      </c>
      <c r="C13" s="26">
        <v>46238.0</v>
      </c>
      <c r="D13" s="27" t="s">
        <v>53</v>
      </c>
      <c r="E13" s="137"/>
      <c r="F13" s="137"/>
      <c r="G13" s="28" t="s">
        <v>863</v>
      </c>
      <c r="H13" s="28" t="s">
        <v>864</v>
      </c>
      <c r="I13" s="28" t="s">
        <v>113</v>
      </c>
      <c r="J13" s="27" t="s">
        <v>19</v>
      </c>
      <c r="K13" s="29">
        <v>74000.0</v>
      </c>
      <c r="L13" s="25" t="s">
        <v>865</v>
      </c>
      <c r="M13" s="32"/>
      <c r="N13" s="34"/>
      <c r="O13" s="32"/>
      <c r="P13" s="32"/>
      <c r="Q13" s="34"/>
    </row>
    <row r="14" ht="22.5" customHeight="1">
      <c r="B14" s="25" t="s">
        <v>866</v>
      </c>
      <c r="C14" s="26">
        <v>46249.0</v>
      </c>
      <c r="D14" s="27" t="s">
        <v>53</v>
      </c>
      <c r="E14" s="137"/>
      <c r="F14" s="137"/>
      <c r="G14" s="28" t="s">
        <v>867</v>
      </c>
      <c r="H14" s="28" t="s">
        <v>868</v>
      </c>
      <c r="I14" s="28" t="s">
        <v>547</v>
      </c>
      <c r="J14" s="27" t="s">
        <v>19</v>
      </c>
      <c r="K14" s="29">
        <v>105300.0</v>
      </c>
      <c r="L14" s="25" t="s">
        <v>862</v>
      </c>
      <c r="M14" s="32"/>
      <c r="N14" s="34"/>
      <c r="O14" s="32"/>
      <c r="P14" s="32"/>
      <c r="Q14" s="34"/>
    </row>
    <row r="15" ht="22.5" customHeight="1">
      <c r="B15" s="25" t="s">
        <v>51</v>
      </c>
      <c r="C15" s="26">
        <v>46234.0</v>
      </c>
      <c r="D15" s="27" t="s">
        <v>53</v>
      </c>
      <c r="E15" s="137"/>
      <c r="F15" s="25" t="s">
        <v>629</v>
      </c>
      <c r="G15" s="28" t="s">
        <v>869</v>
      </c>
      <c r="H15" s="28" t="s">
        <v>870</v>
      </c>
      <c r="I15" s="28" t="s">
        <v>697</v>
      </c>
      <c r="J15" s="27" t="s">
        <v>19</v>
      </c>
      <c r="K15" s="29">
        <v>43310.0</v>
      </c>
      <c r="L15" s="25" t="s">
        <v>855</v>
      </c>
      <c r="M15" s="32"/>
      <c r="N15" s="34"/>
      <c r="O15" s="32"/>
      <c r="P15" s="32"/>
      <c r="Q15" s="34"/>
    </row>
    <row r="16" ht="22.5" customHeight="1">
      <c r="B16" s="25" t="s">
        <v>51</v>
      </c>
      <c r="C16" s="26">
        <v>46233.0</v>
      </c>
      <c r="D16" s="27" t="s">
        <v>53</v>
      </c>
      <c r="E16" s="137"/>
      <c r="F16" s="137"/>
      <c r="G16" s="28" t="s">
        <v>871</v>
      </c>
      <c r="H16" s="217" t="s">
        <v>872</v>
      </c>
      <c r="I16" s="28" t="s">
        <v>73</v>
      </c>
      <c r="J16" s="27" t="s">
        <v>19</v>
      </c>
      <c r="K16" s="218">
        <v>92890.0</v>
      </c>
      <c r="L16" s="25" t="s">
        <v>858</v>
      </c>
      <c r="M16" s="32"/>
      <c r="N16" s="34"/>
      <c r="O16" s="32"/>
      <c r="P16" s="32"/>
      <c r="Q16" s="34"/>
    </row>
    <row r="17" ht="22.5" customHeight="1">
      <c r="B17" s="25" t="s">
        <v>51</v>
      </c>
      <c r="C17" s="26">
        <v>46244.0</v>
      </c>
      <c r="D17" s="27" t="s">
        <v>53</v>
      </c>
      <c r="E17" s="137"/>
      <c r="F17" s="137"/>
      <c r="G17" s="28" t="s">
        <v>873</v>
      </c>
      <c r="H17" s="28" t="s">
        <v>874</v>
      </c>
      <c r="I17" s="28" t="s">
        <v>697</v>
      </c>
      <c r="J17" s="27" t="s">
        <v>27</v>
      </c>
      <c r="K17" s="29">
        <v>0.0</v>
      </c>
      <c r="L17" s="25" t="s">
        <v>858</v>
      </c>
      <c r="M17" s="32"/>
      <c r="N17" s="34"/>
      <c r="O17" s="32"/>
      <c r="P17" s="32"/>
      <c r="Q17" s="34"/>
    </row>
    <row r="18" ht="22.5" customHeight="1">
      <c r="B18" s="25" t="s">
        <v>175</v>
      </c>
      <c r="C18" s="26">
        <v>46246.0</v>
      </c>
      <c r="D18" s="27" t="s">
        <v>53</v>
      </c>
      <c r="E18" s="25" t="s">
        <v>629</v>
      </c>
      <c r="F18" s="137"/>
      <c r="G18" s="217" t="s">
        <v>875</v>
      </c>
      <c r="H18" s="217" t="s">
        <v>876</v>
      </c>
      <c r="I18" s="25" t="s">
        <v>73</v>
      </c>
      <c r="J18" s="179" t="s">
        <v>19</v>
      </c>
      <c r="K18" s="29">
        <v>17000.0</v>
      </c>
      <c r="L18" s="25" t="s">
        <v>858</v>
      </c>
      <c r="M18" s="32"/>
      <c r="N18" s="34"/>
      <c r="O18" s="32"/>
      <c r="P18" s="32"/>
      <c r="Q18" s="34"/>
    </row>
    <row r="19" ht="22.5" customHeight="1">
      <c r="B19" s="25" t="s">
        <v>131</v>
      </c>
      <c r="C19" s="26">
        <v>46246.0</v>
      </c>
      <c r="D19" s="27" t="s">
        <v>53</v>
      </c>
      <c r="E19" s="25" t="s">
        <v>738</v>
      </c>
      <c r="F19" s="137"/>
      <c r="G19" s="28" t="s">
        <v>877</v>
      </c>
      <c r="H19" s="28" t="s">
        <v>878</v>
      </c>
      <c r="I19" s="25" t="s">
        <v>73</v>
      </c>
      <c r="J19" s="27" t="s">
        <v>19</v>
      </c>
      <c r="K19" s="29">
        <v>53000.0</v>
      </c>
      <c r="L19" s="25" t="s">
        <v>858</v>
      </c>
      <c r="M19" s="32"/>
      <c r="N19" s="34"/>
      <c r="O19" s="32"/>
      <c r="P19" s="32"/>
      <c r="Q19" s="34"/>
    </row>
    <row r="20" ht="22.5" customHeight="1">
      <c r="B20" s="25" t="s">
        <v>428</v>
      </c>
      <c r="C20" s="26">
        <v>46245.0</v>
      </c>
      <c r="D20" s="27" t="s">
        <v>53</v>
      </c>
      <c r="E20" s="137"/>
      <c r="F20" s="137"/>
      <c r="G20" s="28" t="s">
        <v>881</v>
      </c>
      <c r="H20" s="28" t="s">
        <v>882</v>
      </c>
      <c r="I20" s="25" t="s">
        <v>547</v>
      </c>
      <c r="J20" s="27" t="s">
        <v>19</v>
      </c>
      <c r="K20" s="29">
        <v>108000.0</v>
      </c>
      <c r="L20" s="25" t="s">
        <v>862</v>
      </c>
      <c r="M20" s="32"/>
      <c r="N20" s="34"/>
      <c r="O20" s="32"/>
      <c r="P20" s="32"/>
      <c r="Q20" s="34"/>
    </row>
    <row r="21" ht="22.5" customHeight="1">
      <c r="B21" s="25" t="s">
        <v>129</v>
      </c>
      <c r="C21" s="26">
        <v>46265.0</v>
      </c>
      <c r="D21" s="27" t="s">
        <v>149</v>
      </c>
      <c r="E21" s="25"/>
      <c r="F21" s="25" t="s">
        <v>884</v>
      </c>
      <c r="G21" s="28" t="s">
        <v>885</v>
      </c>
      <c r="H21" s="28" t="s">
        <v>886</v>
      </c>
      <c r="I21" s="25" t="s">
        <v>547</v>
      </c>
      <c r="J21" s="27" t="s">
        <v>24</v>
      </c>
      <c r="K21" s="29">
        <v>52000.0</v>
      </c>
      <c r="L21" s="25" t="s">
        <v>862</v>
      </c>
      <c r="M21" s="32"/>
      <c r="N21" s="34"/>
      <c r="O21" s="32"/>
      <c r="P21" s="32"/>
      <c r="Q21" s="34"/>
    </row>
    <row r="22" ht="22.5" customHeight="1">
      <c r="B22" s="25" t="s">
        <v>51</v>
      </c>
      <c r="C22" s="26">
        <v>46246.0</v>
      </c>
      <c r="D22" s="27" t="s">
        <v>53</v>
      </c>
      <c r="E22" s="137"/>
      <c r="F22" s="137"/>
      <c r="G22" s="28" t="s">
        <v>890</v>
      </c>
      <c r="H22" s="28" t="s">
        <v>891</v>
      </c>
      <c r="I22" s="25" t="s">
        <v>56</v>
      </c>
      <c r="J22" s="27" t="s">
        <v>19</v>
      </c>
      <c r="K22" s="29">
        <v>69400.0</v>
      </c>
      <c r="L22" s="25" t="s">
        <v>865</v>
      </c>
      <c r="M22" s="32"/>
      <c r="N22" s="34"/>
      <c r="O22" s="32"/>
      <c r="P22" s="32"/>
      <c r="Q22" s="34"/>
    </row>
    <row r="23" ht="22.5" customHeight="1">
      <c r="B23" s="25" t="s">
        <v>51</v>
      </c>
      <c r="C23" s="26">
        <v>46247.0</v>
      </c>
      <c r="D23" s="27" t="s">
        <v>53</v>
      </c>
      <c r="E23" s="137"/>
      <c r="F23" s="137"/>
      <c r="G23" s="28" t="s">
        <v>894</v>
      </c>
      <c r="H23" s="28" t="s">
        <v>895</v>
      </c>
      <c r="I23" s="25" t="s">
        <v>193</v>
      </c>
      <c r="J23" s="27" t="s">
        <v>27</v>
      </c>
      <c r="K23" s="29">
        <v>0.0</v>
      </c>
      <c r="L23" s="25" t="s">
        <v>865</v>
      </c>
      <c r="M23" s="32"/>
      <c r="N23" s="34"/>
      <c r="O23" s="32"/>
      <c r="P23" s="32"/>
      <c r="Q23" s="34"/>
    </row>
    <row r="24" ht="22.5" customHeight="1">
      <c r="B24" s="25" t="s">
        <v>51</v>
      </c>
      <c r="C24" s="26">
        <v>46248.0</v>
      </c>
      <c r="D24" s="27" t="s">
        <v>53</v>
      </c>
      <c r="E24" s="137"/>
      <c r="F24" s="137"/>
      <c r="G24" s="28" t="s">
        <v>899</v>
      </c>
      <c r="H24" s="28" t="s">
        <v>900</v>
      </c>
      <c r="I24" s="25" t="s">
        <v>547</v>
      </c>
      <c r="J24" s="27" t="s">
        <v>19</v>
      </c>
      <c r="K24" s="29">
        <v>262000.0</v>
      </c>
      <c r="L24" s="25" t="s">
        <v>901</v>
      </c>
      <c r="M24" s="32"/>
      <c r="N24" s="34"/>
      <c r="O24" s="32"/>
      <c r="P24" s="32"/>
      <c r="Q24" s="34"/>
    </row>
    <row r="25" ht="22.5" customHeight="1">
      <c r="B25" s="25" t="s">
        <v>51</v>
      </c>
      <c r="C25" s="26">
        <v>46253.0</v>
      </c>
      <c r="D25" s="27" t="s">
        <v>53</v>
      </c>
      <c r="E25" s="25"/>
      <c r="F25" s="137"/>
      <c r="G25" s="28" t="s">
        <v>904</v>
      </c>
      <c r="H25" s="28" t="s">
        <v>905</v>
      </c>
      <c r="I25" s="25" t="s">
        <v>73</v>
      </c>
      <c r="J25" s="27" t="s">
        <v>19</v>
      </c>
      <c r="K25" s="29">
        <v>110100.0</v>
      </c>
      <c r="L25" s="25" t="s">
        <v>855</v>
      </c>
      <c r="M25" s="32"/>
      <c r="N25" s="34"/>
      <c r="O25" s="32"/>
      <c r="P25" s="32"/>
      <c r="Q25" s="34"/>
    </row>
    <row r="26" ht="22.5" customHeight="1">
      <c r="B26" s="25" t="s">
        <v>51</v>
      </c>
      <c r="C26" s="26">
        <v>46259.0</v>
      </c>
      <c r="D26" s="27" t="s">
        <v>53</v>
      </c>
      <c r="E26" s="137"/>
      <c r="F26" s="137"/>
      <c r="G26" s="28" t="s">
        <v>907</v>
      </c>
      <c r="H26" s="28" t="s">
        <v>909</v>
      </c>
      <c r="I26" s="25" t="s">
        <v>193</v>
      </c>
      <c r="J26" s="27" t="s">
        <v>27</v>
      </c>
      <c r="K26" s="29">
        <v>0.0</v>
      </c>
      <c r="L26" s="25" t="s">
        <v>865</v>
      </c>
      <c r="M26" s="32"/>
      <c r="N26" s="34"/>
      <c r="O26" s="32"/>
      <c r="P26" s="32"/>
      <c r="Q26" s="34"/>
    </row>
    <row r="27" ht="22.5" customHeight="1">
      <c r="B27" s="25" t="s">
        <v>51</v>
      </c>
      <c r="C27" s="26">
        <v>46259.0</v>
      </c>
      <c r="D27" s="27" t="s">
        <v>53</v>
      </c>
      <c r="E27" s="25"/>
      <c r="F27" s="137"/>
      <c r="G27" s="28" t="s">
        <v>912</v>
      </c>
      <c r="H27" s="28" t="s">
        <v>913</v>
      </c>
      <c r="I27" s="25" t="s">
        <v>193</v>
      </c>
      <c r="J27" s="27" t="s">
        <v>19</v>
      </c>
      <c r="K27" s="29">
        <v>21500.0</v>
      </c>
      <c r="L27" s="25" t="s">
        <v>865</v>
      </c>
      <c r="M27" s="32"/>
      <c r="N27" s="34"/>
      <c r="O27" s="32"/>
      <c r="P27" s="32"/>
      <c r="Q27" s="34"/>
    </row>
    <row r="28" ht="22.5" customHeight="1">
      <c r="B28" s="25" t="s">
        <v>51</v>
      </c>
      <c r="C28" s="26">
        <v>46261.0</v>
      </c>
      <c r="D28" s="27" t="s">
        <v>53</v>
      </c>
      <c r="E28" s="25"/>
      <c r="F28" s="25" t="s">
        <v>916</v>
      </c>
      <c r="G28" s="28" t="s">
        <v>917</v>
      </c>
      <c r="H28" s="28" t="s">
        <v>918</v>
      </c>
      <c r="I28" s="25" t="s">
        <v>73</v>
      </c>
      <c r="J28" s="27" t="s">
        <v>919</v>
      </c>
      <c r="K28" s="29">
        <v>88500.0</v>
      </c>
      <c r="L28" s="25" t="s">
        <v>920</v>
      </c>
      <c r="M28" s="32"/>
      <c r="N28" s="34"/>
      <c r="O28" s="32"/>
      <c r="P28" s="32"/>
      <c r="Q28" s="34"/>
    </row>
    <row r="29" ht="22.5" customHeight="1">
      <c r="B29" s="25" t="s">
        <v>896</v>
      </c>
      <c r="C29" s="26">
        <v>46262.0</v>
      </c>
      <c r="D29" s="27" t="s">
        <v>53</v>
      </c>
      <c r="E29" s="137"/>
      <c r="F29" s="137"/>
      <c r="G29" s="28" t="s">
        <v>924</v>
      </c>
      <c r="H29" s="28" t="s">
        <v>925</v>
      </c>
      <c r="I29" s="25" t="s">
        <v>697</v>
      </c>
      <c r="J29" s="27" t="s">
        <v>21</v>
      </c>
      <c r="K29" s="29">
        <v>56800.0</v>
      </c>
      <c r="L29" s="25" t="s">
        <v>855</v>
      </c>
      <c r="M29" s="32"/>
      <c r="N29" s="34"/>
      <c r="O29" s="32"/>
      <c r="P29" s="32"/>
      <c r="Q29" s="34"/>
    </row>
    <row r="30" ht="22.5" customHeight="1">
      <c r="B30" s="25" t="s">
        <v>51</v>
      </c>
      <c r="C30" s="26">
        <v>46262.0</v>
      </c>
      <c r="D30" s="27" t="s">
        <v>149</v>
      </c>
      <c r="E30" s="137"/>
      <c r="F30" s="137"/>
      <c r="G30" s="28" t="s">
        <v>928</v>
      </c>
      <c r="H30" s="213" t="s">
        <v>929</v>
      </c>
      <c r="I30" s="25" t="s">
        <v>930</v>
      </c>
      <c r="J30" s="27" t="s">
        <v>22</v>
      </c>
      <c r="K30" s="29">
        <v>77250.0</v>
      </c>
      <c r="L30" s="25" t="s">
        <v>865</v>
      </c>
      <c r="M30" s="32"/>
      <c r="N30" s="34"/>
      <c r="O30" s="32"/>
      <c r="P30" s="32"/>
      <c r="Q30" s="34"/>
    </row>
    <row r="31" ht="22.5" customHeight="1">
      <c r="B31" s="34"/>
      <c r="C31" s="26"/>
      <c r="D31" s="27"/>
      <c r="E31" s="137"/>
      <c r="F31" s="137"/>
      <c r="G31" s="28"/>
      <c r="H31" s="28"/>
      <c r="I31" s="25"/>
      <c r="J31" s="27"/>
      <c r="K31" s="29"/>
      <c r="L31" s="25"/>
      <c r="M31" s="32"/>
      <c r="N31" s="34"/>
      <c r="O31" s="32"/>
      <c r="P31" s="32"/>
      <c r="Q31" s="34"/>
    </row>
    <row r="32" ht="22.5" customHeight="1">
      <c r="B32" s="34"/>
      <c r="C32" s="137"/>
      <c r="D32" s="44"/>
      <c r="E32" s="137"/>
      <c r="F32" s="137"/>
      <c r="G32" s="176"/>
      <c r="H32" s="176"/>
      <c r="I32" s="34"/>
      <c r="J32" s="32"/>
      <c r="K32" s="177"/>
      <c r="L32" s="34"/>
      <c r="M32" s="32"/>
      <c r="N32" s="34"/>
      <c r="O32" s="32"/>
      <c r="P32" s="32"/>
      <c r="Q32" s="34"/>
    </row>
    <row r="33" ht="22.5" customHeight="1">
      <c r="B33" s="34"/>
      <c r="C33" s="137"/>
      <c r="D33" s="44"/>
      <c r="E33" s="137"/>
      <c r="F33" s="137"/>
      <c r="G33" s="176"/>
      <c r="H33" s="176"/>
      <c r="I33" s="34"/>
      <c r="J33" s="32"/>
      <c r="K33" s="177"/>
      <c r="L33" s="34"/>
      <c r="M33" s="32"/>
      <c r="N33" s="34"/>
      <c r="O33" s="32"/>
      <c r="P33" s="32"/>
      <c r="Q33" s="34"/>
    </row>
    <row r="34" ht="22.5" customHeight="1">
      <c r="B34" s="34"/>
      <c r="C34" s="137"/>
      <c r="D34" s="44"/>
      <c r="E34" s="137"/>
      <c r="F34" s="137"/>
      <c r="G34" s="176"/>
      <c r="H34" s="176"/>
      <c r="I34" s="34"/>
      <c r="J34" s="32"/>
      <c r="K34" s="177"/>
      <c r="L34" s="34"/>
      <c r="M34" s="32"/>
      <c r="N34" s="34"/>
      <c r="O34" s="32"/>
      <c r="P34" s="32"/>
      <c r="Q34" s="34"/>
    </row>
    <row r="35" ht="22.5" customHeight="1">
      <c r="B35" s="34"/>
      <c r="C35" s="137"/>
      <c r="D35" s="44"/>
      <c r="E35" s="137"/>
      <c r="F35" s="137"/>
      <c r="G35" s="176"/>
      <c r="H35" s="176"/>
      <c r="I35" s="34"/>
      <c r="J35" s="32"/>
      <c r="K35" s="177"/>
      <c r="L35" s="34"/>
      <c r="M35" s="32"/>
      <c r="N35" s="34"/>
      <c r="O35" s="32"/>
      <c r="P35" s="32"/>
      <c r="Q35" s="34"/>
    </row>
    <row r="36" ht="22.5" customHeight="1">
      <c r="B36" s="34"/>
      <c r="C36" s="137"/>
      <c r="D36" s="44"/>
      <c r="E36" s="137"/>
      <c r="F36" s="137"/>
      <c r="G36" s="176"/>
      <c r="H36" s="176"/>
      <c r="I36" s="34"/>
      <c r="J36" s="32"/>
      <c r="K36" s="177"/>
      <c r="L36" s="34"/>
      <c r="M36" s="32"/>
      <c r="N36" s="34"/>
      <c r="O36" s="32"/>
      <c r="P36" s="32"/>
      <c r="Q36" s="34"/>
    </row>
    <row r="37" ht="22.5" customHeight="1">
      <c r="B37" s="34"/>
      <c r="C37" s="137"/>
      <c r="D37" s="44"/>
      <c r="E37" s="137"/>
      <c r="F37" s="137"/>
      <c r="G37" s="176"/>
      <c r="H37" s="176"/>
      <c r="I37" s="34"/>
      <c r="J37" s="32"/>
      <c r="K37" s="177"/>
      <c r="L37" s="34"/>
      <c r="M37" s="32"/>
      <c r="N37" s="34"/>
      <c r="O37" s="32"/>
      <c r="P37" s="32"/>
      <c r="Q37" s="34"/>
    </row>
    <row r="38" ht="22.5" customHeight="1">
      <c r="B38" s="34"/>
      <c r="C38" s="137"/>
      <c r="D38" s="44"/>
      <c r="E38" s="137"/>
      <c r="F38" s="137"/>
      <c r="G38" s="176"/>
      <c r="H38" s="176"/>
      <c r="I38" s="34"/>
      <c r="J38" s="32"/>
      <c r="K38" s="177"/>
      <c r="L38" s="34"/>
      <c r="M38" s="32"/>
      <c r="N38" s="34"/>
      <c r="O38" s="32"/>
      <c r="P38" s="32"/>
      <c r="Q38" s="34"/>
    </row>
    <row r="39" ht="22.5" customHeight="1">
      <c r="B39" s="34"/>
      <c r="C39" s="137"/>
      <c r="D39" s="44"/>
      <c r="E39" s="137"/>
      <c r="F39" s="137"/>
      <c r="G39" s="176"/>
      <c r="H39" s="176"/>
      <c r="I39" s="34"/>
      <c r="J39" s="32"/>
      <c r="K39" s="177"/>
      <c r="L39" s="34"/>
      <c r="M39" s="32"/>
      <c r="N39" s="34"/>
      <c r="O39" s="32"/>
      <c r="P39" s="32"/>
      <c r="Q39" s="34"/>
    </row>
    <row r="40" ht="22.5" customHeight="1">
      <c r="B40" s="34"/>
      <c r="C40" s="137"/>
      <c r="D40" s="44"/>
      <c r="E40" s="137"/>
      <c r="F40" s="137"/>
      <c r="G40" s="176"/>
      <c r="H40" s="176"/>
      <c r="I40" s="34"/>
      <c r="J40" s="32"/>
      <c r="K40" s="177"/>
      <c r="L40" s="34"/>
      <c r="M40" s="32"/>
      <c r="N40" s="34"/>
      <c r="O40" s="32"/>
      <c r="P40" s="32"/>
      <c r="Q40" s="34"/>
    </row>
    <row r="41" ht="22.5" customHeight="1">
      <c r="B41" s="34"/>
      <c r="C41" s="137"/>
      <c r="D41" s="44"/>
      <c r="E41" s="137"/>
      <c r="F41" s="137"/>
      <c r="G41" s="176"/>
      <c r="H41" s="176"/>
      <c r="I41" s="34"/>
      <c r="J41" s="32"/>
      <c r="K41" s="177"/>
      <c r="L41" s="34"/>
      <c r="M41" s="32"/>
      <c r="N41" s="34"/>
      <c r="O41" s="32"/>
      <c r="P41" s="32"/>
      <c r="Q41" s="34"/>
    </row>
    <row r="42" ht="22.5" customHeight="1">
      <c r="B42" s="34"/>
      <c r="C42" s="137"/>
      <c r="D42" s="44"/>
      <c r="E42" s="137"/>
      <c r="F42" s="137"/>
      <c r="G42" s="176"/>
      <c r="H42" s="176"/>
      <c r="I42" s="34"/>
      <c r="J42" s="32"/>
      <c r="K42" s="177"/>
      <c r="L42" s="34"/>
      <c r="M42" s="32"/>
      <c r="N42" s="34"/>
      <c r="O42" s="32"/>
      <c r="P42" s="32"/>
      <c r="Q42" s="34"/>
    </row>
    <row r="43" ht="22.5" customHeight="1">
      <c r="B43" s="34"/>
      <c r="C43" s="137"/>
      <c r="D43" s="44"/>
      <c r="E43" s="137"/>
      <c r="F43" s="137"/>
      <c r="G43" s="176"/>
      <c r="H43" s="176"/>
      <c r="I43" s="34"/>
      <c r="J43" s="32"/>
      <c r="K43" s="177"/>
      <c r="L43" s="34"/>
      <c r="M43" s="32"/>
      <c r="N43" s="34"/>
      <c r="O43" s="32"/>
      <c r="P43" s="32"/>
      <c r="Q43" s="34"/>
    </row>
    <row r="44" ht="22.5" customHeight="1">
      <c r="B44" s="34"/>
      <c r="C44" s="137"/>
      <c r="D44" s="44"/>
      <c r="E44" s="137"/>
      <c r="F44" s="137"/>
      <c r="G44" s="176"/>
      <c r="H44" s="176"/>
      <c r="I44" s="34"/>
      <c r="J44" s="32"/>
      <c r="K44" s="177"/>
      <c r="L44" s="34"/>
      <c r="M44" s="32"/>
      <c r="N44" s="34"/>
      <c r="O44" s="32"/>
      <c r="P44" s="32"/>
      <c r="Q44" s="34"/>
    </row>
    <row r="45" ht="22.5" customHeight="1">
      <c r="B45" s="34"/>
      <c r="C45" s="137"/>
      <c r="D45" s="44"/>
      <c r="E45" s="137"/>
      <c r="F45" s="137"/>
      <c r="G45" s="176"/>
      <c r="H45" s="176"/>
      <c r="I45" s="34"/>
      <c r="J45" s="32"/>
      <c r="K45" s="177"/>
      <c r="L45" s="34"/>
      <c r="M45" s="32"/>
      <c r="N45" s="34"/>
      <c r="O45" s="32"/>
      <c r="P45" s="32"/>
      <c r="Q45" s="34"/>
    </row>
    <row r="46" ht="22.5" customHeight="1">
      <c r="B46" s="34"/>
      <c r="C46" s="137"/>
      <c r="D46" s="44"/>
      <c r="E46" s="137"/>
      <c r="F46" s="137"/>
      <c r="G46" s="176"/>
      <c r="H46" s="176"/>
      <c r="I46" s="34"/>
      <c r="J46" s="32"/>
      <c r="K46" s="177"/>
      <c r="L46" s="34"/>
      <c r="M46" s="32"/>
      <c r="N46" s="34"/>
      <c r="O46" s="32"/>
      <c r="P46" s="32"/>
      <c r="Q46" s="34"/>
    </row>
    <row r="47" ht="22.5" customHeight="1">
      <c r="B47" s="34"/>
      <c r="C47" s="137"/>
      <c r="D47" s="44"/>
      <c r="E47" s="137"/>
      <c r="F47" s="137"/>
      <c r="G47" s="176"/>
      <c r="H47" s="176"/>
      <c r="I47" s="34"/>
      <c r="J47" s="32"/>
      <c r="K47" s="177"/>
      <c r="L47" s="34"/>
      <c r="M47" s="32"/>
      <c r="N47" s="34"/>
      <c r="O47" s="32"/>
      <c r="P47" s="32"/>
      <c r="Q47" s="34"/>
    </row>
    <row r="48" ht="22.5" customHeight="1">
      <c r="B48" s="34"/>
      <c r="C48" s="137"/>
      <c r="D48" s="44"/>
      <c r="E48" s="137"/>
      <c r="F48" s="137"/>
      <c r="G48" s="176"/>
      <c r="H48" s="176"/>
      <c r="I48" s="34"/>
      <c r="J48" s="32"/>
      <c r="K48" s="177"/>
      <c r="L48" s="34"/>
      <c r="M48" s="32"/>
      <c r="N48" s="34"/>
      <c r="O48" s="32"/>
      <c r="P48" s="32"/>
      <c r="Q48" s="34"/>
    </row>
    <row r="49" ht="22.5" customHeight="1">
      <c r="B49" s="34"/>
      <c r="C49" s="137"/>
      <c r="D49" s="44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32"/>
      <c r="P49" s="32"/>
      <c r="Q49" s="34"/>
    </row>
    <row r="50" ht="22.5" customHeight="1">
      <c r="B50" s="34"/>
      <c r="C50" s="137"/>
      <c r="D50" s="44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32"/>
      <c r="P50" s="32"/>
      <c r="Q50" s="34"/>
    </row>
    <row r="51" ht="22.5" customHeight="1">
      <c r="B51" s="34"/>
      <c r="C51" s="137"/>
      <c r="D51" s="44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32"/>
      <c r="P51" s="32"/>
      <c r="Q51" s="34"/>
    </row>
    <row r="52" ht="22.5" customHeight="1">
      <c r="B52" s="34"/>
      <c r="C52" s="137"/>
      <c r="D52" s="44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16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1000000.0</v>
      </c>
      <c r="F4" s="15">
        <f>SUMIFS(OPI_17[MAF NETO],OPI_17[ESTADO],"Desembolsado")</f>
        <v>575950</v>
      </c>
      <c r="G4" s="15">
        <f>F4-E4</f>
        <v>-424050</v>
      </c>
      <c r="H4" s="16">
        <f>SUMIFS(OPI_17[MAF NETO],OPI_17[ESTADO],H$3)</f>
        <v>0</v>
      </c>
      <c r="I4" s="16">
        <f>SUMIFS(OPI_17[MAF NETO],OPI_17[ESTADO],I$3)</f>
        <v>0</v>
      </c>
      <c r="J4" s="16">
        <f>SUMIFS(OPI_17[MAF NETO],OPI_17[ESTADO],J$3)</f>
        <v>0</v>
      </c>
      <c r="K4" s="16">
        <f>SUMIFS(OPI_17[MAF NETO],OPI_17[ESTADO],K$3)</f>
        <v>0</v>
      </c>
      <c r="L4" s="16">
        <f>SUMIFS(OPI_17[MAF NETO],OPI_17[ESTADO],L$3)</f>
        <v>0</v>
      </c>
      <c r="M4" s="16">
        <f>SUMIFS(OPI_17[MAF NETO],OPI_17[ESTADO],M$3)</f>
        <v>0</v>
      </c>
      <c r="N4" s="16">
        <f>SUMIFS(OPI_17[MAF NETO],OPI_17[ESTADO],N$3)</f>
        <v>163400</v>
      </c>
    </row>
    <row r="5" ht="26.25" customHeight="1">
      <c r="D5" s="17" t="s">
        <v>31</v>
      </c>
      <c r="E5" s="18" t="s">
        <v>32</v>
      </c>
      <c r="F5" s="19">
        <f>COUNTIFS(OPI_17[ESTADO],"Desembolsado")</f>
        <v>7</v>
      </c>
      <c r="G5" s="20">
        <f>IFERROR(F4/E4,"")</f>
        <v>0.57595</v>
      </c>
      <c r="H5" s="19">
        <f>COUNTIFS(OPI_17[ESTADO],H$3)</f>
        <v>0</v>
      </c>
      <c r="I5" s="19">
        <f>COUNTIFS(OPI_17[ESTADO],I$3)</f>
        <v>0</v>
      </c>
      <c r="J5" s="19">
        <f>COUNTIFS(OPI_17[ESTADO],J$3)</f>
        <v>0</v>
      </c>
      <c r="K5" s="19">
        <f>COUNTIFS(OPI_17[ESTADO],K$3)</f>
        <v>0</v>
      </c>
      <c r="L5" s="19">
        <f>COUNTIFS(OPI_17[ESTADO],L$3)</f>
        <v>0</v>
      </c>
      <c r="M5" s="19">
        <f>COUNTIFS(OPI_17[ESTADO],M$3)</f>
        <v>0</v>
      </c>
      <c r="N5" s="19">
        <f>COUNTIFS(OPI_17[ESTADO],N$3)</f>
        <v>4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5" t="s">
        <v>51</v>
      </c>
      <c r="C10" s="26">
        <v>46244.0</v>
      </c>
      <c r="D10" s="27" t="s">
        <v>53</v>
      </c>
      <c r="E10" s="26">
        <v>46241.0</v>
      </c>
      <c r="F10" s="26"/>
      <c r="G10" s="28" t="s">
        <v>879</v>
      </c>
      <c r="H10" s="28" t="s">
        <v>880</v>
      </c>
      <c r="I10" s="25" t="s">
        <v>193</v>
      </c>
      <c r="J10" s="27" t="s">
        <v>19</v>
      </c>
      <c r="K10" s="29">
        <v>62400.0</v>
      </c>
      <c r="L10" s="25" t="s">
        <v>883</v>
      </c>
      <c r="M10" s="27" t="s">
        <v>203</v>
      </c>
      <c r="N10" s="34"/>
      <c r="O10" s="27" t="s">
        <v>101</v>
      </c>
      <c r="P10" s="32"/>
      <c r="Q10" s="25"/>
    </row>
    <row r="11" ht="22.5" customHeight="1">
      <c r="B11" s="25" t="s">
        <v>51</v>
      </c>
      <c r="C11" s="26">
        <v>46244.0</v>
      </c>
      <c r="D11" s="27" t="s">
        <v>53</v>
      </c>
      <c r="E11" s="26">
        <v>46240.0</v>
      </c>
      <c r="F11" s="26">
        <v>46247.0</v>
      </c>
      <c r="G11" s="28" t="s">
        <v>887</v>
      </c>
      <c r="H11" s="28" t="s">
        <v>888</v>
      </c>
      <c r="I11" s="25" t="s">
        <v>56</v>
      </c>
      <c r="J11" s="27" t="s">
        <v>19</v>
      </c>
      <c r="K11" s="29">
        <v>72400.0</v>
      </c>
      <c r="L11" s="25" t="s">
        <v>889</v>
      </c>
      <c r="M11" s="27" t="s">
        <v>203</v>
      </c>
      <c r="N11" s="34"/>
      <c r="O11" s="27" t="s">
        <v>101</v>
      </c>
      <c r="P11" s="32"/>
      <c r="Q11" s="34"/>
    </row>
    <row r="12" ht="22.5" customHeight="1">
      <c r="B12" s="25" t="s">
        <v>175</v>
      </c>
      <c r="C12" s="26">
        <v>46244.0</v>
      </c>
      <c r="D12" s="27" t="s">
        <v>53</v>
      </c>
      <c r="E12" s="26">
        <v>46242.0</v>
      </c>
      <c r="F12" s="137"/>
      <c r="G12" s="28" t="s">
        <v>892</v>
      </c>
      <c r="H12" s="28" t="s">
        <v>893</v>
      </c>
      <c r="I12" s="25" t="s">
        <v>56</v>
      </c>
      <c r="J12" s="27" t="s">
        <v>19</v>
      </c>
      <c r="K12" s="29">
        <v>84550.0</v>
      </c>
      <c r="L12" s="25" t="s">
        <v>889</v>
      </c>
      <c r="M12" s="27" t="s">
        <v>203</v>
      </c>
      <c r="N12" s="34"/>
      <c r="O12" s="27" t="s">
        <v>101</v>
      </c>
      <c r="P12" s="32"/>
      <c r="Q12" s="34"/>
    </row>
    <row r="13" ht="22.5" customHeight="1">
      <c r="B13" s="25" t="s">
        <v>896</v>
      </c>
      <c r="C13" s="26">
        <v>46244.0</v>
      </c>
      <c r="D13" s="27" t="s">
        <v>53</v>
      </c>
      <c r="E13" s="26">
        <v>46242.0</v>
      </c>
      <c r="F13" s="137"/>
      <c r="G13" s="28" t="s">
        <v>897</v>
      </c>
      <c r="H13" s="219" t="s">
        <v>898</v>
      </c>
      <c r="I13" s="25" t="s">
        <v>56</v>
      </c>
      <c r="J13" s="27" t="s">
        <v>19</v>
      </c>
      <c r="K13" s="29">
        <v>85900.0</v>
      </c>
      <c r="L13" s="25" t="s">
        <v>889</v>
      </c>
      <c r="M13" s="27" t="s">
        <v>203</v>
      </c>
      <c r="N13" s="34"/>
      <c r="O13" s="27" t="s">
        <v>101</v>
      </c>
      <c r="P13" s="32"/>
      <c r="Q13" s="34"/>
    </row>
    <row r="14" ht="22.5" customHeight="1">
      <c r="B14" s="25" t="s">
        <v>51</v>
      </c>
      <c r="C14" s="26">
        <v>46244.0</v>
      </c>
      <c r="D14" s="27" t="s">
        <v>178</v>
      </c>
      <c r="E14" s="26">
        <v>46237.0</v>
      </c>
      <c r="F14" s="137"/>
      <c r="G14" s="28" t="s">
        <v>902</v>
      </c>
      <c r="H14" s="28" t="s">
        <v>903</v>
      </c>
      <c r="I14" s="25" t="s">
        <v>193</v>
      </c>
      <c r="J14" s="27" t="s">
        <v>27</v>
      </c>
      <c r="K14" s="29">
        <v>0.0</v>
      </c>
      <c r="L14" s="25" t="s">
        <v>889</v>
      </c>
      <c r="M14" s="27" t="s">
        <v>203</v>
      </c>
      <c r="N14" s="34"/>
      <c r="O14" s="27" t="s">
        <v>101</v>
      </c>
      <c r="P14" s="32"/>
      <c r="Q14" s="34"/>
    </row>
    <row r="15" ht="22.5" customHeight="1">
      <c r="B15" s="25" t="s">
        <v>51</v>
      </c>
      <c r="C15" s="26">
        <v>46244.0</v>
      </c>
      <c r="D15" s="27" t="s">
        <v>178</v>
      </c>
      <c r="E15" s="26">
        <v>46244.0</v>
      </c>
      <c r="F15" s="137"/>
      <c r="G15" s="28" t="s">
        <v>906</v>
      </c>
      <c r="H15" s="28" t="s">
        <v>908</v>
      </c>
      <c r="I15" s="25" t="s">
        <v>193</v>
      </c>
      <c r="J15" s="27" t="s">
        <v>27</v>
      </c>
      <c r="K15" s="29">
        <v>0.0</v>
      </c>
      <c r="L15" s="25" t="s">
        <v>889</v>
      </c>
      <c r="M15" s="27" t="s">
        <v>203</v>
      </c>
      <c r="N15" s="34"/>
      <c r="O15" s="27" t="s">
        <v>101</v>
      </c>
      <c r="P15" s="32"/>
      <c r="Q15" s="34"/>
    </row>
    <row r="16" ht="22.5" customHeight="1">
      <c r="B16" s="25" t="s">
        <v>910</v>
      </c>
      <c r="C16" s="25" t="s">
        <v>911</v>
      </c>
      <c r="D16" s="27" t="s">
        <v>53</v>
      </c>
      <c r="E16" s="26">
        <v>46244.0</v>
      </c>
      <c r="F16" s="137"/>
      <c r="G16" s="28" t="s">
        <v>914</v>
      </c>
      <c r="H16" s="28" t="s">
        <v>915</v>
      </c>
      <c r="I16" s="25" t="s">
        <v>193</v>
      </c>
      <c r="J16" s="27" t="s">
        <v>19</v>
      </c>
      <c r="K16" s="29">
        <v>107400.0</v>
      </c>
      <c r="L16" s="25" t="s">
        <v>883</v>
      </c>
      <c r="M16" s="27" t="s">
        <v>203</v>
      </c>
      <c r="N16" s="34"/>
      <c r="O16" s="32"/>
      <c r="P16" s="32"/>
      <c r="Q16" s="34"/>
    </row>
    <row r="17" ht="22.5" customHeight="1">
      <c r="B17" s="25" t="s">
        <v>51</v>
      </c>
      <c r="C17" s="25" t="s">
        <v>738</v>
      </c>
      <c r="D17" s="27" t="s">
        <v>53</v>
      </c>
      <c r="E17" s="137"/>
      <c r="F17" s="137"/>
      <c r="G17" s="28" t="s">
        <v>921</v>
      </c>
      <c r="H17" s="28" t="s">
        <v>922</v>
      </c>
      <c r="I17" s="25" t="s">
        <v>56</v>
      </c>
      <c r="J17" s="27" t="s">
        <v>27</v>
      </c>
      <c r="K17" s="29">
        <v>63400.0</v>
      </c>
      <c r="L17" s="25" t="s">
        <v>889</v>
      </c>
      <c r="M17" s="32"/>
      <c r="N17" s="34"/>
      <c r="O17" s="32"/>
      <c r="P17" s="32"/>
      <c r="Q17" s="34"/>
    </row>
    <row r="18" ht="22.5" customHeight="1">
      <c r="B18" s="34"/>
      <c r="C18" s="26">
        <v>46260.0</v>
      </c>
      <c r="D18" s="27" t="s">
        <v>53</v>
      </c>
      <c r="E18" s="137"/>
      <c r="F18" s="137"/>
      <c r="G18" s="28" t="s">
        <v>926</v>
      </c>
      <c r="H18" s="28" t="s">
        <v>927</v>
      </c>
      <c r="I18" s="25" t="s">
        <v>744</v>
      </c>
      <c r="J18" s="27" t="s">
        <v>27</v>
      </c>
      <c r="K18" s="29">
        <v>100000.0</v>
      </c>
      <c r="L18" s="25" t="s">
        <v>883</v>
      </c>
      <c r="M18" s="32"/>
      <c r="N18" s="34"/>
      <c r="O18" s="32"/>
      <c r="P18" s="32"/>
      <c r="Q18" s="34"/>
    </row>
    <row r="19" ht="22.5" customHeight="1">
      <c r="B19" s="34"/>
      <c r="C19" s="26">
        <v>46262.0</v>
      </c>
      <c r="D19" s="27" t="s">
        <v>53</v>
      </c>
      <c r="E19" s="26">
        <v>46259.0</v>
      </c>
      <c r="F19" s="137"/>
      <c r="G19" s="28" t="s">
        <v>931</v>
      </c>
      <c r="H19" s="28" t="s">
        <v>932</v>
      </c>
      <c r="I19" s="25" t="s">
        <v>56</v>
      </c>
      <c r="J19" s="27" t="s">
        <v>19</v>
      </c>
      <c r="K19" s="29">
        <v>67700.0</v>
      </c>
      <c r="L19" s="25" t="s">
        <v>889</v>
      </c>
      <c r="M19" s="32"/>
      <c r="N19" s="34"/>
      <c r="O19" s="32"/>
      <c r="P19" s="32"/>
      <c r="Q19" s="34"/>
    </row>
    <row r="20" ht="22.5" customHeight="1">
      <c r="B20" s="34"/>
      <c r="C20" s="137"/>
      <c r="D20" s="27" t="s">
        <v>53</v>
      </c>
      <c r="E20" s="137"/>
      <c r="F20" s="137"/>
      <c r="G20" s="28" t="s">
        <v>933</v>
      </c>
      <c r="H20" s="28" t="s">
        <v>934</v>
      </c>
      <c r="I20" s="25" t="s">
        <v>193</v>
      </c>
      <c r="J20" s="27" t="s">
        <v>19</v>
      </c>
      <c r="K20" s="29">
        <v>95600.0</v>
      </c>
      <c r="L20" s="25" t="s">
        <v>889</v>
      </c>
      <c r="M20" s="32"/>
      <c r="N20" s="34"/>
      <c r="O20" s="32"/>
      <c r="P20" s="32"/>
      <c r="Q20" s="34"/>
    </row>
    <row r="21" ht="22.5" customHeight="1">
      <c r="B21" s="34"/>
      <c r="C21" s="137"/>
      <c r="D21" s="44"/>
      <c r="E21" s="137"/>
      <c r="F21" s="137"/>
      <c r="G21" s="176"/>
      <c r="H21" s="176"/>
      <c r="I21" s="34"/>
      <c r="J21" s="32"/>
      <c r="K21" s="177"/>
      <c r="L21" s="34"/>
      <c r="M21" s="32"/>
      <c r="N21" s="34"/>
      <c r="O21" s="32"/>
      <c r="P21" s="32"/>
      <c r="Q21" s="34"/>
    </row>
    <row r="22" ht="22.5" customHeight="1">
      <c r="B22" s="34"/>
      <c r="C22" s="137"/>
      <c r="D22" s="44"/>
      <c r="E22" s="137"/>
      <c r="F22" s="137"/>
      <c r="G22" s="176"/>
      <c r="H22" s="176"/>
      <c r="I22" s="34"/>
      <c r="J22" s="32"/>
      <c r="K22" s="177"/>
      <c r="L22" s="34"/>
      <c r="M22" s="32"/>
      <c r="N22" s="34"/>
      <c r="O22" s="32"/>
      <c r="P22" s="32"/>
      <c r="Q22" s="34"/>
    </row>
    <row r="23" ht="22.5" customHeight="1">
      <c r="B23" s="34"/>
      <c r="C23" s="137"/>
      <c r="D23" s="44"/>
      <c r="E23" s="137"/>
      <c r="F23" s="137"/>
      <c r="G23" s="176"/>
      <c r="H23" s="176"/>
      <c r="I23" s="34"/>
      <c r="J23" s="32"/>
      <c r="K23" s="177"/>
      <c r="L23" s="34"/>
      <c r="M23" s="32"/>
      <c r="N23" s="34"/>
      <c r="O23" s="32"/>
      <c r="P23" s="32"/>
      <c r="Q23" s="34"/>
    </row>
    <row r="24" ht="22.5" customHeight="1">
      <c r="B24" s="34"/>
      <c r="C24" s="137"/>
      <c r="D24" s="44"/>
      <c r="E24" s="137"/>
      <c r="F24" s="137"/>
      <c r="G24" s="176"/>
      <c r="H24" s="176"/>
      <c r="I24" s="34"/>
      <c r="J24" s="32"/>
      <c r="K24" s="177"/>
      <c r="L24" s="34"/>
      <c r="M24" s="32"/>
      <c r="N24" s="34"/>
      <c r="O24" s="32"/>
      <c r="P24" s="32"/>
      <c r="Q24" s="34"/>
    </row>
    <row r="25" ht="22.5" customHeight="1">
      <c r="B25" s="34"/>
      <c r="C25" s="137"/>
      <c r="D25" s="44"/>
      <c r="E25" s="137"/>
      <c r="F25" s="137"/>
      <c r="G25" s="176"/>
      <c r="H25" s="176"/>
      <c r="I25" s="34"/>
      <c r="J25" s="32"/>
      <c r="K25" s="177"/>
      <c r="L25" s="34"/>
      <c r="M25" s="32"/>
      <c r="N25" s="34"/>
      <c r="O25" s="32"/>
      <c r="P25" s="32"/>
      <c r="Q25" s="34"/>
    </row>
    <row r="26" ht="22.5" customHeight="1">
      <c r="B26" s="34"/>
      <c r="C26" s="137"/>
      <c r="D26" s="44"/>
      <c r="E26" s="137"/>
      <c r="F26" s="137"/>
      <c r="G26" s="176"/>
      <c r="H26" s="176"/>
      <c r="I26" s="34"/>
      <c r="J26" s="32"/>
      <c r="K26" s="177"/>
      <c r="L26" s="34"/>
      <c r="M26" s="32"/>
      <c r="N26" s="34"/>
      <c r="O26" s="32"/>
      <c r="P26" s="32"/>
      <c r="Q26" s="34"/>
    </row>
    <row r="27" ht="22.5" customHeight="1">
      <c r="B27" s="34"/>
      <c r="C27" s="137"/>
      <c r="D27" s="44"/>
      <c r="E27" s="137"/>
      <c r="F27" s="137"/>
      <c r="G27" s="176"/>
      <c r="H27" s="176"/>
      <c r="I27" s="34"/>
      <c r="J27" s="32"/>
      <c r="K27" s="177"/>
      <c r="L27" s="34"/>
      <c r="M27" s="32"/>
      <c r="N27" s="34"/>
      <c r="O27" s="32"/>
      <c r="P27" s="32"/>
      <c r="Q27" s="34"/>
    </row>
    <row r="28" ht="22.5" customHeight="1">
      <c r="B28" s="34"/>
      <c r="C28" s="137"/>
      <c r="D28" s="44"/>
      <c r="E28" s="137"/>
      <c r="F28" s="137"/>
      <c r="G28" s="176"/>
      <c r="H28" s="176"/>
      <c r="I28" s="34"/>
      <c r="J28" s="32"/>
      <c r="K28" s="177"/>
      <c r="L28" s="34"/>
      <c r="M28" s="32"/>
      <c r="N28" s="34"/>
      <c r="O28" s="32"/>
      <c r="P28" s="32"/>
      <c r="Q28" s="34"/>
    </row>
    <row r="29" ht="22.5" customHeight="1">
      <c r="B29" s="34"/>
      <c r="C29" s="137"/>
      <c r="D29" s="44"/>
      <c r="E29" s="137"/>
      <c r="F29" s="137"/>
      <c r="G29" s="176"/>
      <c r="H29" s="176"/>
      <c r="I29" s="34"/>
      <c r="J29" s="32"/>
      <c r="K29" s="177"/>
      <c r="L29" s="34"/>
      <c r="M29" s="32"/>
      <c r="N29" s="34"/>
      <c r="O29" s="32"/>
      <c r="P29" s="32"/>
      <c r="Q29" s="34"/>
    </row>
    <row r="30" ht="22.5" customHeight="1">
      <c r="B30" s="34"/>
      <c r="C30" s="137"/>
      <c r="D30" s="44"/>
      <c r="E30" s="137"/>
      <c r="F30" s="137"/>
      <c r="G30" s="176"/>
      <c r="H30" s="176"/>
      <c r="I30" s="34"/>
      <c r="J30" s="32"/>
      <c r="K30" s="177"/>
      <c r="L30" s="34"/>
      <c r="M30" s="32"/>
      <c r="N30" s="34"/>
      <c r="O30" s="32"/>
      <c r="P30" s="32"/>
      <c r="Q30" s="34"/>
    </row>
    <row r="31" ht="22.5" customHeight="1">
      <c r="B31" s="34"/>
      <c r="C31" s="137"/>
      <c r="D31" s="44"/>
      <c r="E31" s="137"/>
      <c r="F31" s="137"/>
      <c r="G31" s="176"/>
      <c r="H31" s="176"/>
      <c r="I31" s="34"/>
      <c r="J31" s="32"/>
      <c r="K31" s="177"/>
      <c r="L31" s="34"/>
      <c r="M31" s="32"/>
      <c r="N31" s="34"/>
      <c r="O31" s="32"/>
      <c r="P31" s="32"/>
      <c r="Q31" s="34"/>
    </row>
    <row r="32" ht="22.5" customHeight="1">
      <c r="B32" s="34"/>
      <c r="C32" s="137"/>
      <c r="D32" s="44"/>
      <c r="E32" s="137"/>
      <c r="F32" s="137"/>
      <c r="G32" s="176"/>
      <c r="H32" s="176"/>
      <c r="I32" s="34"/>
      <c r="J32" s="32"/>
      <c r="K32" s="177"/>
      <c r="L32" s="34"/>
      <c r="M32" s="32"/>
      <c r="N32" s="34"/>
      <c r="O32" s="32"/>
      <c r="P32" s="32"/>
      <c r="Q32" s="34"/>
    </row>
    <row r="33" ht="22.5" customHeight="1">
      <c r="B33" s="34"/>
      <c r="C33" s="137"/>
      <c r="D33" s="44"/>
      <c r="E33" s="137"/>
      <c r="F33" s="137"/>
      <c r="G33" s="176"/>
      <c r="H33" s="176"/>
      <c r="I33" s="34"/>
      <c r="J33" s="32"/>
      <c r="K33" s="177"/>
      <c r="L33" s="34"/>
      <c r="M33" s="32"/>
      <c r="N33" s="34"/>
      <c r="O33" s="32"/>
      <c r="P33" s="32"/>
      <c r="Q33" s="34"/>
    </row>
    <row r="34" ht="22.5" customHeight="1">
      <c r="B34" s="34"/>
      <c r="C34" s="137"/>
      <c r="D34" s="44"/>
      <c r="E34" s="137"/>
      <c r="F34" s="137"/>
      <c r="G34" s="176"/>
      <c r="H34" s="176"/>
      <c r="I34" s="34"/>
      <c r="J34" s="32"/>
      <c r="K34" s="177"/>
      <c r="L34" s="34"/>
      <c r="M34" s="32"/>
      <c r="N34" s="34"/>
      <c r="O34" s="32"/>
      <c r="P34" s="32"/>
      <c r="Q34" s="34"/>
    </row>
    <row r="35" ht="22.5" customHeight="1">
      <c r="B35" s="34"/>
      <c r="C35" s="137"/>
      <c r="D35" s="44"/>
      <c r="E35" s="137"/>
      <c r="F35" s="137"/>
      <c r="G35" s="176"/>
      <c r="H35" s="176"/>
      <c r="I35" s="34"/>
      <c r="J35" s="32"/>
      <c r="K35" s="177"/>
      <c r="L35" s="34"/>
      <c r="M35" s="32"/>
      <c r="N35" s="34"/>
      <c r="O35" s="32"/>
      <c r="P35" s="32"/>
      <c r="Q35" s="34"/>
    </row>
    <row r="36" ht="22.5" customHeight="1">
      <c r="B36" s="34"/>
      <c r="C36" s="137"/>
      <c r="D36" s="44"/>
      <c r="E36" s="137"/>
      <c r="F36" s="137"/>
      <c r="G36" s="176"/>
      <c r="H36" s="176"/>
      <c r="I36" s="34"/>
      <c r="J36" s="32"/>
      <c r="K36" s="177"/>
      <c r="L36" s="34"/>
      <c r="M36" s="32"/>
      <c r="N36" s="34"/>
      <c r="O36" s="32"/>
      <c r="P36" s="32"/>
      <c r="Q36" s="34"/>
    </row>
    <row r="37" ht="22.5" customHeight="1">
      <c r="B37" s="34"/>
      <c r="C37" s="137"/>
      <c r="D37" s="44"/>
      <c r="E37" s="137"/>
      <c r="F37" s="137"/>
      <c r="G37" s="176"/>
      <c r="H37" s="176"/>
      <c r="I37" s="34"/>
      <c r="J37" s="32"/>
      <c r="K37" s="177"/>
      <c r="L37" s="34"/>
      <c r="M37" s="32"/>
      <c r="N37" s="34"/>
      <c r="O37" s="32"/>
      <c r="P37" s="32"/>
      <c r="Q37" s="34"/>
    </row>
    <row r="38" ht="22.5" customHeight="1">
      <c r="B38" s="34"/>
      <c r="C38" s="137"/>
      <c r="D38" s="44"/>
      <c r="E38" s="137"/>
      <c r="F38" s="137"/>
      <c r="G38" s="176"/>
      <c r="H38" s="176"/>
      <c r="I38" s="34"/>
      <c r="J38" s="32"/>
      <c r="K38" s="177"/>
      <c r="L38" s="34"/>
      <c r="M38" s="32"/>
      <c r="N38" s="34"/>
      <c r="O38" s="32"/>
      <c r="P38" s="32"/>
      <c r="Q38" s="34"/>
    </row>
    <row r="39" ht="22.5" customHeight="1">
      <c r="B39" s="34"/>
      <c r="C39" s="137"/>
      <c r="D39" s="44"/>
      <c r="E39" s="137"/>
      <c r="F39" s="137"/>
      <c r="G39" s="176"/>
      <c r="H39" s="176"/>
      <c r="I39" s="34"/>
      <c r="J39" s="32"/>
      <c r="K39" s="177"/>
      <c r="L39" s="34"/>
      <c r="M39" s="32"/>
      <c r="N39" s="34"/>
      <c r="O39" s="32"/>
      <c r="P39" s="32"/>
      <c r="Q39" s="34"/>
    </row>
    <row r="40" ht="22.5" customHeight="1">
      <c r="B40" s="34"/>
      <c r="C40" s="137"/>
      <c r="D40" s="44"/>
      <c r="E40" s="137"/>
      <c r="F40" s="137"/>
      <c r="G40" s="176"/>
      <c r="H40" s="176"/>
      <c r="I40" s="34"/>
      <c r="J40" s="32"/>
      <c r="K40" s="177"/>
      <c r="L40" s="34"/>
      <c r="M40" s="32"/>
      <c r="N40" s="34"/>
      <c r="O40" s="32"/>
      <c r="P40" s="32"/>
      <c r="Q40" s="34"/>
    </row>
    <row r="41" ht="22.5" customHeight="1">
      <c r="B41" s="34"/>
      <c r="C41" s="137"/>
      <c r="D41" s="44"/>
      <c r="E41" s="137"/>
      <c r="F41" s="137"/>
      <c r="G41" s="176"/>
      <c r="H41" s="176"/>
      <c r="I41" s="34"/>
      <c r="J41" s="32"/>
      <c r="K41" s="177"/>
      <c r="L41" s="34"/>
      <c r="M41" s="32"/>
      <c r="N41" s="34"/>
      <c r="O41" s="32"/>
      <c r="P41" s="32"/>
      <c r="Q41" s="34"/>
    </row>
    <row r="42" ht="22.5" customHeight="1">
      <c r="B42" s="34"/>
      <c r="C42" s="137"/>
      <c r="D42" s="44"/>
      <c r="E42" s="137"/>
      <c r="F42" s="137"/>
      <c r="G42" s="176"/>
      <c r="H42" s="176"/>
      <c r="I42" s="34"/>
      <c r="J42" s="32"/>
      <c r="K42" s="177"/>
      <c r="L42" s="34"/>
      <c r="M42" s="32"/>
      <c r="N42" s="34"/>
      <c r="O42" s="32"/>
      <c r="P42" s="32"/>
      <c r="Q42" s="34"/>
    </row>
    <row r="43" ht="22.5" customHeight="1">
      <c r="B43" s="34"/>
      <c r="C43" s="137"/>
      <c r="D43" s="44"/>
      <c r="E43" s="137"/>
      <c r="F43" s="137"/>
      <c r="G43" s="176"/>
      <c r="H43" s="176"/>
      <c r="I43" s="34"/>
      <c r="J43" s="32"/>
      <c r="K43" s="177"/>
      <c r="L43" s="34"/>
      <c r="M43" s="32"/>
      <c r="N43" s="34"/>
      <c r="O43" s="32"/>
      <c r="P43" s="32"/>
      <c r="Q43" s="34"/>
    </row>
    <row r="44" ht="22.5" customHeight="1">
      <c r="B44" s="34"/>
      <c r="C44" s="137"/>
      <c r="D44" s="44"/>
      <c r="E44" s="137"/>
      <c r="F44" s="137"/>
      <c r="G44" s="176"/>
      <c r="H44" s="176"/>
      <c r="I44" s="34"/>
      <c r="J44" s="32"/>
      <c r="K44" s="177"/>
      <c r="L44" s="34"/>
      <c r="M44" s="32"/>
      <c r="N44" s="34"/>
      <c r="O44" s="32"/>
      <c r="P44" s="32"/>
      <c r="Q44" s="34"/>
    </row>
    <row r="45" ht="22.5" customHeight="1">
      <c r="B45" s="34"/>
      <c r="C45" s="137"/>
      <c r="D45" s="44"/>
      <c r="E45" s="137"/>
      <c r="F45" s="137"/>
      <c r="G45" s="176"/>
      <c r="H45" s="176"/>
      <c r="I45" s="34"/>
      <c r="J45" s="32"/>
      <c r="K45" s="177"/>
      <c r="L45" s="34"/>
      <c r="M45" s="32"/>
      <c r="N45" s="34"/>
      <c r="O45" s="32"/>
      <c r="P45" s="32"/>
      <c r="Q45" s="34"/>
    </row>
    <row r="46" ht="22.5" customHeight="1">
      <c r="B46" s="34"/>
      <c r="C46" s="137"/>
      <c r="D46" s="44"/>
      <c r="E46" s="137"/>
      <c r="F46" s="137"/>
      <c r="G46" s="176"/>
      <c r="H46" s="176"/>
      <c r="I46" s="34"/>
      <c r="J46" s="32"/>
      <c r="K46" s="177"/>
      <c r="L46" s="34"/>
      <c r="M46" s="32"/>
      <c r="N46" s="34"/>
      <c r="O46" s="32"/>
      <c r="P46" s="32"/>
      <c r="Q46" s="34"/>
    </row>
    <row r="47" ht="22.5" customHeight="1">
      <c r="B47" s="34"/>
      <c r="C47" s="137"/>
      <c r="D47" s="44"/>
      <c r="E47" s="137"/>
      <c r="F47" s="137"/>
      <c r="G47" s="176"/>
      <c r="H47" s="176"/>
      <c r="I47" s="34"/>
      <c r="J47" s="32"/>
      <c r="K47" s="177"/>
      <c r="L47" s="34"/>
      <c r="M47" s="32"/>
      <c r="N47" s="34"/>
      <c r="O47" s="32"/>
      <c r="P47" s="32"/>
      <c r="Q47" s="34"/>
    </row>
    <row r="48" ht="22.5" customHeight="1">
      <c r="B48" s="34"/>
      <c r="C48" s="137"/>
      <c r="D48" s="44"/>
      <c r="E48" s="137"/>
      <c r="F48" s="137"/>
      <c r="G48" s="176"/>
      <c r="H48" s="176"/>
      <c r="I48" s="34"/>
      <c r="J48" s="32"/>
      <c r="K48" s="177"/>
      <c r="L48" s="34"/>
      <c r="M48" s="32"/>
      <c r="N48" s="34"/>
      <c r="O48" s="32"/>
      <c r="P48" s="32"/>
      <c r="Q48" s="34"/>
    </row>
    <row r="49" ht="22.5" customHeight="1">
      <c r="B49" s="34"/>
      <c r="C49" s="137"/>
      <c r="D49" s="44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32"/>
      <c r="P49" s="32"/>
      <c r="Q49" s="34"/>
    </row>
    <row r="50" ht="22.5" customHeight="1">
      <c r="B50" s="34"/>
      <c r="C50" s="137"/>
      <c r="D50" s="44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32"/>
      <c r="P50" s="32"/>
      <c r="Q50" s="34"/>
    </row>
    <row r="51" ht="22.5" customHeight="1">
      <c r="B51" s="34"/>
      <c r="C51" s="137"/>
      <c r="D51" s="44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32"/>
      <c r="P51" s="32"/>
      <c r="Q51" s="34"/>
    </row>
    <row r="52" ht="22.5" customHeight="1">
      <c r="B52" s="34"/>
      <c r="C52" s="137"/>
      <c r="D52" s="44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923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1000000.0</v>
      </c>
      <c r="F4" s="15">
        <f>SUMIFS(OPI_19[MAF NETO],OPI_19[ESTADO],"Desembolsado")</f>
        <v>0</v>
      </c>
      <c r="G4" s="15">
        <f>F4-E4</f>
        <v>-1000000</v>
      </c>
      <c r="H4" s="16">
        <f>SUMIFS(OPI_19[MAF NETO],OPI_19[ESTADO],H$3)</f>
        <v>0</v>
      </c>
      <c r="I4" s="16">
        <f>SUMIFS(OPI_19[MAF NETO],OPI_19[ESTADO],I$3)</f>
        <v>0</v>
      </c>
      <c r="J4" s="16">
        <f>SUMIFS(OPI_19[MAF NETO],OPI_19[ESTADO],J$3)</f>
        <v>0</v>
      </c>
      <c r="K4" s="16">
        <f>SUMIFS(OPI_19[MAF NETO],OPI_19[ESTADO],K$3)</f>
        <v>0</v>
      </c>
      <c r="L4" s="16">
        <f>SUMIFS(OPI_19[MAF NETO],OPI_19[ESTADO],L$3)</f>
        <v>0</v>
      </c>
      <c r="M4" s="16">
        <f>SUMIFS(OPI_19[MAF NETO],OPI_19[ESTADO],M$3)</f>
        <v>0</v>
      </c>
      <c r="N4" s="16">
        <f>SUMIFS(OPI_19[MAF NETO],OPI_19[ESTADO],N$3)</f>
        <v>0</v>
      </c>
    </row>
    <row r="5" ht="26.25" customHeight="1">
      <c r="D5" s="17" t="s">
        <v>31</v>
      </c>
      <c r="E5" s="18" t="s">
        <v>32</v>
      </c>
      <c r="F5" s="19">
        <f>COUNTIFS(OPI_19[ESTADO],"Desembolsado")</f>
        <v>0</v>
      </c>
      <c r="G5" s="20">
        <f>IFERROR(F4/E4,"")</f>
        <v>0</v>
      </c>
      <c r="H5" s="19">
        <f>COUNTIFS(OPI_19[ESTADO],H$3)</f>
        <v>0</v>
      </c>
      <c r="I5" s="19">
        <f>COUNTIFS(OPI_19[ESTADO],I$3)</f>
        <v>0</v>
      </c>
      <c r="J5" s="19">
        <f>COUNTIFS(OPI_19[ESTADO],J$3)</f>
        <v>0</v>
      </c>
      <c r="K5" s="19">
        <f>COUNTIFS(OPI_19[ESTADO],K$3)</f>
        <v>0</v>
      </c>
      <c r="L5" s="19">
        <f>COUNTIFS(OPI_19[ESTADO],L$3)</f>
        <v>0</v>
      </c>
      <c r="M5" s="19">
        <f>COUNTIFS(OPI_19[ESTADO],M$3)</f>
        <v>0</v>
      </c>
      <c r="N5" s="19">
        <f>COUNTIFS(OPI_19[ESTADO],N$3)</f>
        <v>0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5"/>
      <c r="C10" s="26"/>
      <c r="D10" s="44"/>
      <c r="E10" s="26"/>
      <c r="F10" s="26"/>
      <c r="G10" s="28"/>
      <c r="H10" s="28"/>
      <c r="I10" s="25"/>
      <c r="J10" s="44"/>
      <c r="K10" s="29"/>
      <c r="L10" s="25"/>
      <c r="M10" s="44"/>
      <c r="N10" s="34"/>
      <c r="O10" s="44"/>
      <c r="P10" s="32"/>
      <c r="Q10" s="25"/>
    </row>
    <row r="11" ht="22.5" customHeight="1">
      <c r="B11" s="25"/>
      <c r="C11" s="26"/>
      <c r="D11" s="44"/>
      <c r="E11" s="26"/>
      <c r="F11" s="26"/>
      <c r="G11" s="28"/>
      <c r="H11" s="28"/>
      <c r="I11" s="25"/>
      <c r="J11" s="44"/>
      <c r="K11" s="29"/>
      <c r="L11" s="25"/>
      <c r="M11" s="44"/>
      <c r="N11" s="34"/>
      <c r="O11" s="44"/>
      <c r="P11" s="32"/>
      <c r="Q11" s="34"/>
    </row>
    <row r="12" ht="22.5" customHeight="1">
      <c r="B12" s="25"/>
      <c r="C12" s="26"/>
      <c r="D12" s="44"/>
      <c r="E12" s="137"/>
      <c r="F12" s="137"/>
      <c r="G12" s="28"/>
      <c r="H12" s="28"/>
      <c r="I12" s="25"/>
      <c r="J12" s="44"/>
      <c r="K12" s="29"/>
      <c r="L12" s="25"/>
      <c r="M12" s="44"/>
      <c r="N12" s="34"/>
      <c r="O12" s="44"/>
      <c r="P12" s="32"/>
      <c r="Q12" s="34"/>
    </row>
    <row r="13" ht="22.5" customHeight="1">
      <c r="B13" s="25"/>
      <c r="C13" s="26"/>
      <c r="D13" s="44"/>
      <c r="E13" s="137"/>
      <c r="F13" s="137"/>
      <c r="G13" s="28"/>
      <c r="H13" s="28"/>
      <c r="I13" s="25"/>
      <c r="J13" s="44"/>
      <c r="K13" s="29"/>
      <c r="L13" s="25"/>
      <c r="M13" s="44"/>
      <c r="N13" s="34"/>
      <c r="O13" s="44"/>
      <c r="P13" s="32"/>
      <c r="Q13" s="34"/>
    </row>
    <row r="14" ht="22.5" customHeight="1">
      <c r="B14" s="25"/>
      <c r="C14" s="26"/>
      <c r="D14" s="44"/>
      <c r="E14" s="137"/>
      <c r="F14" s="137"/>
      <c r="G14" s="28"/>
      <c r="H14" s="28"/>
      <c r="I14" s="34"/>
      <c r="J14" s="32"/>
      <c r="K14" s="177"/>
      <c r="L14" s="34"/>
      <c r="M14" s="32"/>
      <c r="N14" s="34"/>
      <c r="O14" s="32"/>
      <c r="P14" s="32"/>
      <c r="Q14" s="34"/>
    </row>
    <row r="15" ht="22.5" customHeight="1">
      <c r="B15" s="34"/>
      <c r="C15" s="137"/>
      <c r="D15" s="44"/>
      <c r="E15" s="137"/>
      <c r="F15" s="137"/>
      <c r="G15" s="176"/>
      <c r="H15" s="176"/>
      <c r="I15" s="34"/>
      <c r="J15" s="32"/>
      <c r="K15" s="177"/>
      <c r="L15" s="34"/>
      <c r="M15" s="32"/>
      <c r="N15" s="34"/>
      <c r="O15" s="32"/>
      <c r="P15" s="32"/>
      <c r="Q15" s="34"/>
    </row>
    <row r="16" ht="22.5" customHeight="1">
      <c r="B16" s="34"/>
      <c r="C16" s="137"/>
      <c r="D16" s="44"/>
      <c r="E16" s="137"/>
      <c r="F16" s="137"/>
      <c r="G16" s="176"/>
      <c r="H16" s="176"/>
      <c r="I16" s="34"/>
      <c r="J16" s="32"/>
      <c r="K16" s="177"/>
      <c r="L16" s="34"/>
      <c r="M16" s="32"/>
      <c r="N16" s="34"/>
      <c r="O16" s="32"/>
      <c r="P16" s="32"/>
      <c r="Q16" s="34"/>
    </row>
    <row r="17" ht="22.5" customHeight="1">
      <c r="B17" s="34"/>
      <c r="C17" s="137"/>
      <c r="D17" s="44"/>
      <c r="E17" s="137"/>
      <c r="F17" s="137"/>
      <c r="G17" s="176"/>
      <c r="H17" s="176"/>
      <c r="I17" s="34"/>
      <c r="J17" s="32"/>
      <c r="K17" s="177"/>
      <c r="L17" s="34"/>
      <c r="M17" s="32"/>
      <c r="N17" s="34"/>
      <c r="O17" s="32"/>
      <c r="P17" s="32"/>
      <c r="Q17" s="34"/>
    </row>
    <row r="18" ht="22.5" customHeight="1">
      <c r="B18" s="34"/>
      <c r="C18" s="137"/>
      <c r="D18" s="44"/>
      <c r="E18" s="137"/>
      <c r="F18" s="137"/>
      <c r="G18" s="176"/>
      <c r="H18" s="176"/>
      <c r="I18" s="34"/>
      <c r="J18" s="32"/>
      <c r="K18" s="177"/>
      <c r="L18" s="34"/>
      <c r="M18" s="32"/>
      <c r="N18" s="34"/>
      <c r="O18" s="32"/>
      <c r="P18" s="32"/>
      <c r="Q18" s="34"/>
    </row>
    <row r="19" ht="22.5" customHeight="1">
      <c r="B19" s="34"/>
      <c r="C19" s="137"/>
      <c r="D19" s="44"/>
      <c r="E19" s="137"/>
      <c r="F19" s="137"/>
      <c r="G19" s="176"/>
      <c r="H19" s="176"/>
      <c r="I19" s="34"/>
      <c r="J19" s="32"/>
      <c r="K19" s="177"/>
      <c r="L19" s="34"/>
      <c r="M19" s="32"/>
      <c r="N19" s="34"/>
      <c r="O19" s="32"/>
      <c r="P19" s="32"/>
      <c r="Q19" s="34"/>
    </row>
    <row r="20" ht="22.5" customHeight="1">
      <c r="B20" s="34"/>
      <c r="C20" s="137"/>
      <c r="D20" s="44"/>
      <c r="E20" s="137"/>
      <c r="F20" s="137"/>
      <c r="G20" s="176"/>
      <c r="H20" s="176"/>
      <c r="I20" s="34"/>
      <c r="J20" s="32"/>
      <c r="K20" s="177"/>
      <c r="L20" s="34"/>
      <c r="M20" s="32"/>
      <c r="N20" s="34"/>
      <c r="O20" s="32"/>
      <c r="P20" s="32"/>
      <c r="Q20" s="34"/>
    </row>
    <row r="21" ht="22.5" customHeight="1">
      <c r="B21" s="34"/>
      <c r="C21" s="137"/>
      <c r="D21" s="44"/>
      <c r="E21" s="137"/>
      <c r="F21" s="137"/>
      <c r="G21" s="176"/>
      <c r="H21" s="176"/>
      <c r="I21" s="34"/>
      <c r="J21" s="32"/>
      <c r="K21" s="177"/>
      <c r="L21" s="34"/>
      <c r="M21" s="32"/>
      <c r="N21" s="34"/>
      <c r="O21" s="32"/>
      <c r="P21" s="32"/>
      <c r="Q21" s="34"/>
    </row>
    <row r="22" ht="22.5" customHeight="1">
      <c r="B22" s="34"/>
      <c r="C22" s="137"/>
      <c r="D22" s="44"/>
      <c r="E22" s="137"/>
      <c r="F22" s="137"/>
      <c r="G22" s="176"/>
      <c r="H22" s="176"/>
      <c r="I22" s="34"/>
      <c r="J22" s="32"/>
      <c r="K22" s="177"/>
      <c r="L22" s="34"/>
      <c r="M22" s="32"/>
      <c r="N22" s="34"/>
      <c r="O22" s="32"/>
      <c r="P22" s="32"/>
      <c r="Q22" s="34"/>
    </row>
    <row r="23" ht="22.5" customHeight="1">
      <c r="B23" s="34"/>
      <c r="C23" s="137"/>
      <c r="D23" s="44"/>
      <c r="E23" s="137"/>
      <c r="F23" s="137"/>
      <c r="G23" s="176"/>
      <c r="H23" s="176"/>
      <c r="I23" s="34"/>
      <c r="J23" s="32"/>
      <c r="K23" s="177"/>
      <c r="L23" s="34"/>
      <c r="M23" s="32"/>
      <c r="N23" s="34"/>
      <c r="O23" s="32"/>
      <c r="P23" s="32"/>
      <c r="Q23" s="34"/>
    </row>
    <row r="24" ht="22.5" customHeight="1">
      <c r="B24" s="34"/>
      <c r="C24" s="137"/>
      <c r="D24" s="44"/>
      <c r="E24" s="137"/>
      <c r="F24" s="137"/>
      <c r="G24" s="176"/>
      <c r="H24" s="176"/>
      <c r="I24" s="34"/>
      <c r="J24" s="32"/>
      <c r="K24" s="177"/>
      <c r="L24" s="34"/>
      <c r="M24" s="32"/>
      <c r="N24" s="34"/>
      <c r="O24" s="32"/>
      <c r="P24" s="32"/>
      <c r="Q24" s="34"/>
    </row>
    <row r="25" ht="22.5" customHeight="1">
      <c r="B25" s="34"/>
      <c r="C25" s="137"/>
      <c r="D25" s="44"/>
      <c r="E25" s="137"/>
      <c r="F25" s="137"/>
      <c r="G25" s="176"/>
      <c r="H25" s="176"/>
      <c r="I25" s="34"/>
      <c r="J25" s="32"/>
      <c r="K25" s="177"/>
      <c r="L25" s="34"/>
      <c r="M25" s="32"/>
      <c r="N25" s="34"/>
      <c r="O25" s="32"/>
      <c r="P25" s="32"/>
      <c r="Q25" s="34"/>
    </row>
    <row r="26" ht="22.5" customHeight="1">
      <c r="B26" s="34"/>
      <c r="C26" s="137"/>
      <c r="D26" s="44"/>
      <c r="E26" s="137"/>
      <c r="F26" s="137"/>
      <c r="G26" s="176"/>
      <c r="H26" s="176"/>
      <c r="I26" s="34"/>
      <c r="J26" s="32"/>
      <c r="K26" s="177"/>
      <c r="L26" s="34"/>
      <c r="M26" s="32"/>
      <c r="N26" s="34"/>
      <c r="O26" s="32"/>
      <c r="P26" s="32"/>
      <c r="Q26" s="34"/>
    </row>
    <row r="27" ht="22.5" customHeight="1">
      <c r="B27" s="34"/>
      <c r="C27" s="137"/>
      <c r="D27" s="44"/>
      <c r="E27" s="137"/>
      <c r="F27" s="137"/>
      <c r="G27" s="176"/>
      <c r="H27" s="176"/>
      <c r="I27" s="34"/>
      <c r="J27" s="32"/>
      <c r="K27" s="177"/>
      <c r="L27" s="34"/>
      <c r="M27" s="32"/>
      <c r="N27" s="34"/>
      <c r="O27" s="32"/>
      <c r="P27" s="32"/>
      <c r="Q27" s="34"/>
    </row>
    <row r="28" ht="22.5" customHeight="1">
      <c r="B28" s="34"/>
      <c r="C28" s="137"/>
      <c r="D28" s="44"/>
      <c r="E28" s="137"/>
      <c r="F28" s="137"/>
      <c r="G28" s="176"/>
      <c r="H28" s="176"/>
      <c r="I28" s="34"/>
      <c r="J28" s="32"/>
      <c r="K28" s="177"/>
      <c r="L28" s="34"/>
      <c r="M28" s="32"/>
      <c r="N28" s="34"/>
      <c r="O28" s="32"/>
      <c r="P28" s="32"/>
      <c r="Q28" s="34"/>
    </row>
    <row r="29" ht="22.5" customHeight="1">
      <c r="B29" s="34"/>
      <c r="C29" s="137"/>
      <c r="D29" s="44"/>
      <c r="E29" s="137"/>
      <c r="F29" s="137"/>
      <c r="G29" s="176"/>
      <c r="H29" s="176"/>
      <c r="I29" s="34"/>
      <c r="J29" s="32"/>
      <c r="K29" s="177"/>
      <c r="L29" s="34"/>
      <c r="M29" s="32"/>
      <c r="N29" s="34"/>
      <c r="O29" s="32"/>
      <c r="P29" s="32"/>
      <c r="Q29" s="34"/>
    </row>
    <row r="30" ht="22.5" customHeight="1">
      <c r="B30" s="34"/>
      <c r="C30" s="137"/>
      <c r="D30" s="44"/>
      <c r="E30" s="137"/>
      <c r="F30" s="137"/>
      <c r="G30" s="176"/>
      <c r="H30" s="176"/>
      <c r="I30" s="34"/>
      <c r="J30" s="32"/>
      <c r="K30" s="177"/>
      <c r="L30" s="34"/>
      <c r="M30" s="32"/>
      <c r="N30" s="34"/>
      <c r="O30" s="32"/>
      <c r="P30" s="32"/>
      <c r="Q30" s="34"/>
    </row>
    <row r="31" ht="22.5" customHeight="1">
      <c r="B31" s="34"/>
      <c r="C31" s="137"/>
      <c r="D31" s="44"/>
      <c r="E31" s="137"/>
      <c r="F31" s="137"/>
      <c r="G31" s="176"/>
      <c r="H31" s="176"/>
      <c r="I31" s="34"/>
      <c r="J31" s="32"/>
      <c r="K31" s="177"/>
      <c r="L31" s="34"/>
      <c r="M31" s="32"/>
      <c r="N31" s="34"/>
      <c r="O31" s="32"/>
      <c r="P31" s="32"/>
      <c r="Q31" s="34"/>
    </row>
    <row r="32" ht="22.5" customHeight="1">
      <c r="B32" s="34"/>
      <c r="C32" s="137"/>
      <c r="D32" s="44"/>
      <c r="E32" s="137"/>
      <c r="F32" s="137"/>
      <c r="G32" s="176"/>
      <c r="H32" s="176"/>
      <c r="I32" s="34"/>
      <c r="J32" s="32"/>
      <c r="K32" s="177"/>
      <c r="L32" s="34"/>
      <c r="M32" s="32"/>
      <c r="N32" s="34"/>
      <c r="O32" s="32"/>
      <c r="P32" s="32"/>
      <c r="Q32" s="34"/>
    </row>
    <row r="33" ht="22.5" customHeight="1">
      <c r="B33" s="34"/>
      <c r="C33" s="137"/>
      <c r="D33" s="44"/>
      <c r="E33" s="137"/>
      <c r="F33" s="137"/>
      <c r="G33" s="176"/>
      <c r="H33" s="176"/>
      <c r="I33" s="34"/>
      <c r="J33" s="32"/>
      <c r="K33" s="177"/>
      <c r="L33" s="34"/>
      <c r="M33" s="32"/>
      <c r="N33" s="34"/>
      <c r="O33" s="32"/>
      <c r="P33" s="32"/>
      <c r="Q33" s="34"/>
    </row>
    <row r="34" ht="22.5" customHeight="1">
      <c r="B34" s="34"/>
      <c r="C34" s="137"/>
      <c r="D34" s="44"/>
      <c r="E34" s="137"/>
      <c r="F34" s="137"/>
      <c r="G34" s="176"/>
      <c r="H34" s="176"/>
      <c r="I34" s="34"/>
      <c r="J34" s="32"/>
      <c r="K34" s="177"/>
      <c r="L34" s="34"/>
      <c r="M34" s="32"/>
      <c r="N34" s="34"/>
      <c r="O34" s="32"/>
      <c r="P34" s="32"/>
      <c r="Q34" s="34"/>
    </row>
    <row r="35" ht="22.5" customHeight="1">
      <c r="B35" s="34"/>
      <c r="C35" s="137"/>
      <c r="D35" s="44"/>
      <c r="E35" s="137"/>
      <c r="F35" s="137"/>
      <c r="G35" s="176"/>
      <c r="H35" s="176"/>
      <c r="I35" s="34"/>
      <c r="J35" s="32"/>
      <c r="K35" s="177"/>
      <c r="L35" s="34"/>
      <c r="M35" s="32"/>
      <c r="N35" s="34"/>
      <c r="O35" s="32"/>
      <c r="P35" s="32"/>
      <c r="Q35" s="34"/>
    </row>
    <row r="36" ht="22.5" customHeight="1">
      <c r="B36" s="34"/>
      <c r="C36" s="137"/>
      <c r="D36" s="44"/>
      <c r="E36" s="137"/>
      <c r="F36" s="137"/>
      <c r="G36" s="176"/>
      <c r="H36" s="176"/>
      <c r="I36" s="34"/>
      <c r="J36" s="32"/>
      <c r="K36" s="177"/>
      <c r="L36" s="34"/>
      <c r="M36" s="32"/>
      <c r="N36" s="34"/>
      <c r="O36" s="32"/>
      <c r="P36" s="32"/>
      <c r="Q36" s="34"/>
    </row>
    <row r="37" ht="22.5" customHeight="1">
      <c r="B37" s="34"/>
      <c r="C37" s="137"/>
      <c r="D37" s="44"/>
      <c r="E37" s="137"/>
      <c r="F37" s="137"/>
      <c r="G37" s="176"/>
      <c r="H37" s="176"/>
      <c r="I37" s="34"/>
      <c r="J37" s="32"/>
      <c r="K37" s="177"/>
      <c r="L37" s="34"/>
      <c r="M37" s="32"/>
      <c r="N37" s="34"/>
      <c r="O37" s="32"/>
      <c r="P37" s="32"/>
      <c r="Q37" s="34"/>
    </row>
    <row r="38" ht="22.5" customHeight="1">
      <c r="B38" s="34"/>
      <c r="C38" s="137"/>
      <c r="D38" s="44"/>
      <c r="E38" s="137"/>
      <c r="F38" s="137"/>
      <c r="G38" s="176"/>
      <c r="H38" s="176"/>
      <c r="I38" s="34"/>
      <c r="J38" s="32"/>
      <c r="K38" s="177"/>
      <c r="L38" s="34"/>
      <c r="M38" s="32"/>
      <c r="N38" s="34"/>
      <c r="O38" s="32"/>
      <c r="P38" s="32"/>
      <c r="Q38" s="34"/>
    </row>
    <row r="39" ht="22.5" customHeight="1">
      <c r="B39" s="34"/>
      <c r="C39" s="137"/>
      <c r="D39" s="44"/>
      <c r="E39" s="137"/>
      <c r="F39" s="137"/>
      <c r="G39" s="176"/>
      <c r="H39" s="176"/>
      <c r="I39" s="34"/>
      <c r="J39" s="32"/>
      <c r="K39" s="177"/>
      <c r="L39" s="34"/>
      <c r="M39" s="32"/>
      <c r="N39" s="34"/>
      <c r="O39" s="32"/>
      <c r="P39" s="32"/>
      <c r="Q39" s="34"/>
    </row>
    <row r="40" ht="22.5" customHeight="1">
      <c r="B40" s="34"/>
      <c r="C40" s="137"/>
      <c r="D40" s="44"/>
      <c r="E40" s="137"/>
      <c r="F40" s="137"/>
      <c r="G40" s="176"/>
      <c r="H40" s="176"/>
      <c r="I40" s="34"/>
      <c r="J40" s="32"/>
      <c r="K40" s="177"/>
      <c r="L40" s="34"/>
      <c r="M40" s="32"/>
      <c r="N40" s="34"/>
      <c r="O40" s="32"/>
      <c r="P40" s="32"/>
      <c r="Q40" s="34"/>
    </row>
    <row r="41" ht="22.5" customHeight="1">
      <c r="B41" s="34"/>
      <c r="C41" s="137"/>
      <c r="D41" s="44"/>
      <c r="E41" s="137"/>
      <c r="F41" s="137"/>
      <c r="G41" s="176"/>
      <c r="H41" s="176"/>
      <c r="I41" s="34"/>
      <c r="J41" s="32"/>
      <c r="K41" s="177"/>
      <c r="L41" s="34"/>
      <c r="M41" s="32"/>
      <c r="N41" s="34"/>
      <c r="O41" s="32"/>
      <c r="P41" s="32"/>
      <c r="Q41" s="34"/>
    </row>
    <row r="42" ht="22.5" customHeight="1">
      <c r="B42" s="34"/>
      <c r="C42" s="137"/>
      <c r="D42" s="44"/>
      <c r="E42" s="137"/>
      <c r="F42" s="137"/>
      <c r="G42" s="176"/>
      <c r="H42" s="176"/>
      <c r="I42" s="34"/>
      <c r="J42" s="32"/>
      <c r="K42" s="177"/>
      <c r="L42" s="34"/>
      <c r="M42" s="32"/>
      <c r="N42" s="34"/>
      <c r="O42" s="32"/>
      <c r="P42" s="32"/>
      <c r="Q42" s="34"/>
    </row>
    <row r="43" ht="22.5" customHeight="1">
      <c r="B43" s="34"/>
      <c r="C43" s="137"/>
      <c r="D43" s="44"/>
      <c r="E43" s="137"/>
      <c r="F43" s="137"/>
      <c r="G43" s="176"/>
      <c r="H43" s="176"/>
      <c r="I43" s="34"/>
      <c r="J43" s="32"/>
      <c r="K43" s="177"/>
      <c r="L43" s="34"/>
      <c r="M43" s="32"/>
      <c r="N43" s="34"/>
      <c r="O43" s="32"/>
      <c r="P43" s="32"/>
      <c r="Q43" s="34"/>
    </row>
    <row r="44" ht="22.5" customHeight="1">
      <c r="B44" s="34"/>
      <c r="C44" s="137"/>
      <c r="D44" s="44"/>
      <c r="E44" s="137"/>
      <c r="F44" s="137"/>
      <c r="G44" s="176"/>
      <c r="H44" s="176"/>
      <c r="I44" s="34"/>
      <c r="J44" s="32"/>
      <c r="K44" s="177"/>
      <c r="L44" s="34"/>
      <c r="M44" s="32"/>
      <c r="N44" s="34"/>
      <c r="O44" s="32"/>
      <c r="P44" s="32"/>
      <c r="Q44" s="34"/>
    </row>
    <row r="45" ht="22.5" customHeight="1">
      <c r="B45" s="34"/>
      <c r="C45" s="137"/>
      <c r="D45" s="44"/>
      <c r="E45" s="137"/>
      <c r="F45" s="137"/>
      <c r="G45" s="176"/>
      <c r="H45" s="176"/>
      <c r="I45" s="34"/>
      <c r="J45" s="32"/>
      <c r="K45" s="177"/>
      <c r="L45" s="34"/>
      <c r="M45" s="32"/>
      <c r="N45" s="34"/>
      <c r="O45" s="32"/>
      <c r="P45" s="32"/>
      <c r="Q45" s="34"/>
    </row>
    <row r="46" ht="22.5" customHeight="1">
      <c r="B46" s="34"/>
      <c r="C46" s="137"/>
      <c r="D46" s="44"/>
      <c r="E46" s="137"/>
      <c r="F46" s="137"/>
      <c r="G46" s="176"/>
      <c r="H46" s="176"/>
      <c r="I46" s="34"/>
      <c r="J46" s="32"/>
      <c r="K46" s="177"/>
      <c r="L46" s="34"/>
      <c r="M46" s="32"/>
      <c r="N46" s="34"/>
      <c r="O46" s="32"/>
      <c r="P46" s="32"/>
      <c r="Q46" s="34"/>
    </row>
    <row r="47" ht="22.5" customHeight="1">
      <c r="B47" s="34"/>
      <c r="C47" s="137"/>
      <c r="D47" s="44"/>
      <c r="E47" s="137"/>
      <c r="F47" s="137"/>
      <c r="G47" s="176"/>
      <c r="H47" s="176"/>
      <c r="I47" s="34"/>
      <c r="J47" s="32"/>
      <c r="K47" s="177"/>
      <c r="L47" s="34"/>
      <c r="M47" s="32"/>
      <c r="N47" s="34"/>
      <c r="O47" s="32"/>
      <c r="P47" s="32"/>
      <c r="Q47" s="34"/>
    </row>
    <row r="48" ht="22.5" customHeight="1">
      <c r="B48" s="34"/>
      <c r="C48" s="137"/>
      <c r="D48" s="44"/>
      <c r="E48" s="137"/>
      <c r="F48" s="137"/>
      <c r="G48" s="176"/>
      <c r="H48" s="176"/>
      <c r="I48" s="34"/>
      <c r="J48" s="32"/>
      <c r="K48" s="177"/>
      <c r="L48" s="34"/>
      <c r="M48" s="32"/>
      <c r="N48" s="34"/>
      <c r="O48" s="32"/>
      <c r="P48" s="32"/>
      <c r="Q48" s="34"/>
    </row>
    <row r="49" ht="22.5" customHeight="1">
      <c r="B49" s="34"/>
      <c r="C49" s="137"/>
      <c r="D49" s="44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32"/>
      <c r="P49" s="32"/>
      <c r="Q49" s="34"/>
    </row>
    <row r="50" ht="22.5" customHeight="1">
      <c r="B50" s="34"/>
      <c r="C50" s="137"/>
      <c r="D50" s="44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32"/>
      <c r="P50" s="32"/>
      <c r="Q50" s="34"/>
    </row>
    <row r="51" ht="22.5" customHeight="1">
      <c r="B51" s="34"/>
      <c r="C51" s="137"/>
      <c r="D51" s="44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32"/>
      <c r="P51" s="32"/>
      <c r="Q51" s="34"/>
    </row>
    <row r="52" ht="22.5" customHeight="1">
      <c r="B52" s="34"/>
      <c r="C52" s="137"/>
      <c r="D52" s="44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131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1000000.0</v>
      </c>
      <c r="F4" s="15">
        <f>SUMIFS(OPI_18[MAF NETO],OPI_18[ESTADO],"Desembolsado")</f>
        <v>318250</v>
      </c>
      <c r="G4" s="15">
        <f>F4-E4</f>
        <v>-681750</v>
      </c>
      <c r="H4" s="16">
        <f>SUMIFS(OPI_18[MAF NETO],OPI_18[ESTADO],H$3)</f>
        <v>0</v>
      </c>
      <c r="I4" s="16">
        <f>SUMIFS(OPI_18[MAF NETO],OPI_18[ESTADO],I$3)</f>
        <v>0</v>
      </c>
      <c r="J4" s="16">
        <f>SUMIFS(OPI_18[MAF NETO],OPI_18[ESTADO],J$3)</f>
        <v>0</v>
      </c>
      <c r="K4" s="16">
        <f>SUMIFS(OPI_18[MAF NETO],OPI_18[ESTADO],K$3)</f>
        <v>0</v>
      </c>
      <c r="L4" s="16">
        <f>SUMIFS(OPI_18[MAF NETO],OPI_18[ESTADO],L$3)</f>
        <v>0</v>
      </c>
      <c r="M4" s="16">
        <f>SUMIFS(OPI_18[MAF NETO],OPI_18[ESTADO],M$3)</f>
        <v>0</v>
      </c>
      <c r="N4" s="16">
        <f>SUMIFS(OPI_18[MAF NETO],OPI_18[ESTADO],N$3)</f>
        <v>114300</v>
      </c>
    </row>
    <row r="5" ht="26.25" customHeight="1">
      <c r="D5" s="17" t="s">
        <v>31</v>
      </c>
      <c r="E5" s="18" t="s">
        <v>32</v>
      </c>
      <c r="F5" s="19">
        <f>COUNTIFS(OPI_18[ESTADO],"Desembolsado")</f>
        <v>4</v>
      </c>
      <c r="G5" s="20">
        <f>IFERROR(F4/E4,"")</f>
        <v>0.31825</v>
      </c>
      <c r="H5" s="19">
        <f>COUNTIFS(OPI_18[ESTADO],H$3)</f>
        <v>0</v>
      </c>
      <c r="I5" s="19">
        <f>COUNTIFS(OPI_18[ESTADO],I$3)</f>
        <v>0</v>
      </c>
      <c r="J5" s="19">
        <f>COUNTIFS(OPI_18[ESTADO],J$3)</f>
        <v>0</v>
      </c>
      <c r="K5" s="19">
        <f>COUNTIFS(OPI_18[ESTADO],K$3)</f>
        <v>0</v>
      </c>
      <c r="L5" s="19">
        <f>COUNTIFS(OPI_18[ESTADO],L$3)</f>
        <v>0</v>
      </c>
      <c r="M5" s="19">
        <f>COUNTIFS(OPI_18[ESTADO],M$3)</f>
        <v>0</v>
      </c>
      <c r="N5" s="19">
        <f>COUNTIFS(OPI_18[ESTADO],N$3)</f>
        <v>3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5" t="s">
        <v>131</v>
      </c>
      <c r="C10" s="26"/>
      <c r="D10" s="27" t="s">
        <v>53</v>
      </c>
      <c r="E10" s="26"/>
      <c r="F10" s="26"/>
      <c r="G10" s="28" t="s">
        <v>935</v>
      </c>
      <c r="H10" s="28" t="s">
        <v>936</v>
      </c>
      <c r="I10" s="25" t="s">
        <v>56</v>
      </c>
      <c r="J10" s="27" t="s">
        <v>19</v>
      </c>
      <c r="K10" s="29">
        <v>83300.0</v>
      </c>
      <c r="L10" s="25" t="s">
        <v>937</v>
      </c>
      <c r="M10" s="44"/>
      <c r="N10" s="34"/>
      <c r="O10" s="44"/>
      <c r="P10" s="32"/>
      <c r="Q10" s="25"/>
    </row>
    <row r="11" ht="22.5" customHeight="1">
      <c r="B11" s="25" t="s">
        <v>131</v>
      </c>
      <c r="C11" s="26"/>
      <c r="D11" s="27" t="s">
        <v>53</v>
      </c>
      <c r="E11" s="26"/>
      <c r="F11" s="26"/>
      <c r="G11" s="28" t="s">
        <v>938</v>
      </c>
      <c r="H11" s="28" t="s">
        <v>939</v>
      </c>
      <c r="I11" s="25" t="s">
        <v>56</v>
      </c>
      <c r="J11" s="27" t="s">
        <v>19</v>
      </c>
      <c r="K11" s="29">
        <v>72700.0</v>
      </c>
      <c r="L11" s="25" t="s">
        <v>940</v>
      </c>
      <c r="M11" s="44"/>
      <c r="N11" s="34"/>
      <c r="O11" s="44"/>
      <c r="P11" s="32"/>
      <c r="Q11" s="34"/>
    </row>
    <row r="12" ht="22.5" customHeight="1">
      <c r="B12" s="25" t="s">
        <v>131</v>
      </c>
      <c r="C12" s="26"/>
      <c r="D12" s="44"/>
      <c r="E12" s="137"/>
      <c r="F12" s="137"/>
      <c r="G12" s="28" t="s">
        <v>941</v>
      </c>
      <c r="H12" s="28" t="s">
        <v>942</v>
      </c>
      <c r="I12" s="25" t="s">
        <v>56</v>
      </c>
      <c r="J12" s="27" t="s">
        <v>27</v>
      </c>
      <c r="K12" s="29">
        <v>0.0</v>
      </c>
      <c r="L12" s="25" t="s">
        <v>943</v>
      </c>
      <c r="M12" s="44"/>
      <c r="N12" s="34"/>
      <c r="O12" s="44"/>
      <c r="P12" s="32"/>
      <c r="Q12" s="34"/>
    </row>
    <row r="13" ht="22.5" customHeight="1">
      <c r="B13" s="25" t="s">
        <v>131</v>
      </c>
      <c r="C13" s="26"/>
      <c r="D13" s="27" t="s">
        <v>53</v>
      </c>
      <c r="E13" s="137"/>
      <c r="F13" s="137"/>
      <c r="G13" s="28" t="s">
        <v>944</v>
      </c>
      <c r="H13" s="28" t="s">
        <v>945</v>
      </c>
      <c r="I13" s="25" t="s">
        <v>73</v>
      </c>
      <c r="J13" s="27" t="s">
        <v>27</v>
      </c>
      <c r="K13" s="29">
        <v>89300.0</v>
      </c>
      <c r="L13" s="25" t="s">
        <v>943</v>
      </c>
      <c r="M13" s="44"/>
      <c r="N13" s="34"/>
      <c r="O13" s="44"/>
      <c r="P13" s="32"/>
      <c r="Q13" s="34"/>
    </row>
    <row r="14" ht="22.5" customHeight="1">
      <c r="B14" s="25" t="s">
        <v>131</v>
      </c>
      <c r="C14" s="26"/>
      <c r="D14" s="27" t="s">
        <v>53</v>
      </c>
      <c r="E14" s="137"/>
      <c r="F14" s="137"/>
      <c r="G14" s="28" t="s">
        <v>946</v>
      </c>
      <c r="H14" s="28" t="s">
        <v>947</v>
      </c>
      <c r="I14" s="25" t="s">
        <v>56</v>
      </c>
      <c r="J14" s="27" t="s">
        <v>19</v>
      </c>
      <c r="K14" s="29">
        <v>92250.0</v>
      </c>
      <c r="L14" s="25" t="s">
        <v>937</v>
      </c>
      <c r="M14" s="32"/>
      <c r="N14" s="34"/>
      <c r="O14" s="32"/>
      <c r="P14" s="32"/>
      <c r="Q14" s="34"/>
    </row>
    <row r="15" ht="22.5" customHeight="1">
      <c r="B15" s="25" t="s">
        <v>131</v>
      </c>
      <c r="C15" s="137"/>
      <c r="D15" s="27" t="s">
        <v>53</v>
      </c>
      <c r="E15" s="137"/>
      <c r="F15" s="137"/>
      <c r="G15" s="28" t="s">
        <v>948</v>
      </c>
      <c r="H15" s="28" t="s">
        <v>949</v>
      </c>
      <c r="I15" s="25" t="s">
        <v>56</v>
      </c>
      <c r="J15" s="27" t="s">
        <v>19</v>
      </c>
      <c r="K15" s="29">
        <v>70000.0</v>
      </c>
      <c r="L15" s="25" t="s">
        <v>940</v>
      </c>
      <c r="M15" s="32"/>
      <c r="N15" s="34"/>
      <c r="O15" s="32"/>
      <c r="P15" s="32"/>
      <c r="Q15" s="34"/>
    </row>
    <row r="16" ht="22.5" customHeight="1">
      <c r="B16" s="34"/>
      <c r="C16" s="137"/>
      <c r="D16" s="27" t="s">
        <v>149</v>
      </c>
      <c r="E16" s="137"/>
      <c r="F16" s="137"/>
      <c r="G16" s="28" t="s">
        <v>950</v>
      </c>
      <c r="H16" s="28" t="s">
        <v>951</v>
      </c>
      <c r="I16" s="25" t="s">
        <v>73</v>
      </c>
      <c r="J16" s="27" t="s">
        <v>27</v>
      </c>
      <c r="K16" s="29">
        <v>25000.0</v>
      </c>
      <c r="L16" s="25" t="s">
        <v>943</v>
      </c>
      <c r="M16" s="32"/>
      <c r="N16" s="34"/>
      <c r="O16" s="32"/>
      <c r="P16" s="32"/>
      <c r="Q16" s="34"/>
    </row>
    <row r="17" ht="22.5" customHeight="1">
      <c r="B17" s="34"/>
      <c r="C17" s="137"/>
      <c r="D17" s="44"/>
      <c r="E17" s="137"/>
      <c r="F17" s="137"/>
      <c r="G17" s="176"/>
      <c r="H17" s="176"/>
      <c r="I17" s="34"/>
      <c r="J17" s="32"/>
      <c r="K17" s="177"/>
      <c r="L17" s="34"/>
      <c r="M17" s="32"/>
      <c r="N17" s="34"/>
      <c r="O17" s="32"/>
      <c r="P17" s="32"/>
      <c r="Q17" s="34"/>
    </row>
    <row r="18" ht="22.5" customHeight="1">
      <c r="B18" s="34"/>
      <c r="C18" s="137"/>
      <c r="D18" s="44"/>
      <c r="E18" s="137"/>
      <c r="F18" s="137"/>
      <c r="G18" s="176"/>
      <c r="H18" s="176"/>
      <c r="I18" s="34"/>
      <c r="J18" s="32"/>
      <c r="K18" s="177"/>
      <c r="L18" s="34"/>
      <c r="M18" s="32"/>
      <c r="N18" s="34"/>
      <c r="O18" s="32"/>
      <c r="P18" s="32"/>
      <c r="Q18" s="34"/>
    </row>
    <row r="19" ht="22.5" customHeight="1">
      <c r="B19" s="34"/>
      <c r="C19" s="137"/>
      <c r="D19" s="44"/>
      <c r="E19" s="137"/>
      <c r="F19" s="137"/>
      <c r="G19" s="176"/>
      <c r="H19" s="176"/>
      <c r="I19" s="34"/>
      <c r="J19" s="32"/>
      <c r="K19" s="177"/>
      <c r="L19" s="34"/>
      <c r="M19" s="32"/>
      <c r="N19" s="34"/>
      <c r="O19" s="32"/>
      <c r="P19" s="32"/>
      <c r="Q19" s="34"/>
    </row>
    <row r="20" ht="22.5" customHeight="1">
      <c r="B20" s="34"/>
      <c r="C20" s="137"/>
      <c r="D20" s="44"/>
      <c r="E20" s="137"/>
      <c r="F20" s="137"/>
      <c r="G20" s="176"/>
      <c r="H20" s="176"/>
      <c r="I20" s="34"/>
      <c r="J20" s="32"/>
      <c r="K20" s="177"/>
      <c r="L20" s="34"/>
      <c r="M20" s="32"/>
      <c r="N20" s="34"/>
      <c r="O20" s="32"/>
      <c r="P20" s="32"/>
      <c r="Q20" s="34"/>
    </row>
    <row r="21" ht="22.5" customHeight="1">
      <c r="B21" s="34"/>
      <c r="C21" s="137"/>
      <c r="D21" s="44"/>
      <c r="E21" s="137"/>
      <c r="F21" s="137"/>
      <c r="G21" s="176"/>
      <c r="H21" s="176"/>
      <c r="I21" s="34"/>
      <c r="J21" s="32"/>
      <c r="K21" s="177"/>
      <c r="L21" s="34"/>
      <c r="M21" s="32"/>
      <c r="N21" s="34"/>
      <c r="O21" s="32"/>
      <c r="P21" s="32"/>
      <c r="Q21" s="34"/>
    </row>
    <row r="22" ht="22.5" customHeight="1">
      <c r="B22" s="34"/>
      <c r="C22" s="137"/>
      <c r="D22" s="44"/>
      <c r="E22" s="137"/>
      <c r="F22" s="137"/>
      <c r="G22" s="176"/>
      <c r="H22" s="176"/>
      <c r="I22" s="34"/>
      <c r="J22" s="32"/>
      <c r="K22" s="177"/>
      <c r="L22" s="34"/>
      <c r="M22" s="32"/>
      <c r="N22" s="34"/>
      <c r="O22" s="32"/>
      <c r="P22" s="32"/>
      <c r="Q22" s="34"/>
    </row>
    <row r="23" ht="22.5" customHeight="1">
      <c r="B23" s="34"/>
      <c r="C23" s="137"/>
      <c r="D23" s="44"/>
      <c r="E23" s="137"/>
      <c r="F23" s="137"/>
      <c r="G23" s="176"/>
      <c r="H23" s="176"/>
      <c r="I23" s="34"/>
      <c r="J23" s="32"/>
      <c r="K23" s="177"/>
      <c r="L23" s="34"/>
      <c r="M23" s="32"/>
      <c r="N23" s="34"/>
      <c r="O23" s="32"/>
      <c r="P23" s="32"/>
      <c r="Q23" s="34"/>
    </row>
    <row r="24" ht="22.5" customHeight="1">
      <c r="B24" s="34"/>
      <c r="C24" s="137"/>
      <c r="D24" s="44"/>
      <c r="E24" s="137"/>
      <c r="F24" s="137"/>
      <c r="G24" s="176"/>
      <c r="H24" s="176"/>
      <c r="I24" s="34"/>
      <c r="J24" s="32"/>
      <c r="K24" s="177"/>
      <c r="L24" s="34"/>
      <c r="M24" s="32"/>
      <c r="N24" s="34"/>
      <c r="O24" s="32"/>
      <c r="P24" s="32"/>
      <c r="Q24" s="34"/>
    </row>
    <row r="25" ht="22.5" customHeight="1">
      <c r="B25" s="34"/>
      <c r="C25" s="137"/>
      <c r="D25" s="44"/>
      <c r="E25" s="137"/>
      <c r="F25" s="137"/>
      <c r="G25" s="176"/>
      <c r="H25" s="176"/>
      <c r="I25" s="34"/>
      <c r="J25" s="32"/>
      <c r="K25" s="177"/>
      <c r="L25" s="34"/>
      <c r="M25" s="32"/>
      <c r="N25" s="34"/>
      <c r="O25" s="32"/>
      <c r="P25" s="32"/>
      <c r="Q25" s="34"/>
    </row>
    <row r="26" ht="22.5" customHeight="1">
      <c r="B26" s="34"/>
      <c r="C26" s="137"/>
      <c r="D26" s="44"/>
      <c r="E26" s="137"/>
      <c r="F26" s="137"/>
      <c r="G26" s="176"/>
      <c r="H26" s="176"/>
      <c r="I26" s="34"/>
      <c r="J26" s="32"/>
      <c r="K26" s="177"/>
      <c r="L26" s="34"/>
      <c r="M26" s="32"/>
      <c r="N26" s="34"/>
      <c r="O26" s="32"/>
      <c r="P26" s="32"/>
      <c r="Q26" s="34"/>
    </row>
    <row r="27" ht="22.5" customHeight="1">
      <c r="B27" s="34"/>
      <c r="C27" s="137"/>
      <c r="D27" s="44"/>
      <c r="E27" s="137"/>
      <c r="F27" s="137"/>
      <c r="G27" s="176"/>
      <c r="H27" s="176"/>
      <c r="I27" s="34"/>
      <c r="J27" s="32"/>
      <c r="K27" s="177"/>
      <c r="L27" s="34"/>
      <c r="M27" s="32"/>
      <c r="N27" s="34"/>
      <c r="O27" s="32"/>
      <c r="P27" s="32"/>
      <c r="Q27" s="34"/>
    </row>
    <row r="28" ht="22.5" customHeight="1">
      <c r="B28" s="34"/>
      <c r="C28" s="137"/>
      <c r="D28" s="44"/>
      <c r="E28" s="137"/>
      <c r="F28" s="137"/>
      <c r="G28" s="176"/>
      <c r="H28" s="176"/>
      <c r="I28" s="34"/>
      <c r="J28" s="32"/>
      <c r="K28" s="177"/>
      <c r="L28" s="34"/>
      <c r="M28" s="32"/>
      <c r="N28" s="34"/>
      <c r="O28" s="32"/>
      <c r="P28" s="32"/>
      <c r="Q28" s="34"/>
    </row>
    <row r="29" ht="22.5" customHeight="1">
      <c r="B29" s="34"/>
      <c r="C29" s="137"/>
      <c r="D29" s="44"/>
      <c r="E29" s="137"/>
      <c r="F29" s="137"/>
      <c r="G29" s="176"/>
      <c r="H29" s="176"/>
      <c r="I29" s="34"/>
      <c r="J29" s="32"/>
      <c r="K29" s="177"/>
      <c r="L29" s="34"/>
      <c r="M29" s="32"/>
      <c r="N29" s="34"/>
      <c r="O29" s="32"/>
      <c r="P29" s="32"/>
      <c r="Q29" s="34"/>
    </row>
    <row r="30" ht="22.5" customHeight="1">
      <c r="B30" s="34"/>
      <c r="C30" s="137"/>
      <c r="D30" s="44"/>
      <c r="E30" s="137"/>
      <c r="F30" s="137"/>
      <c r="G30" s="176"/>
      <c r="H30" s="176"/>
      <c r="I30" s="34"/>
      <c r="J30" s="32"/>
      <c r="K30" s="177"/>
      <c r="L30" s="34"/>
      <c r="M30" s="32"/>
      <c r="N30" s="34"/>
      <c r="O30" s="32"/>
      <c r="P30" s="32"/>
      <c r="Q30" s="34"/>
    </row>
    <row r="31" ht="22.5" customHeight="1">
      <c r="B31" s="34"/>
      <c r="C31" s="137"/>
      <c r="D31" s="44"/>
      <c r="E31" s="137"/>
      <c r="F31" s="137"/>
      <c r="G31" s="176"/>
      <c r="H31" s="176"/>
      <c r="I31" s="34"/>
      <c r="J31" s="32"/>
      <c r="K31" s="177"/>
      <c r="L31" s="34"/>
      <c r="M31" s="32"/>
      <c r="N31" s="34"/>
      <c r="O31" s="32"/>
      <c r="P31" s="32"/>
      <c r="Q31" s="34"/>
    </row>
    <row r="32" ht="22.5" customHeight="1">
      <c r="B32" s="34"/>
      <c r="C32" s="137"/>
      <c r="D32" s="44"/>
      <c r="E32" s="137"/>
      <c r="F32" s="137"/>
      <c r="G32" s="176"/>
      <c r="H32" s="176"/>
      <c r="I32" s="34"/>
      <c r="J32" s="32"/>
      <c r="K32" s="177"/>
      <c r="L32" s="34"/>
      <c r="M32" s="32"/>
      <c r="N32" s="34"/>
      <c r="O32" s="32"/>
      <c r="P32" s="32"/>
      <c r="Q32" s="34"/>
    </row>
    <row r="33" ht="22.5" customHeight="1">
      <c r="B33" s="34"/>
      <c r="C33" s="137"/>
      <c r="D33" s="44"/>
      <c r="E33" s="137"/>
      <c r="F33" s="137"/>
      <c r="G33" s="176"/>
      <c r="H33" s="176"/>
      <c r="I33" s="34"/>
      <c r="J33" s="32"/>
      <c r="K33" s="177"/>
      <c r="L33" s="34"/>
      <c r="M33" s="32"/>
      <c r="N33" s="34"/>
      <c r="O33" s="32"/>
      <c r="P33" s="32"/>
      <c r="Q33" s="34"/>
    </row>
    <row r="34" ht="22.5" customHeight="1">
      <c r="B34" s="34"/>
      <c r="C34" s="137"/>
      <c r="D34" s="44"/>
      <c r="E34" s="137"/>
      <c r="F34" s="137"/>
      <c r="G34" s="176"/>
      <c r="H34" s="176"/>
      <c r="I34" s="34"/>
      <c r="J34" s="32"/>
      <c r="K34" s="177"/>
      <c r="L34" s="34"/>
      <c r="M34" s="32"/>
      <c r="N34" s="34"/>
      <c r="O34" s="32"/>
      <c r="P34" s="32"/>
      <c r="Q34" s="34"/>
    </row>
    <row r="35" ht="22.5" customHeight="1">
      <c r="B35" s="34"/>
      <c r="C35" s="137"/>
      <c r="D35" s="44"/>
      <c r="E35" s="137"/>
      <c r="F35" s="137"/>
      <c r="G35" s="176"/>
      <c r="H35" s="176"/>
      <c r="I35" s="34"/>
      <c r="J35" s="32"/>
      <c r="K35" s="177"/>
      <c r="L35" s="34"/>
      <c r="M35" s="32"/>
      <c r="N35" s="34"/>
      <c r="O35" s="32"/>
      <c r="P35" s="32"/>
      <c r="Q35" s="34"/>
    </row>
    <row r="36" ht="22.5" customHeight="1">
      <c r="B36" s="34"/>
      <c r="C36" s="137"/>
      <c r="D36" s="44"/>
      <c r="E36" s="137"/>
      <c r="F36" s="137"/>
      <c r="G36" s="176"/>
      <c r="H36" s="176"/>
      <c r="I36" s="34"/>
      <c r="J36" s="32"/>
      <c r="K36" s="177"/>
      <c r="L36" s="34"/>
      <c r="M36" s="32"/>
      <c r="N36" s="34"/>
      <c r="O36" s="32"/>
      <c r="P36" s="32"/>
      <c r="Q36" s="34"/>
    </row>
    <row r="37" ht="22.5" customHeight="1">
      <c r="B37" s="34"/>
      <c r="C37" s="137"/>
      <c r="D37" s="44"/>
      <c r="E37" s="137"/>
      <c r="F37" s="137"/>
      <c r="G37" s="176"/>
      <c r="H37" s="176"/>
      <c r="I37" s="34"/>
      <c r="J37" s="32"/>
      <c r="K37" s="177"/>
      <c r="L37" s="34"/>
      <c r="M37" s="32"/>
      <c r="N37" s="34"/>
      <c r="O37" s="32"/>
      <c r="P37" s="32"/>
      <c r="Q37" s="34"/>
    </row>
    <row r="38" ht="22.5" customHeight="1">
      <c r="B38" s="34"/>
      <c r="C38" s="137"/>
      <c r="D38" s="44"/>
      <c r="E38" s="137"/>
      <c r="F38" s="137"/>
      <c r="G38" s="176"/>
      <c r="H38" s="176"/>
      <c r="I38" s="34"/>
      <c r="J38" s="32"/>
      <c r="K38" s="177"/>
      <c r="L38" s="34"/>
      <c r="M38" s="32"/>
      <c r="N38" s="34"/>
      <c r="O38" s="32"/>
      <c r="P38" s="32"/>
      <c r="Q38" s="34"/>
    </row>
    <row r="39" ht="22.5" customHeight="1">
      <c r="B39" s="34"/>
      <c r="C39" s="137"/>
      <c r="D39" s="44"/>
      <c r="E39" s="137"/>
      <c r="F39" s="137"/>
      <c r="G39" s="176"/>
      <c r="H39" s="176"/>
      <c r="I39" s="34"/>
      <c r="J39" s="32"/>
      <c r="K39" s="177"/>
      <c r="L39" s="34"/>
      <c r="M39" s="32"/>
      <c r="N39" s="34"/>
      <c r="O39" s="32"/>
      <c r="P39" s="32"/>
      <c r="Q39" s="34"/>
    </row>
    <row r="40" ht="22.5" customHeight="1">
      <c r="B40" s="34"/>
      <c r="C40" s="137"/>
      <c r="D40" s="44"/>
      <c r="E40" s="137"/>
      <c r="F40" s="137"/>
      <c r="G40" s="176"/>
      <c r="H40" s="176"/>
      <c r="I40" s="34"/>
      <c r="J40" s="32"/>
      <c r="K40" s="177"/>
      <c r="L40" s="34"/>
      <c r="M40" s="32"/>
      <c r="N40" s="34"/>
      <c r="O40" s="32"/>
      <c r="P40" s="32"/>
      <c r="Q40" s="34"/>
    </row>
    <row r="41" ht="22.5" customHeight="1">
      <c r="B41" s="34"/>
      <c r="C41" s="137"/>
      <c r="D41" s="44"/>
      <c r="E41" s="137"/>
      <c r="F41" s="137"/>
      <c r="G41" s="176"/>
      <c r="H41" s="176"/>
      <c r="I41" s="34"/>
      <c r="J41" s="32"/>
      <c r="K41" s="177"/>
      <c r="L41" s="34"/>
      <c r="M41" s="32"/>
      <c r="N41" s="34"/>
      <c r="O41" s="32"/>
      <c r="P41" s="32"/>
      <c r="Q41" s="34"/>
    </row>
    <row r="42" ht="22.5" customHeight="1">
      <c r="B42" s="34"/>
      <c r="C42" s="137"/>
      <c r="D42" s="44"/>
      <c r="E42" s="137"/>
      <c r="F42" s="137"/>
      <c r="G42" s="176"/>
      <c r="H42" s="176"/>
      <c r="I42" s="34"/>
      <c r="J42" s="32"/>
      <c r="K42" s="177"/>
      <c r="L42" s="34"/>
      <c r="M42" s="32"/>
      <c r="N42" s="34"/>
      <c r="O42" s="32"/>
      <c r="P42" s="32"/>
      <c r="Q42" s="34"/>
    </row>
    <row r="43" ht="22.5" customHeight="1">
      <c r="B43" s="34"/>
      <c r="C43" s="137"/>
      <c r="D43" s="44"/>
      <c r="E43" s="137"/>
      <c r="F43" s="137"/>
      <c r="G43" s="176"/>
      <c r="H43" s="176"/>
      <c r="I43" s="34"/>
      <c r="J43" s="32"/>
      <c r="K43" s="177"/>
      <c r="L43" s="34"/>
      <c r="M43" s="32"/>
      <c r="N43" s="34"/>
      <c r="O43" s="32"/>
      <c r="P43" s="32"/>
      <c r="Q43" s="34"/>
    </row>
    <row r="44" ht="22.5" customHeight="1">
      <c r="B44" s="34"/>
      <c r="C44" s="137"/>
      <c r="D44" s="44"/>
      <c r="E44" s="137"/>
      <c r="F44" s="137"/>
      <c r="G44" s="176"/>
      <c r="H44" s="176"/>
      <c r="I44" s="34"/>
      <c r="J44" s="32"/>
      <c r="K44" s="177"/>
      <c r="L44" s="34"/>
      <c r="M44" s="32"/>
      <c r="N44" s="34"/>
      <c r="O44" s="32"/>
      <c r="P44" s="32"/>
      <c r="Q44" s="34"/>
    </row>
    <row r="45" ht="22.5" customHeight="1">
      <c r="B45" s="34"/>
      <c r="C45" s="137"/>
      <c r="D45" s="44"/>
      <c r="E45" s="137"/>
      <c r="F45" s="137"/>
      <c r="G45" s="176"/>
      <c r="H45" s="176"/>
      <c r="I45" s="34"/>
      <c r="J45" s="32"/>
      <c r="K45" s="177"/>
      <c r="L45" s="34"/>
      <c r="M45" s="32"/>
      <c r="N45" s="34"/>
      <c r="O45" s="32"/>
      <c r="P45" s="32"/>
      <c r="Q45" s="34"/>
    </row>
    <row r="46" ht="22.5" customHeight="1">
      <c r="B46" s="34"/>
      <c r="C46" s="137"/>
      <c r="D46" s="44"/>
      <c r="E46" s="137"/>
      <c r="F46" s="137"/>
      <c r="G46" s="176"/>
      <c r="H46" s="176"/>
      <c r="I46" s="34"/>
      <c r="J46" s="32"/>
      <c r="K46" s="177"/>
      <c r="L46" s="34"/>
      <c r="M46" s="32"/>
      <c r="N46" s="34"/>
      <c r="O46" s="32"/>
      <c r="P46" s="32"/>
      <c r="Q46" s="34"/>
    </row>
    <row r="47" ht="22.5" customHeight="1">
      <c r="B47" s="34"/>
      <c r="C47" s="137"/>
      <c r="D47" s="44"/>
      <c r="E47" s="137"/>
      <c r="F47" s="137"/>
      <c r="G47" s="176"/>
      <c r="H47" s="176"/>
      <c r="I47" s="34"/>
      <c r="J47" s="32"/>
      <c r="K47" s="177"/>
      <c r="L47" s="34"/>
      <c r="M47" s="32"/>
      <c r="N47" s="34"/>
      <c r="O47" s="32"/>
      <c r="P47" s="32"/>
      <c r="Q47" s="34"/>
    </row>
    <row r="48" ht="22.5" customHeight="1">
      <c r="B48" s="34"/>
      <c r="C48" s="137"/>
      <c r="D48" s="44"/>
      <c r="E48" s="137"/>
      <c r="F48" s="137"/>
      <c r="G48" s="176"/>
      <c r="H48" s="176"/>
      <c r="I48" s="34"/>
      <c r="J48" s="32"/>
      <c r="K48" s="177"/>
      <c r="L48" s="34"/>
      <c r="M48" s="32"/>
      <c r="N48" s="34"/>
      <c r="O48" s="32"/>
      <c r="P48" s="32"/>
      <c r="Q48" s="34"/>
    </row>
    <row r="49" ht="22.5" customHeight="1">
      <c r="B49" s="34"/>
      <c r="C49" s="137"/>
      <c r="D49" s="44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32"/>
      <c r="P49" s="32"/>
      <c r="Q49" s="34"/>
    </row>
    <row r="50" ht="22.5" customHeight="1">
      <c r="B50" s="34"/>
      <c r="C50" s="137"/>
      <c r="D50" s="44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32"/>
      <c r="P50" s="32"/>
      <c r="Q50" s="34"/>
    </row>
    <row r="51" ht="22.5" customHeight="1">
      <c r="B51" s="34"/>
      <c r="C51" s="137"/>
      <c r="D51" s="44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32"/>
      <c r="P51" s="32"/>
      <c r="Q51" s="34"/>
    </row>
    <row r="52" ht="22.5" customHeight="1">
      <c r="B52" s="34"/>
      <c r="C52" s="137"/>
      <c r="D52" s="44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129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1000000.0</v>
      </c>
      <c r="F4" s="15">
        <f>SUMIFS(OPI_13[MAF NETO],OPI_13[ESTADO],"Desembolsado")</f>
        <v>617400</v>
      </c>
      <c r="G4" s="15">
        <f>F4-E4</f>
        <v>-382600</v>
      </c>
      <c r="H4" s="16">
        <f>SUMIFS(OPI_13[MAF NETO],OPI_13[ESTADO],H$3)</f>
        <v>0</v>
      </c>
      <c r="I4" s="16">
        <f>SUMIFS(OPI_13[MAF NETO],OPI_13[ESTADO],I$3)</f>
        <v>0</v>
      </c>
      <c r="J4" s="16">
        <f>SUMIFS(OPI_13[MAF NETO],OPI_13[ESTADO],J$3)</f>
        <v>0</v>
      </c>
      <c r="K4" s="16">
        <f>SUMIFS(OPI_13[MAF NETO],OPI_13[ESTADO],K$3)</f>
        <v>116000</v>
      </c>
      <c r="L4" s="16">
        <f>SUMIFS(OPI_13[MAF NETO],OPI_13[ESTADO],L$3)</f>
        <v>0</v>
      </c>
      <c r="M4" s="16">
        <f>SUMIFS(OPI_13[MAF NETO],OPI_13[ESTADO],M$3)</f>
        <v>0</v>
      </c>
      <c r="N4" s="16">
        <f>SUMIFS(OPI_13[MAF NETO],OPI_13[ESTADO],N$3)</f>
        <v>254550</v>
      </c>
    </row>
    <row r="5" ht="26.25" customHeight="1">
      <c r="D5" s="17" t="s">
        <v>31</v>
      </c>
      <c r="E5" s="18" t="s">
        <v>32</v>
      </c>
      <c r="F5" s="19">
        <f>COUNTIFS(OPI_13[ESTADO],"Desembolsado")</f>
        <v>9</v>
      </c>
      <c r="G5" s="20">
        <f>IFERROR(F4/E4,"")</f>
        <v>0.6174</v>
      </c>
      <c r="H5" s="19">
        <f>COUNTIFS(OPI_13[ESTADO],H$3)</f>
        <v>0</v>
      </c>
      <c r="I5" s="19">
        <f>COUNTIFS(OPI_13[ESTADO],I$3)</f>
        <v>0</v>
      </c>
      <c r="J5" s="19">
        <f>COUNTIFS(OPI_13[ESTADO],J$3)</f>
        <v>0</v>
      </c>
      <c r="K5" s="19">
        <f>COUNTIFS(OPI_13[ESTADO],K$3)</f>
        <v>3</v>
      </c>
      <c r="L5" s="19">
        <f>COUNTIFS(OPI_13[ESTADO],L$3)</f>
        <v>0</v>
      </c>
      <c r="M5" s="19">
        <f>COUNTIFS(OPI_13[ESTADO],M$3)</f>
        <v>0</v>
      </c>
      <c r="N5" s="19">
        <f>COUNTIFS(OPI_13[ESTADO],N$3)</f>
        <v>3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5" t="s">
        <v>129</v>
      </c>
      <c r="C10" s="26">
        <v>46242.0</v>
      </c>
      <c r="D10" s="179" t="s">
        <v>53</v>
      </c>
      <c r="E10" s="26">
        <v>46242.0</v>
      </c>
      <c r="F10" s="26">
        <v>46252.0</v>
      </c>
      <c r="G10" s="28" t="s">
        <v>952</v>
      </c>
      <c r="H10" s="28" t="s">
        <v>953</v>
      </c>
      <c r="I10" s="25" t="s">
        <v>56</v>
      </c>
      <c r="J10" s="27" t="s">
        <v>19</v>
      </c>
      <c r="K10" s="29">
        <v>88800.0</v>
      </c>
      <c r="L10" s="25" t="s">
        <v>954</v>
      </c>
      <c r="M10" s="27" t="s">
        <v>101</v>
      </c>
      <c r="N10" s="30"/>
      <c r="O10" s="27" t="s">
        <v>101</v>
      </c>
      <c r="P10" s="27"/>
      <c r="Q10" s="25"/>
    </row>
    <row r="11" ht="22.5" customHeight="1">
      <c r="B11" s="25" t="s">
        <v>129</v>
      </c>
      <c r="C11" s="26">
        <v>46242.0</v>
      </c>
      <c r="D11" s="179" t="s">
        <v>53</v>
      </c>
      <c r="E11" s="26">
        <v>46242.0</v>
      </c>
      <c r="F11" s="26">
        <v>46246.0</v>
      </c>
      <c r="G11" s="28" t="s">
        <v>955</v>
      </c>
      <c r="H11" s="28" t="s">
        <v>956</v>
      </c>
      <c r="I11" s="25" t="s">
        <v>56</v>
      </c>
      <c r="J11" s="27" t="s">
        <v>19</v>
      </c>
      <c r="K11" s="29">
        <v>65000.0</v>
      </c>
      <c r="L11" s="25" t="s">
        <v>954</v>
      </c>
      <c r="M11" s="27" t="s">
        <v>101</v>
      </c>
      <c r="N11" s="30"/>
      <c r="O11" s="27" t="s">
        <v>101</v>
      </c>
      <c r="P11" s="27"/>
      <c r="Q11" s="34"/>
    </row>
    <row r="12" ht="22.5" customHeight="1">
      <c r="B12" s="25" t="s">
        <v>129</v>
      </c>
      <c r="C12" s="26">
        <v>46245.0</v>
      </c>
      <c r="D12" s="179" t="s">
        <v>178</v>
      </c>
      <c r="E12" s="26">
        <v>46246.0</v>
      </c>
      <c r="F12" s="26"/>
      <c r="G12" s="28" t="s">
        <v>957</v>
      </c>
      <c r="H12" s="28" t="s">
        <v>958</v>
      </c>
      <c r="I12" s="25" t="s">
        <v>56</v>
      </c>
      <c r="J12" s="27" t="s">
        <v>27</v>
      </c>
      <c r="K12" s="29">
        <v>91400.0</v>
      </c>
      <c r="L12" s="25" t="s">
        <v>954</v>
      </c>
      <c r="M12" s="27"/>
      <c r="N12" s="30"/>
      <c r="O12" s="27"/>
      <c r="P12" s="27"/>
      <c r="Q12" s="25" t="s">
        <v>959</v>
      </c>
    </row>
    <row r="13" ht="22.5" customHeight="1">
      <c r="B13" s="25" t="s">
        <v>129</v>
      </c>
      <c r="C13" s="26">
        <v>46245.0</v>
      </c>
      <c r="D13" s="179" t="s">
        <v>53</v>
      </c>
      <c r="E13" s="26">
        <v>46247.0</v>
      </c>
      <c r="F13" s="26">
        <v>46251.0</v>
      </c>
      <c r="G13" s="28" t="s">
        <v>960</v>
      </c>
      <c r="H13" s="28" t="s">
        <v>961</v>
      </c>
      <c r="I13" s="25" t="s">
        <v>56</v>
      </c>
      <c r="J13" s="27" t="s">
        <v>19</v>
      </c>
      <c r="K13" s="29">
        <v>81700.0</v>
      </c>
      <c r="L13" s="25" t="s">
        <v>954</v>
      </c>
      <c r="M13" s="27" t="s">
        <v>101</v>
      </c>
      <c r="N13" s="30"/>
      <c r="O13" s="27" t="s">
        <v>101</v>
      </c>
      <c r="P13" s="27"/>
      <c r="Q13" s="25"/>
    </row>
    <row r="14" ht="22.5" customHeight="1">
      <c r="B14" s="25" t="s">
        <v>129</v>
      </c>
      <c r="C14" s="26">
        <v>46246.0</v>
      </c>
      <c r="D14" s="179" t="s">
        <v>53</v>
      </c>
      <c r="E14" s="26">
        <v>46247.0</v>
      </c>
      <c r="F14" s="26">
        <v>46252.0</v>
      </c>
      <c r="G14" s="28" t="s">
        <v>962</v>
      </c>
      <c r="H14" s="28" t="s">
        <v>963</v>
      </c>
      <c r="I14" s="25" t="s">
        <v>697</v>
      </c>
      <c r="J14" s="27" t="s">
        <v>19</v>
      </c>
      <c r="K14" s="29">
        <v>63800.0</v>
      </c>
      <c r="L14" s="25" t="s">
        <v>954</v>
      </c>
      <c r="M14" s="27" t="s">
        <v>101</v>
      </c>
      <c r="N14" s="30"/>
      <c r="O14" s="27" t="s">
        <v>101</v>
      </c>
      <c r="P14" s="27"/>
      <c r="Q14" s="34"/>
    </row>
    <row r="15" ht="22.5" customHeight="1">
      <c r="B15" s="25" t="s">
        <v>129</v>
      </c>
      <c r="C15" s="26">
        <v>46247.0</v>
      </c>
      <c r="D15" s="179" t="s">
        <v>53</v>
      </c>
      <c r="E15" s="26">
        <v>46248.0</v>
      </c>
      <c r="F15" s="26">
        <v>46259.0</v>
      </c>
      <c r="G15" s="28" t="s">
        <v>964</v>
      </c>
      <c r="H15" s="28" t="s">
        <v>965</v>
      </c>
      <c r="I15" s="25" t="s">
        <v>697</v>
      </c>
      <c r="J15" s="27" t="s">
        <v>19</v>
      </c>
      <c r="K15" s="29">
        <v>12000.0</v>
      </c>
      <c r="L15" s="25" t="s">
        <v>954</v>
      </c>
      <c r="M15" s="27" t="s">
        <v>101</v>
      </c>
      <c r="N15" s="30"/>
      <c r="O15" s="27" t="s">
        <v>101</v>
      </c>
      <c r="P15" s="27"/>
      <c r="Q15" s="34"/>
    </row>
    <row r="16" ht="22.5" customHeight="1">
      <c r="B16" s="25" t="s">
        <v>129</v>
      </c>
      <c r="C16" s="26">
        <v>46247.0</v>
      </c>
      <c r="D16" s="179" t="s">
        <v>178</v>
      </c>
      <c r="E16" s="26">
        <v>46250.0</v>
      </c>
      <c r="F16" s="26"/>
      <c r="G16" s="28" t="s">
        <v>966</v>
      </c>
      <c r="H16" s="28" t="s">
        <v>967</v>
      </c>
      <c r="I16" s="25" t="s">
        <v>56</v>
      </c>
      <c r="J16" s="27" t="s">
        <v>27</v>
      </c>
      <c r="K16" s="29">
        <v>84750.0</v>
      </c>
      <c r="L16" s="25" t="s">
        <v>954</v>
      </c>
      <c r="M16" s="27"/>
      <c r="N16" s="30"/>
      <c r="O16" s="27"/>
      <c r="P16" s="27"/>
      <c r="Q16" s="25" t="s">
        <v>968</v>
      </c>
    </row>
    <row r="17" ht="22.5" customHeight="1">
      <c r="B17" s="25" t="s">
        <v>129</v>
      </c>
      <c r="C17" s="26">
        <v>46248.0</v>
      </c>
      <c r="D17" s="179" t="s">
        <v>178</v>
      </c>
      <c r="E17" s="26">
        <v>46258.0</v>
      </c>
      <c r="F17" s="26"/>
      <c r="G17" s="28" t="s">
        <v>972</v>
      </c>
      <c r="H17" s="28" t="s">
        <v>973</v>
      </c>
      <c r="I17" s="25" t="s">
        <v>56</v>
      </c>
      <c r="J17" s="27" t="s">
        <v>27</v>
      </c>
      <c r="K17" s="29">
        <v>78400.0</v>
      </c>
      <c r="L17" s="25" t="s">
        <v>954</v>
      </c>
      <c r="M17" s="27"/>
      <c r="N17" s="30"/>
      <c r="O17" s="32"/>
      <c r="P17" s="32"/>
      <c r="Q17" s="25" t="s">
        <v>974</v>
      </c>
    </row>
    <row r="18" ht="22.5" customHeight="1">
      <c r="B18" s="25" t="s">
        <v>129</v>
      </c>
      <c r="C18" s="26">
        <v>46251.0</v>
      </c>
      <c r="D18" s="179" t="s">
        <v>53</v>
      </c>
      <c r="E18" s="26">
        <v>46258.0</v>
      </c>
      <c r="F18" s="26">
        <v>46260.0</v>
      </c>
      <c r="G18" s="28" t="s">
        <v>975</v>
      </c>
      <c r="H18" s="28" t="s">
        <v>976</v>
      </c>
      <c r="I18" s="25" t="s">
        <v>56</v>
      </c>
      <c r="J18" s="27" t="s">
        <v>19</v>
      </c>
      <c r="K18" s="29">
        <v>83550.0</v>
      </c>
      <c r="L18" s="25" t="s">
        <v>954</v>
      </c>
      <c r="M18" s="27" t="s">
        <v>101</v>
      </c>
      <c r="N18" s="34"/>
      <c r="O18" s="27" t="s">
        <v>101</v>
      </c>
      <c r="P18" s="32"/>
      <c r="Q18" s="25"/>
    </row>
    <row r="19" ht="22.5" customHeight="1">
      <c r="B19" s="25" t="s">
        <v>129</v>
      </c>
      <c r="C19" s="26">
        <v>46258.0</v>
      </c>
      <c r="D19" s="179" t="s">
        <v>53</v>
      </c>
      <c r="E19" s="26">
        <v>46258.0</v>
      </c>
      <c r="F19" s="26">
        <v>46265.0</v>
      </c>
      <c r="G19" s="28" t="s">
        <v>979</v>
      </c>
      <c r="H19" s="28" t="s">
        <v>980</v>
      </c>
      <c r="I19" s="25" t="s">
        <v>56</v>
      </c>
      <c r="J19" s="27" t="s">
        <v>19</v>
      </c>
      <c r="K19" s="29">
        <v>63750.0</v>
      </c>
      <c r="L19" s="25" t="s">
        <v>954</v>
      </c>
      <c r="M19" s="27" t="s">
        <v>101</v>
      </c>
      <c r="N19" s="34"/>
      <c r="O19" s="27" t="s">
        <v>101</v>
      </c>
      <c r="P19" s="32"/>
      <c r="Q19" s="34"/>
    </row>
    <row r="20" ht="22.5" customHeight="1">
      <c r="B20" s="25" t="s">
        <v>129</v>
      </c>
      <c r="C20" s="26">
        <v>46259.0</v>
      </c>
      <c r="D20" s="179" t="s">
        <v>53</v>
      </c>
      <c r="E20" s="26">
        <v>46261.0</v>
      </c>
      <c r="F20" s="137"/>
      <c r="G20" s="28" t="s">
        <v>983</v>
      </c>
      <c r="H20" s="28" t="s">
        <v>984</v>
      </c>
      <c r="I20" s="25" t="s">
        <v>985</v>
      </c>
      <c r="J20" s="27" t="s">
        <v>24</v>
      </c>
      <c r="K20" s="29">
        <v>50000.0</v>
      </c>
      <c r="L20" s="25" t="s">
        <v>954</v>
      </c>
      <c r="M20" s="32"/>
      <c r="N20" s="34"/>
      <c r="O20" s="32"/>
      <c r="P20" s="32"/>
      <c r="Q20" s="25" t="s">
        <v>986</v>
      </c>
    </row>
    <row r="21" ht="22.5" customHeight="1">
      <c r="B21" s="25" t="s">
        <v>129</v>
      </c>
      <c r="C21" s="26">
        <v>46259.0</v>
      </c>
      <c r="D21" s="179" t="s">
        <v>53</v>
      </c>
      <c r="E21" s="26">
        <v>46259.0</v>
      </c>
      <c r="F21" s="26">
        <v>46262.0</v>
      </c>
      <c r="G21" s="28" t="s">
        <v>987</v>
      </c>
      <c r="H21" s="28" t="s">
        <v>988</v>
      </c>
      <c r="I21" s="25" t="s">
        <v>56</v>
      </c>
      <c r="J21" s="27" t="s">
        <v>19</v>
      </c>
      <c r="K21" s="29">
        <v>75700.0</v>
      </c>
      <c r="L21" s="25" t="s">
        <v>954</v>
      </c>
      <c r="M21" s="27" t="s">
        <v>101</v>
      </c>
      <c r="N21" s="34"/>
      <c r="O21" s="27" t="s">
        <v>101</v>
      </c>
      <c r="P21" s="32"/>
      <c r="Q21" s="34"/>
    </row>
    <row r="22" ht="22.5" customHeight="1">
      <c r="B22" s="25" t="s">
        <v>129</v>
      </c>
      <c r="C22" s="26">
        <v>46263.0</v>
      </c>
      <c r="D22" s="179" t="s">
        <v>53</v>
      </c>
      <c r="E22" s="26">
        <v>46265.0</v>
      </c>
      <c r="F22" s="26">
        <v>46265.0</v>
      </c>
      <c r="G22" s="28" t="s">
        <v>992</v>
      </c>
      <c r="H22" s="28" t="s">
        <v>993</v>
      </c>
      <c r="I22" s="25" t="s">
        <v>56</v>
      </c>
      <c r="J22" s="27" t="s">
        <v>19</v>
      </c>
      <c r="K22" s="29">
        <v>83100.0</v>
      </c>
      <c r="L22" s="25" t="s">
        <v>954</v>
      </c>
      <c r="M22" s="27" t="s">
        <v>101</v>
      </c>
      <c r="N22" s="34"/>
      <c r="O22" s="27" t="s">
        <v>101</v>
      </c>
      <c r="P22" s="32"/>
      <c r="Q22" s="34"/>
    </row>
    <row r="23" ht="22.5" customHeight="1">
      <c r="B23" s="25" t="s">
        <v>129</v>
      </c>
      <c r="C23" s="26">
        <v>46263.0</v>
      </c>
      <c r="D23" s="179" t="s">
        <v>53</v>
      </c>
      <c r="E23" s="26">
        <v>46265.0</v>
      </c>
      <c r="F23" s="137"/>
      <c r="G23" s="28" t="s">
        <v>997</v>
      </c>
      <c r="H23" s="28" t="s">
        <v>998</v>
      </c>
      <c r="I23" s="25" t="s">
        <v>697</v>
      </c>
      <c r="J23" s="27" t="s">
        <v>24</v>
      </c>
      <c r="K23" s="29">
        <v>63000.0</v>
      </c>
      <c r="L23" s="25" t="s">
        <v>954</v>
      </c>
      <c r="M23" s="32"/>
      <c r="N23" s="34"/>
      <c r="O23" s="32"/>
      <c r="P23" s="32"/>
      <c r="Q23" s="34"/>
    </row>
    <row r="24" ht="22.5" customHeight="1">
      <c r="B24" s="25" t="s">
        <v>129</v>
      </c>
      <c r="C24" s="26">
        <v>46263.0</v>
      </c>
      <c r="D24" s="179" t="s">
        <v>149</v>
      </c>
      <c r="E24" s="137"/>
      <c r="F24" s="137"/>
      <c r="G24" s="28" t="s">
        <v>1000</v>
      </c>
      <c r="H24" s="28" t="s">
        <v>1001</v>
      </c>
      <c r="I24" s="25" t="s">
        <v>697</v>
      </c>
      <c r="J24" s="27" t="s">
        <v>24</v>
      </c>
      <c r="K24" s="29">
        <v>3000.0</v>
      </c>
      <c r="L24" s="25" t="s">
        <v>954</v>
      </c>
      <c r="M24" s="32"/>
      <c r="N24" s="34"/>
      <c r="O24" s="32"/>
      <c r="P24" s="32"/>
      <c r="Q24" s="34"/>
    </row>
    <row r="25" ht="22.5" customHeight="1">
      <c r="B25" s="34"/>
      <c r="C25" s="137"/>
      <c r="D25" s="178"/>
      <c r="E25" s="137"/>
      <c r="F25" s="137"/>
      <c r="G25" s="176"/>
      <c r="H25" s="176"/>
      <c r="I25" s="34"/>
      <c r="J25" s="32"/>
      <c r="K25" s="177"/>
      <c r="L25" s="34"/>
      <c r="M25" s="32"/>
      <c r="N25" s="34"/>
      <c r="O25" s="32"/>
      <c r="P25" s="32"/>
      <c r="Q25" s="34"/>
    </row>
    <row r="26" ht="22.5" customHeight="1">
      <c r="B26" s="34"/>
      <c r="C26" s="137"/>
      <c r="D26" s="178"/>
      <c r="E26" s="137"/>
      <c r="F26" s="137"/>
      <c r="G26" s="176"/>
      <c r="H26" s="176"/>
      <c r="I26" s="34"/>
      <c r="J26" s="32"/>
      <c r="K26" s="177"/>
      <c r="L26" s="34"/>
      <c r="M26" s="32"/>
      <c r="N26" s="34"/>
      <c r="O26" s="32"/>
      <c r="P26" s="32"/>
      <c r="Q26" s="34"/>
    </row>
    <row r="27" ht="22.5" customHeight="1">
      <c r="B27" s="34"/>
      <c r="C27" s="137"/>
      <c r="D27" s="178"/>
      <c r="E27" s="137"/>
      <c r="F27" s="137"/>
      <c r="G27" s="176"/>
      <c r="H27" s="176"/>
      <c r="I27" s="34"/>
      <c r="J27" s="32"/>
      <c r="K27" s="177"/>
      <c r="L27" s="34"/>
      <c r="M27" s="32"/>
      <c r="N27" s="34"/>
      <c r="O27" s="32"/>
      <c r="P27" s="32"/>
      <c r="Q27" s="34"/>
    </row>
    <row r="28" ht="22.5" customHeight="1">
      <c r="B28" s="34"/>
      <c r="C28" s="137"/>
      <c r="D28" s="178"/>
      <c r="E28" s="137"/>
      <c r="F28" s="137"/>
      <c r="G28" s="176"/>
      <c r="H28" s="176"/>
      <c r="I28" s="34"/>
      <c r="J28" s="32"/>
      <c r="K28" s="177"/>
      <c r="L28" s="34"/>
      <c r="M28" s="32"/>
      <c r="N28" s="34"/>
      <c r="O28" s="32"/>
      <c r="P28" s="32"/>
      <c r="Q28" s="34"/>
    </row>
    <row r="29" ht="22.5" customHeight="1">
      <c r="B29" s="34"/>
      <c r="C29" s="137"/>
      <c r="D29" s="178"/>
      <c r="E29" s="137"/>
      <c r="F29" s="137"/>
      <c r="G29" s="176"/>
      <c r="H29" s="176"/>
      <c r="I29" s="34"/>
      <c r="J29" s="32"/>
      <c r="K29" s="177"/>
      <c r="L29" s="34"/>
      <c r="M29" s="32"/>
      <c r="N29" s="34"/>
      <c r="O29" s="32"/>
      <c r="P29" s="32"/>
      <c r="Q29" s="34"/>
    </row>
    <row r="30" ht="22.5" customHeight="1">
      <c r="B30" s="34"/>
      <c r="C30" s="137"/>
      <c r="D30" s="178"/>
      <c r="E30" s="137"/>
      <c r="F30" s="137"/>
      <c r="G30" s="176"/>
      <c r="H30" s="176"/>
      <c r="I30" s="34"/>
      <c r="J30" s="32"/>
      <c r="K30" s="177"/>
      <c r="L30" s="34"/>
      <c r="M30" s="32"/>
      <c r="N30" s="34"/>
      <c r="O30" s="32"/>
      <c r="P30" s="32"/>
      <c r="Q30" s="34"/>
    </row>
    <row r="31" ht="22.5" customHeight="1">
      <c r="B31" s="34"/>
      <c r="C31" s="137"/>
      <c r="D31" s="178"/>
      <c r="E31" s="137"/>
      <c r="F31" s="137"/>
      <c r="G31" s="176"/>
      <c r="H31" s="176"/>
      <c r="I31" s="34"/>
      <c r="J31" s="32"/>
      <c r="K31" s="177"/>
      <c r="L31" s="34"/>
      <c r="M31" s="32"/>
      <c r="N31" s="34"/>
      <c r="O31" s="32"/>
      <c r="P31" s="32"/>
      <c r="Q31" s="34"/>
    </row>
    <row r="32" ht="22.5" customHeight="1">
      <c r="B32" s="34"/>
      <c r="C32" s="137"/>
      <c r="D32" s="178"/>
      <c r="E32" s="137"/>
      <c r="F32" s="137"/>
      <c r="G32" s="176"/>
      <c r="H32" s="176"/>
      <c r="I32" s="34"/>
      <c r="J32" s="32"/>
      <c r="K32" s="177"/>
      <c r="L32" s="34"/>
      <c r="M32" s="32"/>
      <c r="N32" s="34"/>
      <c r="O32" s="32"/>
      <c r="P32" s="32"/>
      <c r="Q32" s="34"/>
    </row>
    <row r="33" ht="22.5" customHeight="1">
      <c r="B33" s="34"/>
      <c r="C33" s="137"/>
      <c r="D33" s="178"/>
      <c r="E33" s="137"/>
      <c r="F33" s="137"/>
      <c r="G33" s="176"/>
      <c r="H33" s="176"/>
      <c r="I33" s="34"/>
      <c r="J33" s="32"/>
      <c r="K33" s="177"/>
      <c r="L33" s="34"/>
      <c r="M33" s="32"/>
      <c r="N33" s="34"/>
      <c r="O33" s="32"/>
      <c r="P33" s="32"/>
      <c r="Q33" s="34"/>
    </row>
    <row r="34" ht="22.5" customHeight="1">
      <c r="B34" s="34"/>
      <c r="C34" s="137"/>
      <c r="D34" s="178"/>
      <c r="E34" s="137"/>
      <c r="F34" s="137"/>
      <c r="G34" s="176"/>
      <c r="H34" s="176"/>
      <c r="I34" s="34"/>
      <c r="J34" s="32"/>
      <c r="K34" s="177"/>
      <c r="L34" s="34"/>
      <c r="M34" s="32"/>
      <c r="N34" s="34"/>
      <c r="O34" s="32"/>
      <c r="P34" s="32"/>
      <c r="Q34" s="34"/>
    </row>
    <row r="35" ht="22.5" customHeight="1">
      <c r="B35" s="34"/>
      <c r="C35" s="137"/>
      <c r="D35" s="178"/>
      <c r="E35" s="137"/>
      <c r="F35" s="137"/>
      <c r="G35" s="176"/>
      <c r="H35" s="176"/>
      <c r="I35" s="34"/>
      <c r="J35" s="32"/>
      <c r="K35" s="177"/>
      <c r="L35" s="34"/>
      <c r="M35" s="32"/>
      <c r="N35" s="34"/>
      <c r="O35" s="32"/>
      <c r="P35" s="32"/>
      <c r="Q35" s="34"/>
    </row>
    <row r="36" ht="22.5" customHeight="1">
      <c r="B36" s="34"/>
      <c r="C36" s="137"/>
      <c r="D36" s="178"/>
      <c r="E36" s="137"/>
      <c r="F36" s="137"/>
      <c r="G36" s="176"/>
      <c r="H36" s="176"/>
      <c r="I36" s="34"/>
      <c r="J36" s="32"/>
      <c r="K36" s="177"/>
      <c r="L36" s="34"/>
      <c r="M36" s="32"/>
      <c r="N36" s="34"/>
      <c r="O36" s="32"/>
      <c r="P36" s="32"/>
      <c r="Q36" s="34"/>
    </row>
    <row r="37" ht="22.5" customHeight="1">
      <c r="B37" s="34"/>
      <c r="C37" s="137"/>
      <c r="D37" s="178"/>
      <c r="E37" s="137"/>
      <c r="F37" s="137"/>
      <c r="G37" s="176"/>
      <c r="H37" s="176"/>
      <c r="I37" s="34"/>
      <c r="J37" s="32"/>
      <c r="K37" s="177"/>
      <c r="L37" s="34"/>
      <c r="M37" s="32"/>
      <c r="N37" s="34"/>
      <c r="O37" s="32"/>
      <c r="P37" s="32"/>
      <c r="Q37" s="34"/>
    </row>
    <row r="38" ht="22.5" customHeight="1">
      <c r="B38" s="34"/>
      <c r="C38" s="137"/>
      <c r="D38" s="178"/>
      <c r="E38" s="137"/>
      <c r="F38" s="137"/>
      <c r="G38" s="176"/>
      <c r="H38" s="176"/>
      <c r="I38" s="34"/>
      <c r="J38" s="32"/>
      <c r="K38" s="177"/>
      <c r="L38" s="34"/>
      <c r="M38" s="32"/>
      <c r="N38" s="34"/>
      <c r="O38" s="32"/>
      <c r="P38" s="32"/>
      <c r="Q38" s="34"/>
    </row>
    <row r="39" ht="22.5" customHeight="1">
      <c r="B39" s="34"/>
      <c r="C39" s="137"/>
      <c r="D39" s="178"/>
      <c r="E39" s="137"/>
      <c r="F39" s="137"/>
      <c r="G39" s="176"/>
      <c r="H39" s="176"/>
      <c r="I39" s="34"/>
      <c r="J39" s="32"/>
      <c r="K39" s="177"/>
      <c r="L39" s="34"/>
      <c r="M39" s="32"/>
      <c r="N39" s="34"/>
      <c r="O39" s="32"/>
      <c r="P39" s="32"/>
      <c r="Q39" s="34"/>
    </row>
    <row r="40" ht="22.5" customHeight="1">
      <c r="B40" s="34"/>
      <c r="C40" s="137"/>
      <c r="D40" s="178"/>
      <c r="E40" s="137"/>
      <c r="F40" s="137"/>
      <c r="G40" s="176"/>
      <c r="H40" s="176"/>
      <c r="I40" s="34"/>
      <c r="J40" s="32"/>
      <c r="K40" s="177"/>
      <c r="L40" s="34"/>
      <c r="M40" s="32"/>
      <c r="N40" s="34"/>
      <c r="O40" s="32"/>
      <c r="P40" s="32"/>
      <c r="Q40" s="34"/>
    </row>
    <row r="41" ht="22.5" customHeight="1">
      <c r="B41" s="34"/>
      <c r="C41" s="137"/>
      <c r="D41" s="178"/>
      <c r="E41" s="137"/>
      <c r="F41" s="137"/>
      <c r="G41" s="176"/>
      <c r="H41" s="176"/>
      <c r="I41" s="34"/>
      <c r="J41" s="32"/>
      <c r="K41" s="177"/>
      <c r="L41" s="34"/>
      <c r="M41" s="32"/>
      <c r="N41" s="34"/>
      <c r="O41" s="32"/>
      <c r="P41" s="32"/>
      <c r="Q41" s="34"/>
    </row>
    <row r="42" ht="22.5" customHeight="1">
      <c r="B42" s="34"/>
      <c r="C42" s="137"/>
      <c r="D42" s="178"/>
      <c r="E42" s="137"/>
      <c r="F42" s="137"/>
      <c r="G42" s="176"/>
      <c r="H42" s="176"/>
      <c r="I42" s="34"/>
      <c r="J42" s="32"/>
      <c r="K42" s="177"/>
      <c r="L42" s="34"/>
      <c r="M42" s="32"/>
      <c r="N42" s="34"/>
      <c r="O42" s="32"/>
      <c r="P42" s="32"/>
      <c r="Q42" s="34"/>
    </row>
    <row r="43" ht="22.5" customHeight="1">
      <c r="B43" s="34"/>
      <c r="C43" s="137"/>
      <c r="D43" s="178"/>
      <c r="E43" s="137"/>
      <c r="F43" s="137"/>
      <c r="G43" s="176"/>
      <c r="H43" s="176"/>
      <c r="I43" s="34"/>
      <c r="J43" s="32"/>
      <c r="K43" s="177"/>
      <c r="L43" s="34"/>
      <c r="M43" s="32"/>
      <c r="N43" s="34"/>
      <c r="O43" s="32"/>
      <c r="P43" s="32"/>
      <c r="Q43" s="34"/>
    </row>
    <row r="44" ht="22.5" customHeight="1">
      <c r="B44" s="34"/>
      <c r="C44" s="137"/>
      <c r="D44" s="178"/>
      <c r="E44" s="137"/>
      <c r="F44" s="137"/>
      <c r="G44" s="176"/>
      <c r="H44" s="176"/>
      <c r="I44" s="34"/>
      <c r="J44" s="32"/>
      <c r="K44" s="177"/>
      <c r="L44" s="34"/>
      <c r="M44" s="32"/>
      <c r="N44" s="34"/>
      <c r="O44" s="32"/>
      <c r="P44" s="32"/>
      <c r="Q44" s="34"/>
    </row>
    <row r="45" ht="22.5" customHeight="1">
      <c r="B45" s="34"/>
      <c r="C45" s="137"/>
      <c r="D45" s="178"/>
      <c r="E45" s="137"/>
      <c r="F45" s="137"/>
      <c r="G45" s="176"/>
      <c r="H45" s="176"/>
      <c r="I45" s="34"/>
      <c r="J45" s="32"/>
      <c r="K45" s="177"/>
      <c r="L45" s="34"/>
      <c r="M45" s="32"/>
      <c r="N45" s="34"/>
      <c r="O45" s="32"/>
      <c r="P45" s="32"/>
      <c r="Q45" s="34"/>
    </row>
    <row r="46" ht="22.5" customHeight="1">
      <c r="B46" s="34"/>
      <c r="C46" s="137"/>
      <c r="D46" s="178"/>
      <c r="E46" s="137"/>
      <c r="F46" s="137"/>
      <c r="G46" s="176"/>
      <c r="H46" s="176"/>
      <c r="I46" s="34"/>
      <c r="J46" s="32"/>
      <c r="K46" s="177"/>
      <c r="L46" s="34"/>
      <c r="M46" s="32"/>
      <c r="N46" s="34"/>
      <c r="O46" s="32"/>
      <c r="P46" s="32"/>
      <c r="Q46" s="34"/>
    </row>
    <row r="47" ht="22.5" customHeight="1">
      <c r="B47" s="34"/>
      <c r="C47" s="137"/>
      <c r="D47" s="178"/>
      <c r="E47" s="137"/>
      <c r="F47" s="137"/>
      <c r="G47" s="176"/>
      <c r="H47" s="176"/>
      <c r="I47" s="34"/>
      <c r="J47" s="32"/>
      <c r="K47" s="177"/>
      <c r="L47" s="34"/>
      <c r="M47" s="32"/>
      <c r="N47" s="34"/>
      <c r="O47" s="32"/>
      <c r="P47" s="32"/>
      <c r="Q47" s="34"/>
    </row>
    <row r="48" ht="22.5" customHeight="1">
      <c r="B48" s="34"/>
      <c r="C48" s="137"/>
      <c r="D48" s="178"/>
      <c r="E48" s="137"/>
      <c r="F48" s="137"/>
      <c r="G48" s="176"/>
      <c r="H48" s="176"/>
      <c r="I48" s="34"/>
      <c r="J48" s="32"/>
      <c r="K48" s="177"/>
      <c r="L48" s="34"/>
      <c r="M48" s="32"/>
      <c r="N48" s="34"/>
      <c r="O48" s="32"/>
      <c r="P48" s="32"/>
      <c r="Q48" s="34"/>
    </row>
    <row r="49" ht="22.5" customHeight="1">
      <c r="B49" s="34"/>
      <c r="C49" s="137"/>
      <c r="D49" s="178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32"/>
      <c r="P49" s="32"/>
      <c r="Q49" s="34"/>
    </row>
    <row r="50" ht="22.5" customHeight="1">
      <c r="B50" s="34"/>
      <c r="C50" s="137"/>
      <c r="D50" s="178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32"/>
      <c r="P50" s="32"/>
      <c r="Q50" s="34"/>
    </row>
    <row r="51" ht="22.5" customHeight="1">
      <c r="B51" s="34"/>
      <c r="C51" s="137"/>
      <c r="D51" s="178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32"/>
      <c r="P51" s="32"/>
      <c r="Q51" s="34"/>
    </row>
    <row r="52" ht="22.5" customHeight="1">
      <c r="B52" s="34"/>
      <c r="C52" s="137"/>
      <c r="D52" s="178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15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1000000.0</v>
      </c>
      <c r="F4" s="15">
        <f>SUMIFS(OPI_2[MAF NETO],OPI_2[ESTADO],"Desembolsado")</f>
        <v>705600</v>
      </c>
      <c r="G4" s="15">
        <f>F4-E4</f>
        <v>-294400</v>
      </c>
      <c r="H4" s="16">
        <f>SUMIFS(OPI_2[MAF NETO],OPI_2[ESTADO],H$3)</f>
        <v>0</v>
      </c>
      <c r="I4" s="16">
        <f>SUMIFS(OPI_2[MAF NETO],OPI_2[ESTADO],I$3)</f>
        <v>164600</v>
      </c>
      <c r="J4" s="16">
        <f>SUMIFS(OPI_2[MAF NETO],OPI_2[ESTADO],J$3)</f>
        <v>0</v>
      </c>
      <c r="K4" s="16">
        <f>SUMIFS(OPI_2[MAF NETO],OPI_2[ESTADO],K$3)</f>
        <v>0</v>
      </c>
      <c r="L4" s="16">
        <f>SUMIFS(OPI_2[MAF NETO],OPI_2[ESTADO],L$3)</f>
        <v>0</v>
      </c>
      <c r="M4" s="16">
        <f>SUMIFS(OPI_2[MAF NETO],OPI_2[ESTADO],M$3)</f>
        <v>262200</v>
      </c>
      <c r="N4" s="16">
        <f>SUMIFS(OPI_2[MAF NETO],OPI_2[ESTADO],N$3)</f>
        <v>182900</v>
      </c>
    </row>
    <row r="5" ht="26.25" customHeight="1">
      <c r="D5" s="17" t="s">
        <v>31</v>
      </c>
      <c r="E5" s="18" t="s">
        <v>32</v>
      </c>
      <c r="F5" s="19">
        <f>COUNTIFS(OPI_2[ESTADO],"Desembolsado")</f>
        <v>9</v>
      </c>
      <c r="G5" s="20">
        <f>IFERROR(F4/E4,"")</f>
        <v>0.7056</v>
      </c>
      <c r="H5" s="19">
        <f>COUNTIFS(OPI_2[ESTADO],H$3)</f>
        <v>0</v>
      </c>
      <c r="I5" s="19">
        <f>COUNTIFS(OPI_2[ESTADO],I$3)</f>
        <v>2</v>
      </c>
      <c r="J5" s="19">
        <f>COUNTIFS(OPI_2[ESTADO],J$3)</f>
        <v>0</v>
      </c>
      <c r="K5" s="19">
        <f>COUNTIFS(OPI_2[ESTADO],K$3)</f>
        <v>0</v>
      </c>
      <c r="L5" s="19">
        <f>COUNTIFS(OPI_2[ESTADO],L$3)</f>
        <v>0</v>
      </c>
      <c r="M5" s="19">
        <f>COUNTIFS(OPI_2[ESTADO],M$3)</f>
        <v>3</v>
      </c>
      <c r="N5" s="19">
        <f>COUNTIFS(OPI_2[ESTADO],N$3)</f>
        <v>4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5" t="s">
        <v>15</v>
      </c>
      <c r="C10" s="26">
        <v>46233.0</v>
      </c>
      <c r="D10" s="27" t="s">
        <v>53</v>
      </c>
      <c r="E10" s="26">
        <v>46234.0</v>
      </c>
      <c r="F10" s="26">
        <v>46238.0</v>
      </c>
      <c r="G10" s="28" t="s">
        <v>969</v>
      </c>
      <c r="H10" s="28" t="s">
        <v>970</v>
      </c>
      <c r="I10" s="25" t="s">
        <v>56</v>
      </c>
      <c r="J10" s="27" t="s">
        <v>19</v>
      </c>
      <c r="K10" s="29">
        <v>87700.0</v>
      </c>
      <c r="L10" s="25" t="s">
        <v>971</v>
      </c>
      <c r="M10" s="44"/>
      <c r="N10" s="34"/>
      <c r="O10" s="44"/>
      <c r="P10" s="32"/>
      <c r="Q10" s="25"/>
    </row>
    <row r="11" ht="22.5" customHeight="1">
      <c r="B11" s="25" t="s">
        <v>15</v>
      </c>
      <c r="C11" s="26">
        <v>46233.0</v>
      </c>
      <c r="D11" s="27" t="s">
        <v>53</v>
      </c>
      <c r="E11" s="26">
        <v>46234.0</v>
      </c>
      <c r="F11" s="26">
        <v>46238.0</v>
      </c>
      <c r="G11" s="28" t="s">
        <v>977</v>
      </c>
      <c r="H11" s="28" t="s">
        <v>978</v>
      </c>
      <c r="I11" s="25" t="s">
        <v>56</v>
      </c>
      <c r="J11" s="27" t="s">
        <v>19</v>
      </c>
      <c r="K11" s="29">
        <v>53600.0</v>
      </c>
      <c r="L11" s="25" t="s">
        <v>971</v>
      </c>
      <c r="M11" s="44"/>
      <c r="N11" s="34"/>
      <c r="O11" s="44"/>
      <c r="P11" s="32"/>
      <c r="Q11" s="34"/>
    </row>
    <row r="12" ht="22.5" customHeight="1">
      <c r="B12" s="25" t="s">
        <v>15</v>
      </c>
      <c r="C12" s="26">
        <v>46233.0</v>
      </c>
      <c r="D12" s="27" t="s">
        <v>53</v>
      </c>
      <c r="E12" s="26">
        <v>46234.0</v>
      </c>
      <c r="F12" s="26">
        <v>46239.0</v>
      </c>
      <c r="G12" s="28" t="s">
        <v>981</v>
      </c>
      <c r="H12" s="28" t="s">
        <v>982</v>
      </c>
      <c r="I12" s="25" t="s">
        <v>89</v>
      </c>
      <c r="J12" s="27" t="s">
        <v>19</v>
      </c>
      <c r="K12" s="29">
        <v>97000.0</v>
      </c>
      <c r="L12" s="25" t="s">
        <v>971</v>
      </c>
      <c r="M12" s="44"/>
      <c r="N12" s="34"/>
      <c r="O12" s="44"/>
      <c r="P12" s="32"/>
      <c r="Q12" s="34"/>
    </row>
    <row r="13" ht="22.5" hidden="1" customHeight="1">
      <c r="B13" s="25" t="s">
        <v>15</v>
      </c>
      <c r="C13" s="26">
        <v>46238.0</v>
      </c>
      <c r="D13" s="27" t="s">
        <v>53</v>
      </c>
      <c r="E13" s="26">
        <v>46246.0</v>
      </c>
      <c r="F13" s="137"/>
      <c r="G13" s="28" t="s">
        <v>989</v>
      </c>
      <c r="H13" s="28" t="s">
        <v>990</v>
      </c>
      <c r="I13" s="25" t="s">
        <v>56</v>
      </c>
      <c r="J13" s="27" t="s">
        <v>26</v>
      </c>
      <c r="K13" s="29">
        <v>92600.0</v>
      </c>
      <c r="L13" s="25" t="s">
        <v>991</v>
      </c>
      <c r="M13" s="44"/>
      <c r="N13" s="34"/>
      <c r="O13" s="44"/>
      <c r="P13" s="32"/>
      <c r="Q13" s="25" t="s">
        <v>197</v>
      </c>
    </row>
    <row r="14" ht="22.5" hidden="1" customHeight="1">
      <c r="B14" s="25" t="s">
        <v>15</v>
      </c>
      <c r="C14" s="26">
        <v>46238.0</v>
      </c>
      <c r="D14" s="27" t="s">
        <v>178</v>
      </c>
      <c r="E14" s="137"/>
      <c r="F14" s="137"/>
      <c r="G14" s="28" t="s">
        <v>994</v>
      </c>
      <c r="H14" s="28" t="s">
        <v>995</v>
      </c>
      <c r="I14" s="25" t="s">
        <v>996</v>
      </c>
      <c r="J14" s="27" t="s">
        <v>27</v>
      </c>
      <c r="K14" s="29">
        <v>64600.0</v>
      </c>
      <c r="L14" s="25" t="s">
        <v>991</v>
      </c>
      <c r="M14" s="32"/>
      <c r="N14" s="34"/>
      <c r="O14" s="32"/>
      <c r="P14" s="32"/>
      <c r="Q14" s="220" t="s">
        <v>999</v>
      </c>
    </row>
    <row r="15" ht="22.5" hidden="1" customHeight="1">
      <c r="B15" s="25" t="s">
        <v>15</v>
      </c>
      <c r="C15" s="26">
        <v>46239.0</v>
      </c>
      <c r="D15" s="27" t="s">
        <v>178</v>
      </c>
      <c r="E15" s="137"/>
      <c r="F15" s="137"/>
      <c r="G15" s="28" t="s">
        <v>1002</v>
      </c>
      <c r="H15" s="28" t="s">
        <v>1003</v>
      </c>
      <c r="I15" s="25" t="s">
        <v>996</v>
      </c>
      <c r="J15" s="27" t="s">
        <v>27</v>
      </c>
      <c r="K15" s="29">
        <v>59600.0</v>
      </c>
      <c r="L15" s="25" t="s">
        <v>991</v>
      </c>
      <c r="M15" s="32"/>
      <c r="N15" s="34"/>
      <c r="O15" s="32"/>
      <c r="P15" s="32"/>
      <c r="Q15" s="34"/>
    </row>
    <row r="16" ht="22.5" hidden="1" customHeight="1">
      <c r="B16" s="25" t="s">
        <v>15</v>
      </c>
      <c r="C16" s="26">
        <v>46241.0</v>
      </c>
      <c r="D16" s="27" t="s">
        <v>178</v>
      </c>
      <c r="E16" s="137"/>
      <c r="F16" s="26">
        <v>46239.0</v>
      </c>
      <c r="G16" s="28" t="s">
        <v>1004</v>
      </c>
      <c r="H16" s="28" t="s">
        <v>1005</v>
      </c>
      <c r="I16" s="25" t="s">
        <v>56</v>
      </c>
      <c r="J16" s="27" t="s">
        <v>27</v>
      </c>
      <c r="K16" s="29">
        <v>0.0</v>
      </c>
      <c r="L16" s="25" t="s">
        <v>991</v>
      </c>
      <c r="M16" s="32"/>
      <c r="N16" s="34"/>
      <c r="O16" s="32"/>
      <c r="P16" s="32"/>
      <c r="Q16" s="25" t="s">
        <v>1006</v>
      </c>
    </row>
    <row r="17" ht="22.5" hidden="1" customHeight="1">
      <c r="B17" s="25" t="s">
        <v>15</v>
      </c>
      <c r="C17" s="26">
        <v>46241.0</v>
      </c>
      <c r="D17" s="27" t="s">
        <v>178</v>
      </c>
      <c r="E17" s="137"/>
      <c r="F17" s="137"/>
      <c r="G17" s="28" t="s">
        <v>1007</v>
      </c>
      <c r="H17" s="28" t="s">
        <v>1008</v>
      </c>
      <c r="I17" s="25" t="s">
        <v>56</v>
      </c>
      <c r="J17" s="27" t="s">
        <v>27</v>
      </c>
      <c r="K17" s="29">
        <v>58700.0</v>
      </c>
      <c r="L17" s="25" t="s">
        <v>971</v>
      </c>
      <c r="M17" s="32"/>
      <c r="N17" s="34"/>
      <c r="O17" s="32"/>
      <c r="P17" s="32"/>
      <c r="Q17" s="25" t="s">
        <v>197</v>
      </c>
    </row>
    <row r="18" ht="22.5" customHeight="1">
      <c r="B18" s="25" t="s">
        <v>15</v>
      </c>
      <c r="C18" s="26">
        <v>46245.0</v>
      </c>
      <c r="D18" s="27" t="s">
        <v>53</v>
      </c>
      <c r="E18" s="26">
        <v>46246.0</v>
      </c>
      <c r="F18" s="26">
        <v>46254.0</v>
      </c>
      <c r="G18" s="28" t="s">
        <v>1009</v>
      </c>
      <c r="H18" s="28" t="s">
        <v>1010</v>
      </c>
      <c r="I18" s="25" t="s">
        <v>56</v>
      </c>
      <c r="J18" s="27" t="s">
        <v>19</v>
      </c>
      <c r="K18" s="29">
        <v>78000.0</v>
      </c>
      <c r="L18" s="25" t="s">
        <v>971</v>
      </c>
      <c r="M18" s="32"/>
      <c r="N18" s="34"/>
      <c r="O18" s="32"/>
      <c r="P18" s="32"/>
      <c r="Q18" s="34"/>
    </row>
    <row r="19" ht="22.5" customHeight="1">
      <c r="B19" s="25" t="s">
        <v>15</v>
      </c>
      <c r="C19" s="26">
        <v>46245.0</v>
      </c>
      <c r="D19" s="27" t="s">
        <v>53</v>
      </c>
      <c r="E19" s="26">
        <v>46246.0</v>
      </c>
      <c r="F19" s="26">
        <v>46251.0</v>
      </c>
      <c r="G19" s="28" t="s">
        <v>1011</v>
      </c>
      <c r="H19" s="28" t="s">
        <v>1012</v>
      </c>
      <c r="I19" s="25" t="s">
        <v>56</v>
      </c>
      <c r="J19" s="27" t="s">
        <v>19</v>
      </c>
      <c r="K19" s="29">
        <v>74600.0</v>
      </c>
      <c r="L19" s="25" t="s">
        <v>971</v>
      </c>
      <c r="M19" s="32"/>
      <c r="N19" s="34"/>
      <c r="O19" s="32"/>
      <c r="P19" s="32"/>
      <c r="Q19" s="34"/>
    </row>
    <row r="20" ht="22.5" customHeight="1">
      <c r="B20" s="25" t="s">
        <v>15</v>
      </c>
      <c r="C20" s="26">
        <v>46254.0</v>
      </c>
      <c r="D20" s="27" t="s">
        <v>53</v>
      </c>
      <c r="E20" s="25" t="s">
        <v>1013</v>
      </c>
      <c r="F20" s="26">
        <v>46258.0</v>
      </c>
      <c r="G20" s="28" t="s">
        <v>1014</v>
      </c>
      <c r="H20" s="28" t="s">
        <v>1015</v>
      </c>
      <c r="I20" s="25" t="s">
        <v>56</v>
      </c>
      <c r="J20" s="27" t="s">
        <v>19</v>
      </c>
      <c r="K20" s="29">
        <v>80900.0</v>
      </c>
      <c r="L20" s="221" t="s">
        <v>971</v>
      </c>
      <c r="M20" s="32"/>
      <c r="N20" s="34"/>
      <c r="O20" s="32"/>
      <c r="P20" s="32"/>
      <c r="Q20" s="34"/>
    </row>
    <row r="21" ht="22.5" customHeight="1">
      <c r="B21" s="25" t="s">
        <v>15</v>
      </c>
      <c r="C21" s="26">
        <v>46258.0</v>
      </c>
      <c r="D21" s="27" t="s">
        <v>53</v>
      </c>
      <c r="E21" s="26">
        <v>46260.0</v>
      </c>
      <c r="F21" s="137"/>
      <c r="G21" s="28" t="s">
        <v>1016</v>
      </c>
      <c r="H21" s="28" t="s">
        <v>1017</v>
      </c>
      <c r="I21" s="25" t="s">
        <v>56</v>
      </c>
      <c r="J21" s="27" t="s">
        <v>19</v>
      </c>
      <c r="K21" s="222">
        <v>88400.0</v>
      </c>
      <c r="L21" s="113" t="s">
        <v>971</v>
      </c>
      <c r="M21" s="153"/>
      <c r="N21" s="34"/>
      <c r="O21" s="32"/>
      <c r="P21" s="32"/>
      <c r="Q21" s="34"/>
    </row>
    <row r="22" ht="22.5" hidden="1" customHeight="1">
      <c r="B22" s="25" t="s">
        <v>15</v>
      </c>
      <c r="C22" s="26">
        <v>46251.0</v>
      </c>
      <c r="D22" s="27" t="s">
        <v>53</v>
      </c>
      <c r="E22" s="26">
        <v>46251.0</v>
      </c>
      <c r="F22" s="137"/>
      <c r="G22" s="28" t="s">
        <v>1018</v>
      </c>
      <c r="H22" s="28" t="s">
        <v>1019</v>
      </c>
      <c r="I22" s="25" t="s">
        <v>56</v>
      </c>
      <c r="J22" s="27" t="s">
        <v>26</v>
      </c>
      <c r="K22" s="29">
        <v>82900.0</v>
      </c>
      <c r="L22" s="223" t="s">
        <v>971</v>
      </c>
      <c r="M22" s="32"/>
      <c r="N22" s="34"/>
      <c r="O22" s="32"/>
      <c r="P22" s="32"/>
      <c r="Q22" s="34"/>
    </row>
    <row r="23" ht="22.5" hidden="1" customHeight="1">
      <c r="B23" s="25" t="s">
        <v>15</v>
      </c>
      <c r="C23" s="26">
        <v>46251.0</v>
      </c>
      <c r="D23" s="27" t="s">
        <v>53</v>
      </c>
      <c r="E23" s="26">
        <v>46253.0</v>
      </c>
      <c r="F23" s="137"/>
      <c r="G23" s="28" t="s">
        <v>1020</v>
      </c>
      <c r="H23" s="28" t="s">
        <v>1021</v>
      </c>
      <c r="I23" s="25" t="s">
        <v>89</v>
      </c>
      <c r="J23" s="27" t="s">
        <v>26</v>
      </c>
      <c r="K23" s="29">
        <v>86700.0</v>
      </c>
      <c r="L23" s="25" t="s">
        <v>971</v>
      </c>
      <c r="M23" s="32"/>
      <c r="N23" s="34"/>
      <c r="O23" s="32"/>
      <c r="P23" s="32"/>
      <c r="Q23" s="34"/>
    </row>
    <row r="24" ht="22.5" customHeight="1">
      <c r="B24" s="25" t="s">
        <v>15</v>
      </c>
      <c r="C24" s="26">
        <v>46247.0</v>
      </c>
      <c r="D24" s="27" t="s">
        <v>53</v>
      </c>
      <c r="E24" s="26">
        <v>46249.0</v>
      </c>
      <c r="F24" s="26">
        <v>46253.0</v>
      </c>
      <c r="G24" s="28" t="s">
        <v>1022</v>
      </c>
      <c r="H24" s="28" t="s">
        <v>1023</v>
      </c>
      <c r="I24" s="25" t="s">
        <v>56</v>
      </c>
      <c r="J24" s="27" t="s">
        <v>19</v>
      </c>
      <c r="K24" s="29">
        <v>82300.0</v>
      </c>
      <c r="L24" s="25" t="s">
        <v>991</v>
      </c>
      <c r="M24" s="32"/>
      <c r="N24" s="34"/>
      <c r="O24" s="32"/>
      <c r="P24" s="32"/>
      <c r="Q24" s="34"/>
    </row>
    <row r="25" ht="22.5" customHeight="1">
      <c r="B25" s="25" t="s">
        <v>15</v>
      </c>
      <c r="C25" s="26">
        <v>46248.0</v>
      </c>
      <c r="D25" s="27" t="s">
        <v>53</v>
      </c>
      <c r="E25" s="26">
        <v>46252.0</v>
      </c>
      <c r="F25" s="26">
        <v>46253.0</v>
      </c>
      <c r="G25" s="28" t="s">
        <v>1024</v>
      </c>
      <c r="H25" s="28" t="s">
        <v>1025</v>
      </c>
      <c r="I25" s="25" t="s">
        <v>56</v>
      </c>
      <c r="J25" s="27" t="s">
        <v>19</v>
      </c>
      <c r="K25" s="29">
        <v>63100.0</v>
      </c>
      <c r="L25" s="25" t="s">
        <v>991</v>
      </c>
      <c r="M25" s="32"/>
      <c r="N25" s="34"/>
      <c r="O25" s="32"/>
      <c r="P25" s="32"/>
      <c r="Q25" s="34"/>
    </row>
    <row r="26" ht="22.5" hidden="1" customHeight="1">
      <c r="B26" s="25" t="s">
        <v>15</v>
      </c>
      <c r="C26" s="26">
        <v>46260.0</v>
      </c>
      <c r="D26" s="27" t="s">
        <v>149</v>
      </c>
      <c r="E26" s="137"/>
      <c r="F26" s="137"/>
      <c r="G26" s="28" t="s">
        <v>1026</v>
      </c>
      <c r="H26" s="28" t="s">
        <v>1027</v>
      </c>
      <c r="I26" s="25" t="s">
        <v>56</v>
      </c>
      <c r="J26" s="27" t="s">
        <v>22</v>
      </c>
      <c r="K26" s="29">
        <v>82000.0</v>
      </c>
      <c r="L26" s="25" t="s">
        <v>971</v>
      </c>
      <c r="M26" s="32"/>
      <c r="N26" s="34"/>
      <c r="O26" s="32"/>
      <c r="P26" s="32"/>
      <c r="Q26" s="34"/>
    </row>
    <row r="27" ht="22.5" hidden="1" customHeight="1">
      <c r="B27" s="34"/>
      <c r="C27" s="137"/>
      <c r="D27" s="27" t="s">
        <v>149</v>
      </c>
      <c r="E27" s="137"/>
      <c r="F27" s="137"/>
      <c r="G27" s="176"/>
      <c r="H27" s="28" t="s">
        <v>1028</v>
      </c>
      <c r="I27" s="25" t="s">
        <v>56</v>
      </c>
      <c r="J27" s="27" t="s">
        <v>22</v>
      </c>
      <c r="K27" s="29">
        <v>82600.0</v>
      </c>
      <c r="L27" s="25" t="s">
        <v>971</v>
      </c>
      <c r="M27" s="32"/>
      <c r="N27" s="34"/>
      <c r="O27" s="32"/>
      <c r="P27" s="32"/>
      <c r="Q27" s="34"/>
    </row>
    <row r="28" ht="22.5" customHeight="1">
      <c r="B28" s="34"/>
      <c r="C28" s="137"/>
      <c r="D28" s="44"/>
      <c r="E28" s="137"/>
      <c r="F28" s="137"/>
      <c r="G28" s="28" t="s">
        <v>1029</v>
      </c>
      <c r="H28" s="28" t="s">
        <v>1030</v>
      </c>
      <c r="I28" s="25" t="s">
        <v>56</v>
      </c>
      <c r="J28" s="32"/>
      <c r="K28" s="29">
        <v>86000.0</v>
      </c>
      <c r="L28" s="34"/>
      <c r="M28" s="32"/>
      <c r="N28" s="34"/>
      <c r="O28" s="32"/>
      <c r="P28" s="32"/>
      <c r="Q28" s="34"/>
    </row>
    <row r="29" ht="22.5" customHeight="1">
      <c r="B29" s="34"/>
      <c r="C29" s="137"/>
      <c r="D29" s="44"/>
      <c r="E29" s="137"/>
      <c r="F29" s="137"/>
      <c r="G29" s="224"/>
      <c r="H29" s="224"/>
      <c r="I29" s="34"/>
      <c r="J29" s="32"/>
      <c r="K29" s="177"/>
      <c r="L29" s="34"/>
      <c r="M29" s="32"/>
      <c r="N29" s="34"/>
      <c r="O29" s="32"/>
      <c r="P29" s="32"/>
      <c r="Q29" s="34"/>
    </row>
    <row r="30" ht="22.5" customHeight="1">
      <c r="B30" s="34"/>
      <c r="C30" s="137"/>
      <c r="D30" s="44"/>
      <c r="E30" s="137"/>
      <c r="F30" s="137"/>
      <c r="G30" s="176"/>
      <c r="H30" s="176"/>
      <c r="I30" s="34"/>
      <c r="J30" s="32"/>
      <c r="K30" s="177"/>
      <c r="L30" s="34"/>
      <c r="M30" s="32"/>
      <c r="N30" s="34"/>
      <c r="O30" s="32"/>
      <c r="P30" s="32"/>
      <c r="Q30" s="34"/>
    </row>
    <row r="31" ht="22.5" customHeight="1">
      <c r="B31" s="34"/>
      <c r="C31" s="137"/>
      <c r="D31" s="44"/>
      <c r="E31" s="137"/>
      <c r="F31" s="137"/>
      <c r="G31" s="176"/>
      <c r="H31" s="176"/>
      <c r="I31" s="34"/>
      <c r="J31" s="32"/>
      <c r="K31" s="177"/>
      <c r="L31" s="34"/>
      <c r="M31" s="32"/>
      <c r="N31" s="34"/>
      <c r="O31" s="32"/>
      <c r="P31" s="32"/>
      <c r="Q31" s="34"/>
    </row>
    <row r="32" ht="22.5" customHeight="1">
      <c r="B32" s="34"/>
      <c r="C32" s="137"/>
      <c r="D32" s="44"/>
      <c r="E32" s="137"/>
      <c r="F32" s="137"/>
      <c r="G32" s="176"/>
      <c r="H32" s="176"/>
      <c r="I32" s="34"/>
      <c r="J32" s="32"/>
      <c r="K32" s="177"/>
      <c r="L32" s="34"/>
      <c r="M32" s="32"/>
      <c r="N32" s="34"/>
      <c r="O32" s="32"/>
      <c r="P32" s="32"/>
      <c r="Q32" s="34"/>
    </row>
    <row r="33" ht="22.5" customHeight="1">
      <c r="B33" s="34"/>
      <c r="C33" s="137"/>
      <c r="D33" s="44"/>
      <c r="E33" s="137"/>
      <c r="F33" s="137"/>
      <c r="G33" s="176"/>
      <c r="H33" s="176"/>
      <c r="I33" s="34"/>
      <c r="J33" s="32"/>
      <c r="K33" s="177"/>
      <c r="L33" s="34"/>
      <c r="M33" s="32"/>
      <c r="N33" s="34"/>
      <c r="O33" s="32"/>
      <c r="P33" s="32"/>
      <c r="Q33" s="34"/>
    </row>
    <row r="34" ht="22.5" customHeight="1">
      <c r="B34" s="34"/>
      <c r="C34" s="137"/>
      <c r="D34" s="44"/>
      <c r="E34" s="137"/>
      <c r="F34" s="137"/>
      <c r="G34" s="176"/>
      <c r="H34" s="176"/>
      <c r="I34" s="34"/>
      <c r="J34" s="32"/>
      <c r="K34" s="177"/>
      <c r="L34" s="34"/>
      <c r="M34" s="32"/>
      <c r="N34" s="34"/>
      <c r="O34" s="32"/>
      <c r="P34" s="32"/>
      <c r="Q34" s="34"/>
    </row>
    <row r="35" ht="22.5" customHeight="1">
      <c r="B35" s="34"/>
      <c r="C35" s="137"/>
      <c r="D35" s="44"/>
      <c r="E35" s="137"/>
      <c r="F35" s="137"/>
      <c r="G35" s="176"/>
      <c r="H35" s="176"/>
      <c r="I35" s="34"/>
      <c r="J35" s="32"/>
      <c r="K35" s="177"/>
      <c r="L35" s="34"/>
      <c r="M35" s="32"/>
      <c r="N35" s="34"/>
      <c r="O35" s="32"/>
      <c r="P35" s="32"/>
      <c r="Q35" s="34"/>
    </row>
    <row r="36" ht="22.5" customHeight="1">
      <c r="B36" s="34"/>
      <c r="C36" s="137"/>
      <c r="D36" s="44"/>
      <c r="E36" s="137"/>
      <c r="F36" s="137"/>
      <c r="G36" s="176"/>
      <c r="H36" s="176"/>
      <c r="I36" s="34"/>
      <c r="J36" s="32"/>
      <c r="K36" s="177"/>
      <c r="L36" s="34"/>
      <c r="M36" s="32"/>
      <c r="N36" s="34"/>
      <c r="O36" s="32"/>
      <c r="P36" s="32"/>
      <c r="Q36" s="34"/>
    </row>
    <row r="37" ht="22.5" customHeight="1">
      <c r="B37" s="34"/>
      <c r="C37" s="137"/>
      <c r="D37" s="44"/>
      <c r="E37" s="137"/>
      <c r="F37" s="137"/>
      <c r="G37" s="176"/>
      <c r="H37" s="176"/>
      <c r="I37" s="34"/>
      <c r="J37" s="32"/>
      <c r="K37" s="177"/>
      <c r="L37" s="34"/>
      <c r="M37" s="32"/>
      <c r="N37" s="34"/>
      <c r="O37" s="32"/>
      <c r="P37" s="32"/>
      <c r="Q37" s="34"/>
    </row>
    <row r="38" ht="22.5" customHeight="1">
      <c r="B38" s="34"/>
      <c r="C38" s="137"/>
      <c r="D38" s="44"/>
      <c r="E38" s="137"/>
      <c r="F38" s="137"/>
      <c r="G38" s="176"/>
      <c r="H38" s="176"/>
      <c r="I38" s="34"/>
      <c r="J38" s="32"/>
      <c r="K38" s="177"/>
      <c r="L38" s="34"/>
      <c r="M38" s="32"/>
      <c r="N38" s="34"/>
      <c r="O38" s="32"/>
      <c r="P38" s="32"/>
      <c r="Q38" s="34"/>
    </row>
    <row r="39" ht="22.5" customHeight="1">
      <c r="B39" s="34"/>
      <c r="C39" s="137"/>
      <c r="D39" s="44"/>
      <c r="E39" s="137"/>
      <c r="F39" s="137"/>
      <c r="G39" s="176"/>
      <c r="H39" s="176"/>
      <c r="I39" s="34"/>
      <c r="J39" s="32"/>
      <c r="K39" s="177"/>
      <c r="L39" s="34"/>
      <c r="M39" s="32"/>
      <c r="N39" s="34"/>
      <c r="O39" s="32"/>
      <c r="P39" s="32"/>
      <c r="Q39" s="34"/>
    </row>
    <row r="40" ht="22.5" customHeight="1">
      <c r="B40" s="34"/>
      <c r="C40" s="137"/>
      <c r="D40" s="44"/>
      <c r="E40" s="137"/>
      <c r="F40" s="137"/>
      <c r="G40" s="176"/>
      <c r="H40" s="176"/>
      <c r="I40" s="34"/>
      <c r="J40" s="32"/>
      <c r="K40" s="177"/>
      <c r="L40" s="34"/>
      <c r="M40" s="32"/>
      <c r="N40" s="34"/>
      <c r="O40" s="32"/>
      <c r="P40" s="32"/>
      <c r="Q40" s="34"/>
    </row>
    <row r="41" ht="22.5" customHeight="1">
      <c r="B41" s="34"/>
      <c r="C41" s="137"/>
      <c r="D41" s="44"/>
      <c r="E41" s="137"/>
      <c r="F41" s="137"/>
      <c r="G41" s="176"/>
      <c r="H41" s="176"/>
      <c r="I41" s="34"/>
      <c r="J41" s="32"/>
      <c r="K41" s="177"/>
      <c r="L41" s="34"/>
      <c r="M41" s="32"/>
      <c r="N41" s="34"/>
      <c r="O41" s="32"/>
      <c r="P41" s="32"/>
      <c r="Q41" s="34"/>
    </row>
    <row r="42" ht="22.5" customHeight="1">
      <c r="B42" s="34"/>
      <c r="C42" s="137"/>
      <c r="D42" s="44"/>
      <c r="E42" s="137"/>
      <c r="F42" s="137"/>
      <c r="G42" s="176"/>
      <c r="H42" s="176"/>
      <c r="I42" s="34"/>
      <c r="J42" s="32"/>
      <c r="K42" s="177"/>
      <c r="L42" s="34"/>
      <c r="M42" s="32"/>
      <c r="N42" s="34"/>
      <c r="O42" s="32"/>
      <c r="P42" s="32"/>
      <c r="Q42" s="34"/>
    </row>
    <row r="43" ht="22.5" customHeight="1">
      <c r="B43" s="34"/>
      <c r="C43" s="137"/>
      <c r="D43" s="44"/>
      <c r="E43" s="137"/>
      <c r="F43" s="137"/>
      <c r="G43" s="176"/>
      <c r="H43" s="176"/>
      <c r="I43" s="34"/>
      <c r="J43" s="32"/>
      <c r="K43" s="177"/>
      <c r="L43" s="34"/>
      <c r="M43" s="32"/>
      <c r="N43" s="34"/>
      <c r="O43" s="32"/>
      <c r="P43" s="32"/>
      <c r="Q43" s="34"/>
    </row>
    <row r="44" ht="22.5" customHeight="1">
      <c r="B44" s="34"/>
      <c r="C44" s="137"/>
      <c r="D44" s="44"/>
      <c r="E44" s="137"/>
      <c r="F44" s="137"/>
      <c r="G44" s="176"/>
      <c r="H44" s="176"/>
      <c r="I44" s="34"/>
      <c r="J44" s="32"/>
      <c r="K44" s="177"/>
      <c r="L44" s="34"/>
      <c r="M44" s="32"/>
      <c r="N44" s="34"/>
      <c r="O44" s="32"/>
      <c r="P44" s="32"/>
      <c r="Q44" s="34"/>
    </row>
    <row r="45" ht="22.5" customHeight="1">
      <c r="B45" s="34"/>
      <c r="C45" s="137"/>
      <c r="D45" s="44"/>
      <c r="E45" s="137"/>
      <c r="F45" s="137"/>
      <c r="G45" s="176"/>
      <c r="H45" s="176"/>
      <c r="I45" s="34"/>
      <c r="J45" s="32"/>
      <c r="K45" s="177"/>
      <c r="L45" s="34"/>
      <c r="M45" s="32"/>
      <c r="N45" s="34"/>
      <c r="O45" s="32"/>
      <c r="P45" s="32"/>
      <c r="Q45" s="34"/>
    </row>
    <row r="46" ht="22.5" customHeight="1">
      <c r="B46" s="34"/>
      <c r="C46" s="137"/>
      <c r="D46" s="44"/>
      <c r="E46" s="137"/>
      <c r="F46" s="137"/>
      <c r="G46" s="176"/>
      <c r="H46" s="176"/>
      <c r="I46" s="34"/>
      <c r="J46" s="32"/>
      <c r="K46" s="177"/>
      <c r="L46" s="34"/>
      <c r="M46" s="32"/>
      <c r="N46" s="34"/>
      <c r="O46" s="32"/>
      <c r="P46" s="32"/>
      <c r="Q46" s="34"/>
    </row>
    <row r="47" ht="22.5" customHeight="1">
      <c r="B47" s="34"/>
      <c r="C47" s="137"/>
      <c r="D47" s="44"/>
      <c r="E47" s="137"/>
      <c r="F47" s="137"/>
      <c r="G47" s="176"/>
      <c r="H47" s="176"/>
      <c r="I47" s="34"/>
      <c r="J47" s="32"/>
      <c r="K47" s="177"/>
      <c r="L47" s="34"/>
      <c r="M47" s="32"/>
      <c r="N47" s="34"/>
      <c r="O47" s="32"/>
      <c r="P47" s="32"/>
      <c r="Q47" s="34"/>
    </row>
    <row r="48" ht="22.5" customHeight="1">
      <c r="B48" s="34"/>
      <c r="C48" s="137"/>
      <c r="D48" s="44"/>
      <c r="E48" s="137"/>
      <c r="F48" s="137"/>
      <c r="G48" s="176"/>
      <c r="H48" s="176"/>
      <c r="I48" s="34"/>
      <c r="J48" s="32"/>
      <c r="K48" s="177"/>
      <c r="L48" s="34"/>
      <c r="M48" s="32"/>
      <c r="N48" s="34"/>
      <c r="O48" s="32"/>
      <c r="P48" s="32"/>
      <c r="Q48" s="34"/>
    </row>
    <row r="49" ht="22.5" customHeight="1">
      <c r="B49" s="34"/>
      <c r="C49" s="137"/>
      <c r="D49" s="44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32"/>
      <c r="P49" s="32"/>
      <c r="Q49" s="34"/>
    </row>
    <row r="50" ht="22.5" customHeight="1">
      <c r="B50" s="34"/>
      <c r="C50" s="137"/>
      <c r="D50" s="44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32"/>
      <c r="P50" s="32"/>
      <c r="Q50" s="34"/>
    </row>
    <row r="51" ht="22.5" customHeight="1">
      <c r="B51" s="34"/>
      <c r="C51" s="137"/>
      <c r="D51" s="44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32"/>
      <c r="P51" s="32"/>
      <c r="Q51" s="34"/>
    </row>
    <row r="52" ht="22.5" customHeight="1">
      <c r="B52" s="34"/>
      <c r="C52" s="137"/>
      <c r="D52" s="44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20.13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175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1000000.0</v>
      </c>
      <c r="F4" s="15">
        <f>SUMIFS(OPI_15[MAF NETO],OPI_15[ESTADO],"Desembolsado")</f>
        <v>0</v>
      </c>
      <c r="G4" s="15">
        <f>F4-E4</f>
        <v>-1000000</v>
      </c>
      <c r="H4" s="16">
        <f>SUMIFS(OPI_15[MAF NETO],OPI_15[ESTADO],H$3)</f>
        <v>0</v>
      </c>
      <c r="I4" s="16">
        <f>SUMIFS(OPI_15[MAF NETO],OPI_15[ESTADO],I$3)</f>
        <v>0</v>
      </c>
      <c r="J4" s="16">
        <f>SUMIFS(OPI_15[MAF NETO],OPI_15[ESTADO],J$3)</f>
        <v>0</v>
      </c>
      <c r="K4" s="16">
        <f>SUMIFS(OPI_15[MAF NETO],OPI_15[ESTADO],K$3)</f>
        <v>0</v>
      </c>
      <c r="L4" s="16">
        <f>SUMIFS(OPI_15[MAF NETO],OPI_15[ESTADO],L$3)</f>
        <v>0</v>
      </c>
      <c r="M4" s="16">
        <f>SUMIFS(OPI_15[MAF NETO],OPI_15[ESTADO],M$3)</f>
        <v>0</v>
      </c>
      <c r="N4" s="16">
        <f>SUMIFS(OPI_15[MAF NETO],OPI_15[ESTADO],N$3)</f>
        <v>0</v>
      </c>
    </row>
    <row r="5" ht="26.25" customHeight="1">
      <c r="D5" s="17" t="s">
        <v>31</v>
      </c>
      <c r="E5" s="18" t="s">
        <v>32</v>
      </c>
      <c r="F5" s="19">
        <f>COUNTIFS(OPI_15[ESTADO],"Desembolsado")</f>
        <v>0</v>
      </c>
      <c r="G5" s="20">
        <f>IFERROR(F4/E4,"")</f>
        <v>0</v>
      </c>
      <c r="H5" s="19">
        <f>COUNTIFS(OPI_15[ESTADO],H$3)</f>
        <v>0</v>
      </c>
      <c r="I5" s="19">
        <f>COUNTIFS(OPI_15[ESTADO],I$3)</f>
        <v>0</v>
      </c>
      <c r="J5" s="19">
        <f>COUNTIFS(OPI_15[ESTADO],J$3)</f>
        <v>0</v>
      </c>
      <c r="K5" s="19">
        <f>COUNTIFS(OPI_15[ESTADO],K$3)</f>
        <v>0</v>
      </c>
      <c r="L5" s="19">
        <f>COUNTIFS(OPI_15[ESTADO],L$3)</f>
        <v>0</v>
      </c>
      <c r="M5" s="19">
        <f>COUNTIFS(OPI_15[ESTADO],M$3)</f>
        <v>0</v>
      </c>
      <c r="N5" s="19">
        <f>COUNTIFS(OPI_15[ESTADO],N$3)</f>
        <v>0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25"/>
      <c r="C10" s="226"/>
      <c r="D10" s="227"/>
      <c r="E10" s="228"/>
      <c r="F10" s="228"/>
      <c r="G10" s="217"/>
      <c r="H10" s="217"/>
      <c r="I10" s="225"/>
      <c r="J10" s="227"/>
      <c r="K10" s="218"/>
      <c r="L10" s="225"/>
      <c r="M10" s="227"/>
      <c r="N10" s="229"/>
      <c r="O10" s="230"/>
      <c r="P10" s="231"/>
      <c r="Q10" s="225"/>
    </row>
    <row r="11" ht="22.5" customHeight="1">
      <c r="B11" s="225"/>
      <c r="C11" s="226"/>
      <c r="D11" s="230"/>
      <c r="E11" s="228"/>
      <c r="F11" s="228"/>
      <c r="G11" s="217"/>
      <c r="H11" s="217"/>
      <c r="I11" s="225"/>
      <c r="J11" s="230"/>
      <c r="K11" s="218"/>
      <c r="L11" s="225"/>
      <c r="M11" s="230"/>
      <c r="N11" s="229"/>
      <c r="O11" s="230"/>
      <c r="P11" s="231"/>
      <c r="Q11" s="229"/>
    </row>
    <row r="12" ht="22.5" customHeight="1">
      <c r="B12" s="225"/>
      <c r="C12" s="226"/>
      <c r="D12" s="230"/>
      <c r="E12" s="228"/>
      <c r="F12" s="228"/>
      <c r="G12" s="217"/>
      <c r="H12" s="217"/>
      <c r="I12" s="225"/>
      <c r="J12" s="230"/>
      <c r="K12" s="218"/>
      <c r="L12" s="225"/>
      <c r="M12" s="230"/>
      <c r="N12" s="229"/>
      <c r="O12" s="230"/>
      <c r="P12" s="231"/>
      <c r="Q12" s="229"/>
    </row>
    <row r="13" ht="22.5" customHeight="1">
      <c r="B13" s="225"/>
      <c r="C13" s="226"/>
      <c r="D13" s="230"/>
      <c r="E13" s="228"/>
      <c r="F13" s="228"/>
      <c r="G13" s="217"/>
      <c r="H13" s="217"/>
      <c r="I13" s="225"/>
      <c r="J13" s="230"/>
      <c r="K13" s="218"/>
      <c r="L13" s="225"/>
      <c r="M13" s="230"/>
      <c r="N13" s="229"/>
      <c r="O13" s="230"/>
      <c r="P13" s="231"/>
      <c r="Q13" s="229"/>
    </row>
    <row r="14" ht="22.5" customHeight="1">
      <c r="B14" s="225"/>
      <c r="C14" s="226"/>
      <c r="D14" s="230"/>
      <c r="E14" s="228"/>
      <c r="F14" s="228"/>
      <c r="G14" s="217"/>
      <c r="H14" s="217"/>
      <c r="I14" s="229"/>
      <c r="J14" s="231"/>
      <c r="K14" s="232"/>
      <c r="L14" s="229"/>
      <c r="M14" s="231"/>
      <c r="N14" s="229"/>
      <c r="O14" s="231"/>
      <c r="P14" s="231"/>
      <c r="Q14" s="229"/>
    </row>
    <row r="15" ht="22.5" customHeight="1">
      <c r="B15" s="229"/>
      <c r="C15" s="228"/>
      <c r="D15" s="230"/>
      <c r="E15" s="228"/>
      <c r="F15" s="228"/>
      <c r="G15" s="233"/>
      <c r="H15" s="233"/>
      <c r="I15" s="229"/>
      <c r="J15" s="231"/>
      <c r="K15" s="232"/>
      <c r="L15" s="229"/>
      <c r="M15" s="231"/>
      <c r="N15" s="229"/>
      <c r="O15" s="231"/>
      <c r="P15" s="231"/>
      <c r="Q15" s="229"/>
    </row>
    <row r="16" ht="22.5" customHeight="1">
      <c r="B16" s="229"/>
      <c r="C16" s="228"/>
      <c r="D16" s="230"/>
      <c r="E16" s="228"/>
      <c r="F16" s="228"/>
      <c r="G16" s="233"/>
      <c r="H16" s="233"/>
      <c r="I16" s="229"/>
      <c r="J16" s="231"/>
      <c r="K16" s="232"/>
      <c r="L16" s="229"/>
      <c r="M16" s="231"/>
      <c r="N16" s="229"/>
      <c r="O16" s="231"/>
      <c r="P16" s="231"/>
      <c r="Q16" s="229"/>
    </row>
    <row r="17" ht="22.5" customHeight="1">
      <c r="B17" s="229"/>
      <c r="C17" s="228"/>
      <c r="D17" s="230"/>
      <c r="E17" s="228"/>
      <c r="F17" s="228"/>
      <c r="G17" s="233"/>
      <c r="H17" s="233"/>
      <c r="I17" s="229"/>
      <c r="J17" s="231"/>
      <c r="K17" s="232"/>
      <c r="L17" s="229"/>
      <c r="M17" s="231"/>
      <c r="N17" s="229"/>
      <c r="O17" s="231"/>
      <c r="P17" s="231"/>
      <c r="Q17" s="229"/>
    </row>
    <row r="18" ht="22.5" customHeight="1">
      <c r="B18" s="229"/>
      <c r="C18" s="228"/>
      <c r="D18" s="230"/>
      <c r="E18" s="228"/>
      <c r="F18" s="228"/>
      <c r="G18" s="233"/>
      <c r="H18" s="233"/>
      <c r="I18" s="229"/>
      <c r="J18" s="231"/>
      <c r="K18" s="232"/>
      <c r="L18" s="229"/>
      <c r="M18" s="231"/>
      <c r="N18" s="229"/>
      <c r="O18" s="231"/>
      <c r="P18" s="231"/>
      <c r="Q18" s="229"/>
    </row>
    <row r="19" ht="22.5" customHeight="1">
      <c r="B19" s="229"/>
      <c r="C19" s="228"/>
      <c r="D19" s="230"/>
      <c r="E19" s="228"/>
      <c r="F19" s="228"/>
      <c r="G19" s="233"/>
      <c r="H19" s="233"/>
      <c r="I19" s="229"/>
      <c r="J19" s="231"/>
      <c r="K19" s="232"/>
      <c r="L19" s="229"/>
      <c r="M19" s="231"/>
      <c r="N19" s="229"/>
      <c r="O19" s="231"/>
      <c r="P19" s="231"/>
      <c r="Q19" s="229"/>
    </row>
    <row r="20" ht="22.5" customHeight="1">
      <c r="B20" s="229"/>
      <c r="C20" s="228"/>
      <c r="D20" s="230"/>
      <c r="E20" s="228"/>
      <c r="F20" s="228"/>
      <c r="G20" s="233"/>
      <c r="H20" s="233"/>
      <c r="I20" s="229"/>
      <c r="J20" s="231"/>
      <c r="K20" s="232"/>
      <c r="L20" s="229"/>
      <c r="M20" s="231"/>
      <c r="N20" s="229"/>
      <c r="O20" s="231"/>
      <c r="P20" s="231"/>
      <c r="Q20" s="229"/>
    </row>
    <row r="21" ht="22.5" customHeight="1">
      <c r="B21" s="229"/>
      <c r="C21" s="228"/>
      <c r="D21" s="230"/>
      <c r="E21" s="228"/>
      <c r="F21" s="228"/>
      <c r="G21" s="233"/>
      <c r="H21" s="233"/>
      <c r="I21" s="229"/>
      <c r="J21" s="231"/>
      <c r="K21" s="232"/>
      <c r="L21" s="229"/>
      <c r="M21" s="231"/>
      <c r="N21" s="229"/>
      <c r="O21" s="231"/>
      <c r="P21" s="231"/>
      <c r="Q21" s="229"/>
    </row>
    <row r="22" ht="22.5" customHeight="1">
      <c r="B22" s="229"/>
      <c r="C22" s="228"/>
      <c r="D22" s="230"/>
      <c r="E22" s="228"/>
      <c r="F22" s="228"/>
      <c r="G22" s="233"/>
      <c r="H22" s="233"/>
      <c r="I22" s="229"/>
      <c r="J22" s="231"/>
      <c r="K22" s="232"/>
      <c r="L22" s="229"/>
      <c r="M22" s="231"/>
      <c r="N22" s="229"/>
      <c r="O22" s="231"/>
      <c r="P22" s="231"/>
      <c r="Q22" s="229"/>
    </row>
    <row r="23" ht="22.5" customHeight="1">
      <c r="B23" s="229"/>
      <c r="C23" s="228"/>
      <c r="D23" s="230"/>
      <c r="E23" s="228"/>
      <c r="F23" s="228"/>
      <c r="G23" s="233"/>
      <c r="H23" s="233"/>
      <c r="I23" s="229"/>
      <c r="J23" s="231"/>
      <c r="K23" s="232"/>
      <c r="L23" s="229"/>
      <c r="M23" s="231"/>
      <c r="N23" s="229"/>
      <c r="O23" s="231"/>
      <c r="P23" s="231"/>
      <c r="Q23" s="229"/>
    </row>
    <row r="24" ht="22.5" customHeight="1">
      <c r="B24" s="229"/>
      <c r="C24" s="228"/>
      <c r="D24" s="230"/>
      <c r="E24" s="228"/>
      <c r="F24" s="228"/>
      <c r="G24" s="233"/>
      <c r="H24" s="233"/>
      <c r="I24" s="229"/>
      <c r="J24" s="231"/>
      <c r="K24" s="232"/>
      <c r="L24" s="229"/>
      <c r="M24" s="231"/>
      <c r="N24" s="229"/>
      <c r="O24" s="231"/>
      <c r="P24" s="231"/>
      <c r="Q24" s="229"/>
    </row>
    <row r="25" ht="22.5" customHeight="1">
      <c r="B25" s="229"/>
      <c r="C25" s="228"/>
      <c r="D25" s="230"/>
      <c r="E25" s="228"/>
      <c r="F25" s="228"/>
      <c r="G25" s="233"/>
      <c r="H25" s="233"/>
      <c r="I25" s="229"/>
      <c r="J25" s="231"/>
      <c r="K25" s="232"/>
      <c r="L25" s="229"/>
      <c r="M25" s="231"/>
      <c r="N25" s="229"/>
      <c r="O25" s="231"/>
      <c r="P25" s="231"/>
      <c r="Q25" s="229"/>
    </row>
    <row r="26" ht="22.5" customHeight="1">
      <c r="B26" s="229"/>
      <c r="C26" s="228"/>
      <c r="D26" s="230"/>
      <c r="E26" s="228"/>
      <c r="F26" s="228"/>
      <c r="G26" s="233"/>
      <c r="H26" s="233"/>
      <c r="I26" s="229"/>
      <c r="J26" s="231"/>
      <c r="K26" s="232"/>
      <c r="L26" s="229"/>
      <c r="M26" s="231"/>
      <c r="N26" s="229"/>
      <c r="O26" s="231"/>
      <c r="P26" s="231"/>
      <c r="Q26" s="229"/>
    </row>
    <row r="27" ht="22.5" customHeight="1">
      <c r="B27" s="229"/>
      <c r="C27" s="228"/>
      <c r="D27" s="230"/>
      <c r="E27" s="228"/>
      <c r="F27" s="228"/>
      <c r="G27" s="233"/>
      <c r="H27" s="233"/>
      <c r="I27" s="229"/>
      <c r="J27" s="231"/>
      <c r="K27" s="232"/>
      <c r="L27" s="229"/>
      <c r="M27" s="231"/>
      <c r="N27" s="229"/>
      <c r="O27" s="231"/>
      <c r="P27" s="231"/>
      <c r="Q27" s="229"/>
    </row>
    <row r="28" ht="22.5" customHeight="1">
      <c r="B28" s="229"/>
      <c r="C28" s="228"/>
      <c r="D28" s="230"/>
      <c r="E28" s="228"/>
      <c r="F28" s="228"/>
      <c r="G28" s="233"/>
      <c r="H28" s="233"/>
      <c r="I28" s="229"/>
      <c r="J28" s="231"/>
      <c r="K28" s="232"/>
      <c r="L28" s="229"/>
      <c r="M28" s="231"/>
      <c r="N28" s="229"/>
      <c r="O28" s="231"/>
      <c r="P28" s="231"/>
      <c r="Q28" s="229"/>
    </row>
    <row r="29" ht="22.5" customHeight="1">
      <c r="B29" s="229"/>
      <c r="C29" s="228"/>
      <c r="D29" s="230"/>
      <c r="E29" s="228"/>
      <c r="F29" s="228"/>
      <c r="G29" s="233"/>
      <c r="H29" s="233"/>
      <c r="I29" s="229"/>
      <c r="J29" s="231"/>
      <c r="K29" s="232"/>
      <c r="L29" s="229"/>
      <c r="M29" s="231"/>
      <c r="N29" s="229"/>
      <c r="O29" s="231"/>
      <c r="P29" s="231"/>
      <c r="Q29" s="229"/>
    </row>
    <row r="30" ht="22.5" customHeight="1">
      <c r="B30" s="229"/>
      <c r="C30" s="228"/>
      <c r="D30" s="230"/>
      <c r="E30" s="228"/>
      <c r="F30" s="228"/>
      <c r="G30" s="233"/>
      <c r="H30" s="233"/>
      <c r="I30" s="229"/>
      <c r="J30" s="231"/>
      <c r="K30" s="232"/>
      <c r="L30" s="229"/>
      <c r="M30" s="231"/>
      <c r="N30" s="229"/>
      <c r="O30" s="231"/>
      <c r="P30" s="231"/>
      <c r="Q30" s="229"/>
    </row>
    <row r="31" ht="22.5" customHeight="1">
      <c r="B31" s="229"/>
      <c r="C31" s="228"/>
      <c r="D31" s="230"/>
      <c r="E31" s="228"/>
      <c r="F31" s="228"/>
      <c r="G31" s="233"/>
      <c r="H31" s="233"/>
      <c r="I31" s="229"/>
      <c r="J31" s="231"/>
      <c r="K31" s="232"/>
      <c r="L31" s="229"/>
      <c r="M31" s="231"/>
      <c r="N31" s="229"/>
      <c r="O31" s="231"/>
      <c r="P31" s="231"/>
      <c r="Q31" s="229"/>
    </row>
    <row r="32" ht="22.5" customHeight="1">
      <c r="B32" s="229"/>
      <c r="C32" s="228"/>
      <c r="D32" s="230"/>
      <c r="E32" s="228"/>
      <c r="F32" s="228"/>
      <c r="G32" s="233"/>
      <c r="H32" s="233"/>
      <c r="I32" s="229"/>
      <c r="J32" s="231"/>
      <c r="K32" s="232"/>
      <c r="L32" s="229"/>
      <c r="M32" s="231"/>
      <c r="N32" s="229"/>
      <c r="O32" s="231"/>
      <c r="P32" s="231"/>
      <c r="Q32" s="229"/>
    </row>
    <row r="33" ht="22.5" customHeight="1">
      <c r="B33" s="229"/>
      <c r="C33" s="228"/>
      <c r="D33" s="230"/>
      <c r="E33" s="228"/>
      <c r="F33" s="228"/>
      <c r="G33" s="233"/>
      <c r="H33" s="233"/>
      <c r="I33" s="229"/>
      <c r="J33" s="231"/>
      <c r="K33" s="232"/>
      <c r="L33" s="229"/>
      <c r="M33" s="231"/>
      <c r="N33" s="229"/>
      <c r="O33" s="231"/>
      <c r="P33" s="231"/>
      <c r="Q33" s="229"/>
    </row>
    <row r="34" ht="22.5" customHeight="1">
      <c r="B34" s="229"/>
      <c r="C34" s="228"/>
      <c r="D34" s="230"/>
      <c r="E34" s="228"/>
      <c r="F34" s="228"/>
      <c r="G34" s="233"/>
      <c r="H34" s="233"/>
      <c r="I34" s="229"/>
      <c r="J34" s="231"/>
      <c r="K34" s="232"/>
      <c r="L34" s="229"/>
      <c r="M34" s="231"/>
      <c r="N34" s="229"/>
      <c r="O34" s="231"/>
      <c r="P34" s="231"/>
      <c r="Q34" s="229"/>
    </row>
    <row r="35" ht="22.5" customHeight="1">
      <c r="B35" s="229"/>
      <c r="C35" s="228"/>
      <c r="D35" s="230"/>
      <c r="E35" s="228"/>
      <c r="F35" s="228"/>
      <c r="G35" s="233"/>
      <c r="H35" s="233"/>
      <c r="I35" s="229"/>
      <c r="J35" s="231"/>
      <c r="K35" s="232"/>
      <c r="L35" s="229"/>
      <c r="M35" s="231"/>
      <c r="N35" s="229"/>
      <c r="O35" s="231"/>
      <c r="P35" s="231"/>
      <c r="Q35" s="229"/>
    </row>
    <row r="36" ht="22.5" customHeight="1">
      <c r="B36" s="229"/>
      <c r="C36" s="228"/>
      <c r="D36" s="230"/>
      <c r="E36" s="228"/>
      <c r="F36" s="228"/>
      <c r="G36" s="233"/>
      <c r="H36" s="233"/>
      <c r="I36" s="229"/>
      <c r="J36" s="231"/>
      <c r="K36" s="232"/>
      <c r="L36" s="229"/>
      <c r="M36" s="231"/>
      <c r="N36" s="229"/>
      <c r="O36" s="231"/>
      <c r="P36" s="231"/>
      <c r="Q36" s="229"/>
    </row>
    <row r="37" ht="22.5" customHeight="1">
      <c r="B37" s="229"/>
      <c r="C37" s="228"/>
      <c r="D37" s="230"/>
      <c r="E37" s="228"/>
      <c r="F37" s="228"/>
      <c r="G37" s="233"/>
      <c r="H37" s="233"/>
      <c r="I37" s="229"/>
      <c r="J37" s="231"/>
      <c r="K37" s="232"/>
      <c r="L37" s="229"/>
      <c r="M37" s="231"/>
      <c r="N37" s="229"/>
      <c r="O37" s="231"/>
      <c r="P37" s="231"/>
      <c r="Q37" s="229"/>
    </row>
    <row r="38" ht="22.5" customHeight="1">
      <c r="B38" s="229"/>
      <c r="C38" s="228"/>
      <c r="D38" s="230"/>
      <c r="E38" s="228"/>
      <c r="F38" s="228"/>
      <c r="G38" s="233"/>
      <c r="H38" s="233"/>
      <c r="I38" s="229"/>
      <c r="J38" s="231"/>
      <c r="K38" s="232"/>
      <c r="L38" s="229"/>
      <c r="M38" s="231"/>
      <c r="N38" s="229"/>
      <c r="O38" s="231"/>
      <c r="P38" s="231"/>
      <c r="Q38" s="229"/>
    </row>
    <row r="39" ht="22.5" customHeight="1">
      <c r="B39" s="229"/>
      <c r="C39" s="228"/>
      <c r="D39" s="230"/>
      <c r="E39" s="228"/>
      <c r="F39" s="228"/>
      <c r="G39" s="233"/>
      <c r="H39" s="233"/>
      <c r="I39" s="229"/>
      <c r="J39" s="231"/>
      <c r="K39" s="232"/>
      <c r="L39" s="229"/>
      <c r="M39" s="231"/>
      <c r="N39" s="229"/>
      <c r="O39" s="231"/>
      <c r="P39" s="231"/>
      <c r="Q39" s="229"/>
    </row>
    <row r="40" ht="22.5" customHeight="1">
      <c r="B40" s="229"/>
      <c r="C40" s="228"/>
      <c r="D40" s="230"/>
      <c r="E40" s="228"/>
      <c r="F40" s="228"/>
      <c r="G40" s="233"/>
      <c r="H40" s="233"/>
      <c r="I40" s="229"/>
      <c r="J40" s="231"/>
      <c r="K40" s="232"/>
      <c r="L40" s="229"/>
      <c r="M40" s="231"/>
      <c r="N40" s="229"/>
      <c r="O40" s="231"/>
      <c r="P40" s="231"/>
      <c r="Q40" s="229"/>
    </row>
    <row r="41" ht="22.5" customHeight="1">
      <c r="B41" s="229"/>
      <c r="C41" s="228"/>
      <c r="D41" s="230"/>
      <c r="E41" s="228"/>
      <c r="F41" s="228"/>
      <c r="G41" s="233"/>
      <c r="H41" s="233"/>
      <c r="I41" s="229"/>
      <c r="J41" s="231"/>
      <c r="K41" s="232"/>
      <c r="L41" s="229"/>
      <c r="M41" s="231"/>
      <c r="N41" s="229"/>
      <c r="O41" s="231"/>
      <c r="P41" s="231"/>
      <c r="Q41" s="229"/>
    </row>
    <row r="42" ht="22.5" customHeight="1">
      <c r="B42" s="229"/>
      <c r="C42" s="228"/>
      <c r="D42" s="230"/>
      <c r="E42" s="228"/>
      <c r="F42" s="228"/>
      <c r="G42" s="233"/>
      <c r="H42" s="233"/>
      <c r="I42" s="229"/>
      <c r="J42" s="231"/>
      <c r="K42" s="232"/>
      <c r="L42" s="229"/>
      <c r="M42" s="231"/>
      <c r="N42" s="229"/>
      <c r="O42" s="231"/>
      <c r="P42" s="231"/>
      <c r="Q42" s="229"/>
    </row>
    <row r="43" ht="22.5" customHeight="1">
      <c r="B43" s="229"/>
      <c r="C43" s="228"/>
      <c r="D43" s="230"/>
      <c r="E43" s="228"/>
      <c r="F43" s="228"/>
      <c r="G43" s="233"/>
      <c r="H43" s="233"/>
      <c r="I43" s="229"/>
      <c r="J43" s="231"/>
      <c r="K43" s="232"/>
      <c r="L43" s="229"/>
      <c r="M43" s="231"/>
      <c r="N43" s="229"/>
      <c r="O43" s="231"/>
      <c r="P43" s="231"/>
      <c r="Q43" s="229"/>
    </row>
    <row r="44" ht="22.5" customHeight="1">
      <c r="B44" s="229"/>
      <c r="C44" s="228"/>
      <c r="D44" s="230"/>
      <c r="E44" s="228"/>
      <c r="F44" s="228"/>
      <c r="G44" s="233"/>
      <c r="H44" s="233"/>
      <c r="I44" s="229"/>
      <c r="J44" s="231"/>
      <c r="K44" s="232"/>
      <c r="L44" s="229"/>
      <c r="M44" s="231"/>
      <c r="N44" s="229"/>
      <c r="O44" s="231"/>
      <c r="P44" s="231"/>
      <c r="Q44" s="229"/>
    </row>
    <row r="45" ht="22.5" customHeight="1">
      <c r="B45" s="229"/>
      <c r="C45" s="228"/>
      <c r="D45" s="230"/>
      <c r="E45" s="228"/>
      <c r="F45" s="228"/>
      <c r="G45" s="233"/>
      <c r="H45" s="233"/>
      <c r="I45" s="229"/>
      <c r="J45" s="231"/>
      <c r="K45" s="232"/>
      <c r="L45" s="229"/>
      <c r="M45" s="231"/>
      <c r="N45" s="229"/>
      <c r="O45" s="231"/>
      <c r="P45" s="231"/>
      <c r="Q45" s="229"/>
    </row>
    <row r="46" ht="22.5" customHeight="1">
      <c r="B46" s="229"/>
      <c r="C46" s="228"/>
      <c r="D46" s="230"/>
      <c r="E46" s="228"/>
      <c r="F46" s="228"/>
      <c r="G46" s="233"/>
      <c r="H46" s="233"/>
      <c r="I46" s="229"/>
      <c r="J46" s="231"/>
      <c r="K46" s="232"/>
      <c r="L46" s="229"/>
      <c r="M46" s="231"/>
      <c r="N46" s="229"/>
      <c r="O46" s="231"/>
      <c r="P46" s="231"/>
      <c r="Q46" s="229"/>
    </row>
    <row r="47" ht="22.5" customHeight="1">
      <c r="B47" s="229"/>
      <c r="C47" s="228"/>
      <c r="D47" s="230"/>
      <c r="E47" s="228"/>
      <c r="F47" s="228"/>
      <c r="G47" s="233"/>
      <c r="H47" s="233"/>
      <c r="I47" s="229"/>
      <c r="J47" s="231"/>
      <c r="K47" s="232"/>
      <c r="L47" s="229"/>
      <c r="M47" s="231"/>
      <c r="N47" s="229"/>
      <c r="O47" s="231"/>
      <c r="P47" s="231"/>
      <c r="Q47" s="229"/>
    </row>
    <row r="48" ht="22.5" customHeight="1">
      <c r="B48" s="229"/>
      <c r="C48" s="228"/>
      <c r="D48" s="230"/>
      <c r="E48" s="228"/>
      <c r="F48" s="228"/>
      <c r="G48" s="233"/>
      <c r="H48" s="233"/>
      <c r="I48" s="229"/>
      <c r="J48" s="231"/>
      <c r="K48" s="232"/>
      <c r="L48" s="229"/>
      <c r="M48" s="231"/>
      <c r="N48" s="229"/>
      <c r="O48" s="231"/>
      <c r="P48" s="231"/>
      <c r="Q48" s="229"/>
    </row>
    <row r="49" ht="22.5" customHeight="1">
      <c r="B49" s="229"/>
      <c r="C49" s="228"/>
      <c r="D49" s="230"/>
      <c r="E49" s="228"/>
      <c r="F49" s="228"/>
      <c r="G49" s="233"/>
      <c r="H49" s="233"/>
      <c r="I49" s="229"/>
      <c r="J49" s="231"/>
      <c r="K49" s="232"/>
      <c r="L49" s="229"/>
      <c r="M49" s="231"/>
      <c r="N49" s="229"/>
      <c r="O49" s="231"/>
      <c r="P49" s="231"/>
      <c r="Q49" s="229"/>
    </row>
    <row r="50" ht="22.5" customHeight="1">
      <c r="B50" s="229"/>
      <c r="C50" s="228"/>
      <c r="D50" s="230"/>
      <c r="E50" s="228"/>
      <c r="F50" s="228"/>
      <c r="G50" s="233"/>
      <c r="H50" s="233"/>
      <c r="I50" s="229"/>
      <c r="J50" s="231"/>
      <c r="K50" s="232"/>
      <c r="L50" s="229"/>
      <c r="M50" s="231"/>
      <c r="N50" s="229"/>
      <c r="O50" s="231"/>
      <c r="P50" s="231"/>
      <c r="Q50" s="229"/>
    </row>
    <row r="51" ht="22.5" customHeight="1">
      <c r="B51" s="229"/>
      <c r="C51" s="228"/>
      <c r="D51" s="230"/>
      <c r="E51" s="228"/>
      <c r="F51" s="228"/>
      <c r="G51" s="233"/>
      <c r="H51" s="233"/>
      <c r="I51" s="229"/>
      <c r="J51" s="231"/>
      <c r="K51" s="232"/>
      <c r="L51" s="229"/>
      <c r="M51" s="231"/>
      <c r="N51" s="229"/>
      <c r="O51" s="231"/>
      <c r="P51" s="231"/>
      <c r="Q51" s="229"/>
    </row>
    <row r="52" ht="22.5" customHeight="1">
      <c r="B52" s="229"/>
      <c r="C52" s="228"/>
      <c r="D52" s="230"/>
      <c r="E52" s="228"/>
      <c r="F52" s="228"/>
      <c r="G52" s="233"/>
      <c r="H52" s="233"/>
      <c r="I52" s="229"/>
      <c r="J52" s="231"/>
      <c r="K52" s="232"/>
      <c r="L52" s="229"/>
      <c r="M52" s="231"/>
      <c r="N52" s="229"/>
      <c r="O52" s="231"/>
      <c r="P52" s="231"/>
      <c r="Q52" s="229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4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18.88"/>
    <col customWidth="1" min="3" max="3" width="31.13"/>
    <col customWidth="1" min="4" max="4" width="24.38"/>
    <col customWidth="1" min="5" max="5" width="23.88"/>
    <col customWidth="1" min="6" max="6" width="27.63"/>
    <col customWidth="1" min="7" max="7" width="20.63"/>
    <col customWidth="1" min="8" max="8" width="43.88"/>
    <col customWidth="1" min="9" max="9" width="19.25"/>
    <col customWidth="1" min="10" max="10" width="22.88"/>
    <col customWidth="1" min="11" max="11" width="17.0"/>
    <col customWidth="1" min="12" max="12" width="43.88"/>
    <col customWidth="1" min="13" max="13" width="22.5"/>
    <col customWidth="1" min="14" max="14" width="35.0"/>
    <col customWidth="1" min="15" max="15" width="33.13"/>
    <col customWidth="1" min="16" max="16" width="18.25"/>
    <col customWidth="1" min="17" max="17" width="13.75"/>
    <col customWidth="1" min="18" max="18" width="7.63"/>
    <col hidden="1" min="19" max="27" width="12.63"/>
  </cols>
  <sheetData>
    <row r="3" ht="26.25" customHeight="1">
      <c r="D3" s="10" t="s">
        <v>923</v>
      </c>
      <c r="E3" s="11" t="s">
        <v>18</v>
      </c>
      <c r="F3" s="11" t="s">
        <v>19</v>
      </c>
      <c r="G3" s="12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 t="s">
        <v>27</v>
      </c>
    </row>
    <row r="4" ht="26.25" customHeight="1">
      <c r="D4" s="13" t="s">
        <v>28</v>
      </c>
      <c r="E4" s="14">
        <v>1000000.0</v>
      </c>
      <c r="F4" s="15">
        <f>SUMIFS(OPI_16[MAF NETO],OPI_16[ESTADO],"Desembolsado")</f>
        <v>0</v>
      </c>
      <c r="G4" s="15">
        <f>F4-E4</f>
        <v>-1000000</v>
      </c>
      <c r="H4" s="16">
        <f>SUMIFS(OPI_16[MAF NETO],OPI_16[ESTADO],H$3)</f>
        <v>0</v>
      </c>
      <c r="I4" s="16">
        <f>SUMIFS(OPI_16[MAF NETO],OPI_16[ESTADO],I$3)</f>
        <v>0</v>
      </c>
      <c r="J4" s="16">
        <f>SUMIFS(OPI_16[MAF NETO],OPI_16[ESTADO],J$3)</f>
        <v>0</v>
      </c>
      <c r="K4" s="16">
        <f>SUMIFS(OPI_16[MAF NETO],OPI_16[ESTADO],K$3)</f>
        <v>0</v>
      </c>
      <c r="L4" s="16">
        <f>SUMIFS(OPI_16[MAF NETO],OPI_16[ESTADO],L$3)</f>
        <v>0</v>
      </c>
      <c r="M4" s="16">
        <f>SUMIFS(OPI_16[MAF NETO],OPI_16[ESTADO],M$3)</f>
        <v>0</v>
      </c>
      <c r="N4" s="16">
        <f>SUMIFS(OPI_16[MAF NETO],OPI_16[ESTADO],N$3)</f>
        <v>0</v>
      </c>
    </row>
    <row r="5" ht="26.25" customHeight="1">
      <c r="D5" s="17" t="s">
        <v>31</v>
      </c>
      <c r="E5" s="18" t="s">
        <v>32</v>
      </c>
      <c r="F5" s="19">
        <f>COUNTIFS(OPI_16[ESTADO],"Desembolsado")</f>
        <v>0</v>
      </c>
      <c r="G5" s="20">
        <f>IFERROR(F4/E4,"")</f>
        <v>0</v>
      </c>
      <c r="H5" s="19">
        <f>COUNTIFS(OPI_16[ESTADO],H$3)</f>
        <v>0</v>
      </c>
      <c r="I5" s="19">
        <f>COUNTIFS(OPI_16[ESTADO],I$3)</f>
        <v>0</v>
      </c>
      <c r="J5" s="19">
        <f>COUNTIFS(OPI_16[ESTADO],J$3)</f>
        <v>0</v>
      </c>
      <c r="K5" s="19">
        <f>COUNTIFS(OPI_16[ESTADO],K$3)</f>
        <v>0</v>
      </c>
      <c r="L5" s="19">
        <f>COUNTIFS(OPI_16[ESTADO],L$3)</f>
        <v>0</v>
      </c>
      <c r="M5" s="19">
        <f>COUNTIFS(OPI_16[ESTADO],M$3)</f>
        <v>0</v>
      </c>
      <c r="N5" s="19">
        <f>COUNTIFS(OPI_16[ESTADO],N$3)</f>
        <v>1</v>
      </c>
    </row>
    <row r="9" ht="22.5" customHeight="1">
      <c r="A9" s="21"/>
      <c r="B9" s="22" t="s">
        <v>34</v>
      </c>
      <c r="C9" s="22" t="s">
        <v>35</v>
      </c>
      <c r="D9" s="23" t="s">
        <v>36</v>
      </c>
      <c r="E9" s="22" t="s">
        <v>37</v>
      </c>
      <c r="F9" s="22" t="s">
        <v>38</v>
      </c>
      <c r="G9" s="22" t="s">
        <v>39</v>
      </c>
      <c r="H9" s="22" t="s">
        <v>40</v>
      </c>
      <c r="I9" s="22" t="s">
        <v>42</v>
      </c>
      <c r="J9" s="23" t="s">
        <v>43</v>
      </c>
      <c r="K9" s="22" t="s">
        <v>44</v>
      </c>
      <c r="L9" s="22" t="s">
        <v>45</v>
      </c>
      <c r="M9" s="23" t="s">
        <v>46</v>
      </c>
      <c r="N9" s="22" t="s">
        <v>47</v>
      </c>
      <c r="O9" s="23" t="s">
        <v>48</v>
      </c>
      <c r="P9" s="23" t="s">
        <v>49</v>
      </c>
      <c r="Q9" s="22" t="s">
        <v>50</v>
      </c>
    </row>
    <row r="10" ht="22.5" customHeight="1">
      <c r="B10" s="25"/>
      <c r="C10" s="26"/>
      <c r="D10" s="27"/>
      <c r="E10" s="26"/>
      <c r="F10" s="25"/>
      <c r="G10" s="28" t="s">
        <v>318</v>
      </c>
      <c r="H10" s="28" t="s">
        <v>319</v>
      </c>
      <c r="I10" s="25" t="s">
        <v>56</v>
      </c>
      <c r="J10" s="27" t="s">
        <v>27</v>
      </c>
      <c r="K10" s="29">
        <v>0.0</v>
      </c>
      <c r="L10" s="25"/>
      <c r="M10" s="27"/>
      <c r="N10" s="34"/>
      <c r="O10" s="44"/>
      <c r="P10" s="32"/>
      <c r="Q10" s="25"/>
    </row>
    <row r="11" ht="22.5" customHeight="1">
      <c r="B11" s="25"/>
      <c r="C11" s="26"/>
      <c r="D11" s="27"/>
      <c r="E11" s="26"/>
      <c r="F11" s="26"/>
      <c r="G11" s="28"/>
      <c r="H11" s="28"/>
      <c r="I11" s="25"/>
      <c r="J11" s="27"/>
      <c r="K11" s="29"/>
      <c r="L11" s="25"/>
      <c r="M11" s="27"/>
      <c r="N11" s="30"/>
      <c r="O11" s="27"/>
      <c r="P11" s="27"/>
      <c r="Q11" s="34"/>
    </row>
    <row r="12" ht="22.5" customHeight="1">
      <c r="B12" s="25"/>
      <c r="C12" s="26"/>
      <c r="D12" s="27"/>
      <c r="E12" s="26"/>
      <c r="F12" s="26"/>
      <c r="G12" s="28"/>
      <c r="H12" s="28"/>
      <c r="I12" s="25"/>
      <c r="J12" s="27"/>
      <c r="K12" s="29"/>
      <c r="L12" s="25"/>
      <c r="M12" s="27"/>
      <c r="N12" s="34"/>
      <c r="O12" s="27"/>
      <c r="P12" s="32"/>
      <c r="Q12" s="34"/>
    </row>
    <row r="13" ht="22.5" customHeight="1">
      <c r="B13" s="25"/>
      <c r="C13" s="26"/>
      <c r="D13" s="27"/>
      <c r="E13" s="26"/>
      <c r="F13" s="137"/>
      <c r="G13" s="28"/>
      <c r="H13" s="28"/>
      <c r="I13" s="25"/>
      <c r="J13" s="27"/>
      <c r="K13" s="29"/>
      <c r="L13" s="25"/>
      <c r="M13" s="27"/>
      <c r="N13" s="34"/>
      <c r="O13" s="27"/>
      <c r="P13" s="32"/>
      <c r="Q13" s="34"/>
    </row>
    <row r="14" ht="22.5" customHeight="1">
      <c r="B14" s="25"/>
      <c r="C14" s="26"/>
      <c r="D14" s="44"/>
      <c r="E14" s="137"/>
      <c r="F14" s="137"/>
      <c r="G14" s="28"/>
      <c r="H14" s="28"/>
      <c r="I14" s="34"/>
      <c r="J14" s="32"/>
      <c r="K14" s="177"/>
      <c r="L14" s="34"/>
      <c r="M14" s="32"/>
      <c r="N14" s="34"/>
      <c r="O14" s="32"/>
      <c r="P14" s="32"/>
      <c r="Q14" s="34"/>
    </row>
    <row r="15" ht="22.5" customHeight="1">
      <c r="B15" s="34"/>
      <c r="C15" s="137"/>
      <c r="D15" s="44"/>
      <c r="E15" s="137"/>
      <c r="F15" s="137"/>
      <c r="G15" s="176"/>
      <c r="H15" s="176"/>
      <c r="I15" s="34"/>
      <c r="J15" s="32"/>
      <c r="K15" s="177"/>
      <c r="L15" s="34"/>
      <c r="M15" s="32"/>
      <c r="N15" s="34"/>
      <c r="O15" s="32"/>
      <c r="P15" s="32"/>
      <c r="Q15" s="34"/>
    </row>
    <row r="16" ht="22.5" customHeight="1">
      <c r="B16" s="34"/>
      <c r="C16" s="137"/>
      <c r="D16" s="44"/>
      <c r="E16" s="137"/>
      <c r="F16" s="137"/>
      <c r="G16" s="176"/>
      <c r="H16" s="176"/>
      <c r="I16" s="34"/>
      <c r="J16" s="32"/>
      <c r="K16" s="177"/>
      <c r="L16" s="34"/>
      <c r="M16" s="32"/>
      <c r="N16" s="34"/>
      <c r="O16" s="32"/>
      <c r="P16" s="32"/>
      <c r="Q16" s="34"/>
    </row>
    <row r="17" ht="22.5" customHeight="1">
      <c r="B17" s="34"/>
      <c r="C17" s="137"/>
      <c r="D17" s="44"/>
      <c r="E17" s="137"/>
      <c r="F17" s="137"/>
      <c r="G17" s="176"/>
      <c r="H17" s="176"/>
      <c r="I17" s="34"/>
      <c r="J17" s="32"/>
      <c r="K17" s="177"/>
      <c r="L17" s="34"/>
      <c r="M17" s="32"/>
      <c r="N17" s="34"/>
      <c r="O17" s="32"/>
      <c r="P17" s="32"/>
      <c r="Q17" s="34"/>
    </row>
    <row r="18" ht="22.5" customHeight="1">
      <c r="B18" s="34"/>
      <c r="C18" s="137"/>
      <c r="D18" s="44"/>
      <c r="E18" s="137"/>
      <c r="F18" s="137"/>
      <c r="G18" s="176"/>
      <c r="H18" s="176"/>
      <c r="I18" s="34"/>
      <c r="J18" s="32"/>
      <c r="K18" s="177"/>
      <c r="L18" s="34"/>
      <c r="M18" s="32"/>
      <c r="N18" s="34"/>
      <c r="O18" s="32"/>
      <c r="P18" s="32"/>
      <c r="Q18" s="34"/>
    </row>
    <row r="19" ht="22.5" customHeight="1">
      <c r="B19" s="34"/>
      <c r="C19" s="137"/>
      <c r="D19" s="44"/>
      <c r="E19" s="137"/>
      <c r="F19" s="137"/>
      <c r="G19" s="176"/>
      <c r="H19" s="176"/>
      <c r="I19" s="34"/>
      <c r="J19" s="32"/>
      <c r="K19" s="177"/>
      <c r="L19" s="34"/>
      <c r="M19" s="32"/>
      <c r="N19" s="34"/>
      <c r="O19" s="32"/>
      <c r="P19" s="32"/>
      <c r="Q19" s="34"/>
    </row>
    <row r="20" ht="22.5" customHeight="1">
      <c r="B20" s="34"/>
      <c r="C20" s="137"/>
      <c r="D20" s="44"/>
      <c r="E20" s="137"/>
      <c r="F20" s="137"/>
      <c r="G20" s="176"/>
      <c r="H20" s="176"/>
      <c r="I20" s="34"/>
      <c r="J20" s="32"/>
      <c r="K20" s="177"/>
      <c r="L20" s="34"/>
      <c r="M20" s="32"/>
      <c r="N20" s="34"/>
      <c r="O20" s="32"/>
      <c r="P20" s="32"/>
      <c r="Q20" s="34"/>
    </row>
    <row r="21" ht="22.5" customHeight="1">
      <c r="B21" s="34"/>
      <c r="C21" s="234"/>
      <c r="D21" s="44"/>
      <c r="E21" s="137"/>
      <c r="F21" s="137"/>
      <c r="G21" s="176"/>
      <c r="H21" s="176"/>
      <c r="I21" s="34"/>
      <c r="J21" s="32"/>
      <c r="K21" s="177"/>
      <c r="L21" s="34"/>
      <c r="M21" s="32"/>
      <c r="N21" s="34"/>
      <c r="O21" s="32"/>
      <c r="P21" s="32"/>
      <c r="Q21" s="34"/>
    </row>
    <row r="22" ht="22.5" customHeight="1">
      <c r="B22" s="34"/>
      <c r="C22" s="137"/>
      <c r="D22" s="44"/>
      <c r="E22" s="137"/>
      <c r="F22" s="137"/>
      <c r="G22" s="176"/>
      <c r="H22" s="176"/>
      <c r="I22" s="34"/>
      <c r="J22" s="32"/>
      <c r="K22" s="177"/>
      <c r="L22" s="34"/>
      <c r="M22" s="32"/>
      <c r="N22" s="34"/>
      <c r="O22" s="32"/>
      <c r="P22" s="32"/>
      <c r="Q22" s="34"/>
    </row>
    <row r="23" ht="22.5" customHeight="1">
      <c r="B23" s="34"/>
      <c r="C23" s="137"/>
      <c r="D23" s="44"/>
      <c r="E23" s="137"/>
      <c r="F23" s="137"/>
      <c r="G23" s="176"/>
      <c r="H23" s="176"/>
      <c r="I23" s="34"/>
      <c r="J23" s="32"/>
      <c r="K23" s="177"/>
      <c r="L23" s="34"/>
      <c r="M23" s="32"/>
      <c r="N23" s="34"/>
      <c r="O23" s="32"/>
      <c r="P23" s="32"/>
      <c r="Q23" s="34"/>
    </row>
    <row r="24" ht="22.5" customHeight="1">
      <c r="B24" s="34"/>
      <c r="C24" s="137"/>
      <c r="D24" s="44"/>
      <c r="E24" s="137"/>
      <c r="F24" s="137"/>
      <c r="G24" s="176"/>
      <c r="H24" s="176"/>
      <c r="I24" s="34"/>
      <c r="J24" s="32"/>
      <c r="K24" s="177"/>
      <c r="L24" s="34"/>
      <c r="M24" s="32"/>
      <c r="N24" s="34"/>
      <c r="O24" s="32"/>
      <c r="P24" s="32"/>
      <c r="Q24" s="34"/>
    </row>
    <row r="25" ht="22.5" customHeight="1">
      <c r="B25" s="34"/>
      <c r="C25" s="137"/>
      <c r="D25" s="44"/>
      <c r="E25" s="137"/>
      <c r="F25" s="137"/>
      <c r="G25" s="176"/>
      <c r="H25" s="176"/>
      <c r="I25" s="34"/>
      <c r="J25" s="32"/>
      <c r="K25" s="177"/>
      <c r="L25" s="34"/>
      <c r="M25" s="32"/>
      <c r="N25" s="34"/>
      <c r="O25" s="32"/>
      <c r="P25" s="32"/>
      <c r="Q25" s="34"/>
    </row>
    <row r="26" ht="22.5" customHeight="1">
      <c r="B26" s="34"/>
      <c r="C26" s="137"/>
      <c r="D26" s="44"/>
      <c r="E26" s="137"/>
      <c r="F26" s="137"/>
      <c r="G26" s="176"/>
      <c r="H26" s="176"/>
      <c r="I26" s="34"/>
      <c r="J26" s="32"/>
      <c r="K26" s="177"/>
      <c r="L26" s="34"/>
      <c r="M26" s="32"/>
      <c r="N26" s="34"/>
      <c r="O26" s="32"/>
      <c r="P26" s="32"/>
      <c r="Q26" s="34"/>
    </row>
    <row r="27" ht="22.5" customHeight="1">
      <c r="B27" s="34"/>
      <c r="C27" s="137"/>
      <c r="D27" s="44"/>
      <c r="E27" s="137"/>
      <c r="F27" s="137"/>
      <c r="G27" s="176"/>
      <c r="H27" s="176"/>
      <c r="I27" s="34"/>
      <c r="J27" s="32"/>
      <c r="K27" s="177"/>
      <c r="L27" s="34"/>
      <c r="M27" s="32"/>
      <c r="N27" s="34"/>
      <c r="O27" s="32"/>
      <c r="P27" s="32"/>
      <c r="Q27" s="34"/>
    </row>
    <row r="28" ht="22.5" customHeight="1">
      <c r="B28" s="34"/>
      <c r="C28" s="137"/>
      <c r="D28" s="44"/>
      <c r="E28" s="137"/>
      <c r="F28" s="137"/>
      <c r="G28" s="176"/>
      <c r="H28" s="176"/>
      <c r="I28" s="34"/>
      <c r="J28" s="32"/>
      <c r="K28" s="177"/>
      <c r="L28" s="34"/>
      <c r="M28" s="32"/>
      <c r="N28" s="34"/>
      <c r="O28" s="32"/>
      <c r="P28" s="32"/>
      <c r="Q28" s="34"/>
    </row>
    <row r="29" ht="22.5" customHeight="1">
      <c r="B29" s="34"/>
      <c r="C29" s="137"/>
      <c r="D29" s="44"/>
      <c r="E29" s="137"/>
      <c r="F29" s="137"/>
      <c r="G29" s="176"/>
      <c r="H29" s="176"/>
      <c r="I29" s="34"/>
      <c r="J29" s="32"/>
      <c r="K29" s="177"/>
      <c r="L29" s="34"/>
      <c r="M29" s="32"/>
      <c r="N29" s="34"/>
      <c r="O29" s="32"/>
      <c r="P29" s="32"/>
      <c r="Q29" s="34"/>
    </row>
    <row r="30" ht="22.5" customHeight="1">
      <c r="B30" s="34"/>
      <c r="C30" s="137"/>
      <c r="D30" s="44"/>
      <c r="E30" s="137"/>
      <c r="F30" s="137"/>
      <c r="G30" s="176"/>
      <c r="H30" s="176"/>
      <c r="I30" s="34"/>
      <c r="J30" s="32"/>
      <c r="K30" s="177"/>
      <c r="L30" s="34"/>
      <c r="M30" s="32"/>
      <c r="N30" s="34"/>
      <c r="O30" s="32"/>
      <c r="P30" s="32"/>
      <c r="Q30" s="34"/>
    </row>
    <row r="31" ht="22.5" customHeight="1">
      <c r="B31" s="34"/>
      <c r="C31" s="137"/>
      <c r="D31" s="44"/>
      <c r="E31" s="137"/>
      <c r="F31" s="137"/>
      <c r="G31" s="176"/>
      <c r="H31" s="176"/>
      <c r="I31" s="34"/>
      <c r="J31" s="32"/>
      <c r="K31" s="177"/>
      <c r="L31" s="34"/>
      <c r="M31" s="32"/>
      <c r="N31" s="34"/>
      <c r="O31" s="32"/>
      <c r="P31" s="32"/>
      <c r="Q31" s="34"/>
    </row>
    <row r="32" ht="22.5" customHeight="1">
      <c r="B32" s="34"/>
      <c r="C32" s="137"/>
      <c r="D32" s="44"/>
      <c r="E32" s="137"/>
      <c r="F32" s="137"/>
      <c r="G32" s="176"/>
      <c r="H32" s="176"/>
      <c r="I32" s="34"/>
      <c r="J32" s="32"/>
      <c r="K32" s="177"/>
      <c r="L32" s="34"/>
      <c r="M32" s="32"/>
      <c r="N32" s="34"/>
      <c r="O32" s="32"/>
      <c r="P32" s="32"/>
      <c r="Q32" s="34"/>
    </row>
    <row r="33" ht="22.5" customHeight="1">
      <c r="B33" s="34"/>
      <c r="C33" s="137"/>
      <c r="D33" s="44"/>
      <c r="E33" s="137"/>
      <c r="F33" s="137"/>
      <c r="G33" s="176"/>
      <c r="H33" s="176"/>
      <c r="I33" s="34"/>
      <c r="J33" s="32"/>
      <c r="K33" s="177"/>
      <c r="L33" s="34"/>
      <c r="M33" s="32"/>
      <c r="N33" s="34"/>
      <c r="O33" s="32"/>
      <c r="P33" s="32"/>
      <c r="Q33" s="34"/>
    </row>
    <row r="34" ht="22.5" customHeight="1">
      <c r="B34" s="34"/>
      <c r="C34" s="137"/>
      <c r="D34" s="44"/>
      <c r="E34" s="137"/>
      <c r="F34" s="137"/>
      <c r="G34" s="176"/>
      <c r="H34" s="176"/>
      <c r="I34" s="34"/>
      <c r="J34" s="32"/>
      <c r="K34" s="177"/>
      <c r="L34" s="34"/>
      <c r="M34" s="32"/>
      <c r="N34" s="34"/>
      <c r="O34" s="32"/>
      <c r="P34" s="32"/>
      <c r="Q34" s="34"/>
    </row>
    <row r="35" ht="22.5" customHeight="1">
      <c r="B35" s="34"/>
      <c r="C35" s="137"/>
      <c r="D35" s="44"/>
      <c r="E35" s="137"/>
      <c r="F35" s="137"/>
      <c r="G35" s="176"/>
      <c r="H35" s="176"/>
      <c r="I35" s="34"/>
      <c r="J35" s="32"/>
      <c r="K35" s="177"/>
      <c r="L35" s="34"/>
      <c r="M35" s="32"/>
      <c r="N35" s="34"/>
      <c r="O35" s="32"/>
      <c r="P35" s="32"/>
      <c r="Q35" s="34"/>
    </row>
    <row r="36" ht="22.5" customHeight="1">
      <c r="B36" s="34"/>
      <c r="C36" s="137"/>
      <c r="D36" s="44"/>
      <c r="E36" s="137"/>
      <c r="F36" s="137"/>
      <c r="G36" s="176"/>
      <c r="H36" s="176"/>
      <c r="I36" s="34"/>
      <c r="J36" s="32"/>
      <c r="K36" s="177"/>
      <c r="L36" s="34"/>
      <c r="M36" s="32"/>
      <c r="N36" s="34"/>
      <c r="O36" s="32"/>
      <c r="P36" s="32"/>
      <c r="Q36" s="34"/>
    </row>
    <row r="37" ht="22.5" customHeight="1">
      <c r="B37" s="34"/>
      <c r="C37" s="137"/>
      <c r="D37" s="44"/>
      <c r="E37" s="137"/>
      <c r="F37" s="137"/>
      <c r="G37" s="176"/>
      <c r="H37" s="176"/>
      <c r="I37" s="34"/>
      <c r="J37" s="32"/>
      <c r="K37" s="177"/>
      <c r="L37" s="34"/>
      <c r="M37" s="32"/>
      <c r="N37" s="34"/>
      <c r="O37" s="32"/>
      <c r="P37" s="32"/>
      <c r="Q37" s="34"/>
    </row>
    <row r="38" ht="22.5" customHeight="1">
      <c r="B38" s="34"/>
      <c r="C38" s="137"/>
      <c r="D38" s="44"/>
      <c r="E38" s="137"/>
      <c r="F38" s="137"/>
      <c r="G38" s="176"/>
      <c r="H38" s="176"/>
      <c r="I38" s="34"/>
      <c r="J38" s="32"/>
      <c r="K38" s="177"/>
      <c r="L38" s="34"/>
      <c r="M38" s="32"/>
      <c r="N38" s="34"/>
      <c r="O38" s="32"/>
      <c r="P38" s="32"/>
      <c r="Q38" s="34"/>
    </row>
    <row r="39" ht="22.5" customHeight="1">
      <c r="B39" s="34"/>
      <c r="C39" s="137"/>
      <c r="D39" s="44"/>
      <c r="E39" s="137"/>
      <c r="F39" s="137"/>
      <c r="G39" s="176"/>
      <c r="H39" s="176"/>
      <c r="I39" s="34"/>
      <c r="J39" s="32"/>
      <c r="K39" s="177"/>
      <c r="L39" s="34"/>
      <c r="M39" s="32"/>
      <c r="N39" s="34"/>
      <c r="O39" s="32"/>
      <c r="P39" s="32"/>
      <c r="Q39" s="34"/>
    </row>
    <row r="40" ht="22.5" customHeight="1">
      <c r="B40" s="34"/>
      <c r="C40" s="137"/>
      <c r="D40" s="44"/>
      <c r="E40" s="137"/>
      <c r="F40" s="137"/>
      <c r="G40" s="176"/>
      <c r="H40" s="176"/>
      <c r="I40" s="34"/>
      <c r="J40" s="32"/>
      <c r="K40" s="177"/>
      <c r="L40" s="34"/>
      <c r="M40" s="32"/>
      <c r="N40" s="34"/>
      <c r="O40" s="32"/>
      <c r="P40" s="32"/>
      <c r="Q40" s="34"/>
    </row>
    <row r="41" ht="22.5" customHeight="1">
      <c r="B41" s="34"/>
      <c r="C41" s="137"/>
      <c r="D41" s="44"/>
      <c r="E41" s="137"/>
      <c r="F41" s="137"/>
      <c r="G41" s="176"/>
      <c r="H41" s="176"/>
      <c r="I41" s="34"/>
      <c r="J41" s="32"/>
      <c r="K41" s="177"/>
      <c r="L41" s="34"/>
      <c r="M41" s="32"/>
      <c r="N41" s="34"/>
      <c r="O41" s="32"/>
      <c r="P41" s="32"/>
      <c r="Q41" s="34"/>
    </row>
    <row r="42" ht="22.5" customHeight="1">
      <c r="B42" s="34"/>
      <c r="C42" s="137"/>
      <c r="D42" s="44"/>
      <c r="E42" s="137"/>
      <c r="F42" s="137"/>
      <c r="G42" s="176"/>
      <c r="H42" s="176"/>
      <c r="I42" s="34"/>
      <c r="J42" s="32"/>
      <c r="K42" s="177"/>
      <c r="L42" s="34"/>
      <c r="M42" s="32"/>
      <c r="N42" s="34"/>
      <c r="O42" s="32"/>
      <c r="P42" s="32"/>
      <c r="Q42" s="34"/>
    </row>
    <row r="43" ht="22.5" customHeight="1">
      <c r="B43" s="34"/>
      <c r="C43" s="137"/>
      <c r="D43" s="44"/>
      <c r="E43" s="137"/>
      <c r="F43" s="137"/>
      <c r="G43" s="176"/>
      <c r="H43" s="176"/>
      <c r="I43" s="34"/>
      <c r="J43" s="32"/>
      <c r="K43" s="177"/>
      <c r="L43" s="34"/>
      <c r="M43" s="32"/>
      <c r="N43" s="34"/>
      <c r="O43" s="32"/>
      <c r="P43" s="32"/>
      <c r="Q43" s="34"/>
    </row>
    <row r="44" ht="22.5" customHeight="1">
      <c r="B44" s="34"/>
      <c r="C44" s="137"/>
      <c r="D44" s="44"/>
      <c r="E44" s="137"/>
      <c r="F44" s="137"/>
      <c r="G44" s="176"/>
      <c r="H44" s="176"/>
      <c r="I44" s="34"/>
      <c r="J44" s="32"/>
      <c r="K44" s="177"/>
      <c r="L44" s="34"/>
      <c r="M44" s="32"/>
      <c r="N44" s="34"/>
      <c r="O44" s="32"/>
      <c r="P44" s="32"/>
      <c r="Q44" s="34"/>
    </row>
    <row r="45" ht="22.5" customHeight="1">
      <c r="B45" s="34"/>
      <c r="C45" s="137"/>
      <c r="D45" s="44"/>
      <c r="E45" s="137"/>
      <c r="F45" s="137"/>
      <c r="G45" s="176"/>
      <c r="H45" s="176"/>
      <c r="I45" s="34"/>
      <c r="J45" s="32"/>
      <c r="K45" s="177"/>
      <c r="L45" s="34"/>
      <c r="M45" s="32"/>
      <c r="N45" s="34"/>
      <c r="O45" s="32"/>
      <c r="P45" s="32"/>
      <c r="Q45" s="34"/>
    </row>
    <row r="46" ht="22.5" customHeight="1">
      <c r="B46" s="34"/>
      <c r="C46" s="137"/>
      <c r="D46" s="44"/>
      <c r="E46" s="137"/>
      <c r="F46" s="137"/>
      <c r="G46" s="176"/>
      <c r="H46" s="176"/>
      <c r="I46" s="34"/>
      <c r="J46" s="32"/>
      <c r="K46" s="177"/>
      <c r="L46" s="34"/>
      <c r="M46" s="32"/>
      <c r="N46" s="34"/>
      <c r="O46" s="32"/>
      <c r="P46" s="32"/>
      <c r="Q46" s="34"/>
    </row>
    <row r="47" ht="22.5" customHeight="1">
      <c r="B47" s="34"/>
      <c r="C47" s="137"/>
      <c r="D47" s="44"/>
      <c r="E47" s="137"/>
      <c r="F47" s="137"/>
      <c r="G47" s="176"/>
      <c r="H47" s="176"/>
      <c r="I47" s="34"/>
      <c r="J47" s="32"/>
      <c r="K47" s="177"/>
      <c r="L47" s="34"/>
      <c r="M47" s="32"/>
      <c r="N47" s="34"/>
      <c r="O47" s="32"/>
      <c r="P47" s="32"/>
      <c r="Q47" s="34"/>
    </row>
    <row r="48" ht="22.5" customHeight="1">
      <c r="B48" s="34"/>
      <c r="C48" s="137"/>
      <c r="D48" s="44"/>
      <c r="E48" s="137"/>
      <c r="F48" s="137"/>
      <c r="G48" s="176"/>
      <c r="H48" s="176"/>
      <c r="I48" s="34"/>
      <c r="J48" s="32"/>
      <c r="K48" s="177"/>
      <c r="L48" s="34"/>
      <c r="M48" s="32"/>
      <c r="N48" s="34"/>
      <c r="O48" s="32"/>
      <c r="P48" s="32"/>
      <c r="Q48" s="34"/>
    </row>
    <row r="49" ht="22.5" customHeight="1">
      <c r="B49" s="34"/>
      <c r="C49" s="137"/>
      <c r="D49" s="44"/>
      <c r="E49" s="137"/>
      <c r="F49" s="137"/>
      <c r="G49" s="176"/>
      <c r="H49" s="176"/>
      <c r="I49" s="34"/>
      <c r="J49" s="32"/>
      <c r="K49" s="177"/>
      <c r="L49" s="34"/>
      <c r="M49" s="32"/>
      <c r="N49" s="34"/>
      <c r="O49" s="32"/>
      <c r="P49" s="32"/>
      <c r="Q49" s="34"/>
    </row>
    <row r="50" ht="22.5" customHeight="1">
      <c r="B50" s="34"/>
      <c r="C50" s="137"/>
      <c r="D50" s="44"/>
      <c r="E50" s="137"/>
      <c r="F50" s="137"/>
      <c r="G50" s="176"/>
      <c r="H50" s="176"/>
      <c r="I50" s="34"/>
      <c r="J50" s="32"/>
      <c r="K50" s="177"/>
      <c r="L50" s="34"/>
      <c r="M50" s="32"/>
      <c r="N50" s="34"/>
      <c r="O50" s="32"/>
      <c r="P50" s="32"/>
      <c r="Q50" s="34"/>
    </row>
    <row r="51" ht="22.5" customHeight="1">
      <c r="B51" s="34"/>
      <c r="C51" s="137"/>
      <c r="D51" s="44"/>
      <c r="E51" s="137"/>
      <c r="F51" s="137"/>
      <c r="G51" s="176"/>
      <c r="H51" s="176"/>
      <c r="I51" s="34"/>
      <c r="J51" s="32"/>
      <c r="K51" s="177"/>
      <c r="L51" s="34"/>
      <c r="M51" s="32"/>
      <c r="N51" s="34"/>
      <c r="O51" s="32"/>
      <c r="P51" s="32"/>
      <c r="Q51" s="34"/>
    </row>
    <row r="52" ht="22.5" customHeight="1">
      <c r="B52" s="34"/>
      <c r="C52" s="137"/>
      <c r="D52" s="44"/>
      <c r="E52" s="137"/>
      <c r="F52" s="137"/>
      <c r="G52" s="176"/>
      <c r="H52" s="176"/>
      <c r="I52" s="34"/>
      <c r="J52" s="32"/>
      <c r="K52" s="177"/>
      <c r="L52" s="34"/>
      <c r="M52" s="32"/>
      <c r="N52" s="34"/>
      <c r="O52" s="32"/>
      <c r="P52" s="32"/>
      <c r="Q52" s="34"/>
    </row>
  </sheetData>
  <conditionalFormatting sqref="G4">
    <cfRule type="cellIs" dxfId="5" priority="1" operator="lessThan">
      <formula>0</formula>
    </cfRule>
  </conditionalFormatting>
  <conditionalFormatting sqref="G4">
    <cfRule type="cellIs" dxfId="6" priority="2" operator="greaterThanOrEqual">
      <formula>0</formula>
    </cfRule>
  </conditionalFormatting>
  <dataValidations>
    <dataValidation type="list" allowBlank="1" sqref="D10:D52">
      <formula1>"Enviada,Aprobada,Rechazada"</formula1>
    </dataValidation>
    <dataValidation type="list" allowBlank="1" sqref="J10:J52">
      <formula1>"Pendiente De Documentar,Pendiente De Remesa,Pendiente de BackOffice,Evaluación BCP,Obs BackOffice,Obs BCP,Rechazado,Desembolsado"</formula1>
    </dataValidation>
    <dataValidation type="list" allowBlank="1" sqref="M10:M52 O10:P52">
      <formula1>"Si,No"</formula1>
    </dataValidation>
    <dataValidation type="custom" allowBlank="1" showDropDown="1" sqref="C10:C52 E10:F52">
      <formula1>OR(NOT(ISERROR(DATEVALUE(C10))), AND(ISNUMBER(C10), LEFT(CELL("format", C10))="D"))</formula1>
    </dataValidation>
    <dataValidation type="custom" allowBlank="1" showDropDown="1" sqref="K10:K52">
      <formula1>AND(ISNUMBER(K10),(NOT(OR(NOT(ISERROR(DATEVALUE(K10))), AND(ISNUMBER(K10), LEFT(CELL("format", K10))="D")))))</formula1>
    </dataValidation>
    <dataValidation allowBlank="1" showDropDown="1" sqref="G10:H52"/>
  </dataValidations>
  <drawing r:id="rId1"/>
  <tableParts count="1">
    <tablePart r:id="rId3"/>
  </tableParts>
</worksheet>
</file>